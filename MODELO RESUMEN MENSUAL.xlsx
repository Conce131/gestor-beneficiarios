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Debian\home\carlos\workspace\gestor-beneficiarios\"/>
    </mc:Choice>
  </mc:AlternateContent>
  <xr:revisionPtr revIDLastSave="0" documentId="13_ncr:1_{2DD4B46D-5DCA-438A-923A-BEFF6588137F}" xr6:coauthVersionLast="47" xr6:coauthVersionMax="47" xr10:uidLastSave="{00000000-0000-0000-0000-000000000000}"/>
  <bookViews>
    <workbookView xWindow="-120" yWindow="-120" windowWidth="29040" windowHeight="15720" xr2:uid="{AD160A29-87B4-4AD8-A845-28C48569B30C}"/>
  </bookViews>
  <sheets>
    <sheet name="Resumen mensual" sheetId="1" r:id="rId1"/>
    <sheet name="Reparto" sheetId="2" r:id="rId2"/>
  </sheets>
  <definedNames>
    <definedName name="_xlnm.Print_Area" localSheetId="0">'Resumen mensual'!$B$1:$G$15</definedName>
  </definedName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<sst xmlns="http://schemas.openxmlformats.org/spreadsheetml/2006/main" count="46" uniqueCount="40">
  <si>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RESUMEN MENSUAL DE BENEFICIARIOS/AS</t>
  </si>
  <si>
    <t>N.º familias por miembros</t>
  </si>
  <si>
    <t>Personas por edades</t>
  </si>
  <si>
    <t>Total familias</t>
  </si>
  <si>
    <t>ENVASES A REPARTIR POR FAMILIA</t>
  </si>
  <si>
    <t>Completa en Resumen mensual las familias por tamaño y las personas por edades, incluidos los ceros. El reparto se calcula cuando ambos totales coinciden. Introduce aquí las cantidades asignadas en envases.</t>
  </si>
  <si>
    <t>Beneficiarios:</t>
  </si>
  <si>
    <t>Familias:</t>
  </si>
  <si>
    <t>ALIMENTOS</t>
  </si>
  <si>
    <t>CANTIDADES ASIGNADAS</t>
  </si>
  <si>
    <t>1 MIEMBROS</t>
  </si>
  <si>
    <t>2 MIEMBROS</t>
  </si>
  <si>
    <t>3 MIEMBROS</t>
  </si>
  <si>
    <t>4 MIEMBROS</t>
  </si>
  <si>
    <t>5 MIEMBROS</t>
  </si>
  <si>
    <t>6 MIEMBROS</t>
  </si>
  <si>
    <t>7 MIEMBROS</t>
  </si>
  <si>
    <t>8 MIEMBROS</t>
  </si>
  <si>
    <t>9 MIEMBROS</t>
  </si>
  <si>
    <t>10 MIEMBROS</t>
  </si>
  <si>
    <t>.</t>
  </si>
  <si>
    <t>Leche</t>
  </si>
  <si>
    <t>Harinas y gofio</t>
  </si>
  <si>
    <t>Arroz</t>
  </si>
  <si>
    <t>Pasta</t>
  </si>
  <si>
    <t>Legumbres</t>
  </si>
  <si>
    <t>Salsas variadas</t>
  </si>
  <si>
    <t>Aceites</t>
  </si>
  <si>
    <t>Pescado en conserva</t>
  </si>
  <si>
    <t>Carne en conserva</t>
  </si>
  <si>
    <t>VARIOS</t>
  </si>
  <si>
    <t>0–2 años</t>
  </si>
  <si>
    <t>Fecha:</t>
  </si>
  <si>
    <t>Entidad:</t>
  </si>
  <si>
    <t>3–17 años</t>
  </si>
  <si>
    <t>18 o más</t>
  </si>
  <si>
    <t>Beneficiarios por familias</t>
  </si>
  <si>
    <t>menores sin edad</t>
  </si>
  <si>
    <r>
      <rPr>
        <u/>
        <sz val="14"/>
        <rFont val="Aptos Narrow"/>
        <family val="2"/>
      </rPr>
      <t>BENEFICIARIOS POR EDAD</t>
    </r>
    <r>
      <rPr>
        <sz val="14"/>
        <rFont val="Aptos Narrow"/>
        <family val="2"/>
      </rPr>
      <t xml:space="preserve"> y </t>
    </r>
    <r>
      <rPr>
        <u/>
        <sz val="14"/>
        <rFont val="Aptos Narrow"/>
        <family val="2"/>
      </rPr>
      <t>BENEFICIARIOS POR FAMILIA</t>
    </r>
    <r>
      <rPr>
        <sz val="14"/>
        <rFont val="Aptos Narrow"/>
        <family val="2"/>
      </rPr>
      <t xml:space="preserve"> </t>
    </r>
    <r>
      <rPr>
        <b/>
        <sz val="14"/>
        <rFont val="Aptos Narrow"/>
        <family val="2"/>
      </rPr>
      <t>TIENEN QUE COINCIDIR.</t>
    </r>
  </si>
  <si>
    <t>Beneficiarios por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</si>
</sst>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€&quot;_-;\-* #,##0\ &quot;€&quot;_-;_-* &quot;-&quot;\ &quot;€&quot;_-;_-@_-"/>
    <numFmt numFmtId="164" formatCode="#,##0\ ;[Red]\-#,##0\ "/>
    <numFmt numFmtId="165" formatCode="#,##0.00\ ;[Red]\-#,##0.00\ "/>
  </numFmts>
  <fonts count="23"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0"/>
      <color rgb="FF000000"/>
      <name val="Liberation Sans1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3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0"/>
      <color rgb="FF000000"/>
      <name val="Arial1"/>
      <charset val="1"/>
    </font>
    <font>
      <b/>
      <sz val="1"/>
      <color rgb="FF000000"/>
      <name val="Arial"/>
      <family val="2"/>
      <charset val="1"/>
    </font>
    <font>
      <sz val="10"/>
      <color rgb="FFBFBFBF"/>
      <name val="Arial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sz val="11"/>
      <color rgb="FF000000"/>
      <name val="Aptos Narrow"/>
      <family val="2"/>
    </font>
    <font>
      <sz val="14"/>
      <name val="Aptos Narrow"/>
      <family val="2"/>
    </font>
    <font>
      <u/>
      <sz val="14"/>
      <name val="Aptos Narrow"/>
      <family val="2"/>
    </font>
    <font>
      <b/>
      <sz val="14"/>
      <name val="Aptos Narrow"/>
      <family val="2"/>
    </font>
    <font>
      <b/>
      <sz val="12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solid">
        <fgColor rgb="FFD9E8F6"/>
        <bgColor rgb="FFDDDDDD"/>
      </patternFill>
    </fill>
    <fill>
      <patternFill patternType="solid">
        <fgColor rgb="FFFFFFFF"/>
        <bgColor rgb="FFF2F2F2"/>
      </patternFill>
    </fill>
    <fill>
      <patternFill patternType="solid">
        <fgColor rgb="FFFFDBB6"/>
        <bgColor rgb="FFFFCCCC"/>
      </patternFill>
    </fill>
    <fill>
      <patternFill patternType="none"/>
    </fill>
    <fill>
      <patternFill patternType="solid">
        <fgColor rgb="FFD9E8F6"/>
        <bgColor rgb="FFDDDDDD"/>
      </patternFill>
    </fill>
    <fill>
      <patternFill patternType="solid">
        <fgColor rgb="FFABCDEB"/>
        <bgColor rgb="FFBFBFBF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rgb="FFDDDDDD"/>
      </patternFill>
    </fill>
    <fill>
      <patternFill patternType="solid">
        <fgColor theme="0"/>
        <bgColor indexed="64"/>
      </patternFill>
    </fill>
    <fill>
      <patternFill patternType="solid">
        <fgColor rgb="FFF2F7FC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002060"/>
      </right>
      <top style="thin">
        <color auto="1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auto="1"/>
      </top>
      <bottom style="medium">
        <color rgb="FF002060"/>
      </bottom>
      <diagonal/>
    </border>
    <border>
      <left style="medium">
        <color rgb="FF002060"/>
      </left>
      <right style="thin">
        <color auto="1"/>
      </right>
      <top style="thin">
        <color auto="1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theme="1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auto="1"/>
      </bottom>
      <diagonal/>
    </border>
    <border>
      <left style="medium">
        <color rgb="FF002060"/>
      </left>
      <right style="thin">
        <color rgb="FF002060"/>
      </right>
      <top style="thin">
        <color theme="1"/>
      </top>
      <bottom style="thin">
        <color theme="1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auto="1"/>
      </top>
      <bottom style="thin">
        <color auto="1"/>
      </bottom>
      <diagonal/>
    </border>
    <border>
      <left style="medium">
        <color rgb="FF002060"/>
      </left>
      <right style="thin">
        <color rgb="FF002060"/>
      </right>
      <top style="thin">
        <color theme="1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9" borderId="0" applyNumberFormat="0" applyBorder="0" applyAlignment="0" applyProtection="0"/>
    <xf numFmtId="42" fontId="18" fillId="0" borderId="0" applyFont="0" applyFill="0" applyBorder="0" applyAlignment="0" applyProtection="0"/>
  </cellStyleXfs>
  <cellXfs count="68">
    <xf numFmtId="0" fontId="0" fillId="0" borderId="0" xfId="0"/>
    <xf numFmtId="0" fontId="4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Protection="1"/>
    <xf numFmtId="0" fontId="7" fillId="2" borderId="1" xfId="1" applyFont="1" applyFill="1" applyBorder="1" applyProtection="1"/>
    <xf numFmtId="0" fontId="4" fillId="2" borderId="1" xfId="1" applyFont="1" applyFill="1" applyBorder="1" applyProtection="1"/>
    <xf numFmtId="0" fontId="4" fillId="2" borderId="2" xfId="1" applyFont="1" applyFill="1" applyBorder="1" applyProtection="1"/>
    <xf numFmtId="0" fontId="7" fillId="3" borderId="3" xfId="1" applyFont="1" applyFill="1" applyBorder="1" applyAlignment="1" applyProtection="1">
      <alignment horizontal="center" vertical="center"/>
    </xf>
    <xf numFmtId="0" fontId="7" fillId="2" borderId="1" xfId="1" applyFont="1" applyFill="1" applyBorder="1" applyAlignment="1" applyProtection="1">
      <alignment horizontal="center" vertical="center"/>
    </xf>
    <xf numFmtId="0" fontId="9" fillId="2" borderId="1" xfId="1" applyFont="1" applyFill="1" applyBorder="1" applyAlignment="1" applyProtection="1">
      <alignment horizontal="right"/>
    </xf>
    <xf numFmtId="1" fontId="7" fillId="4" borderId="3" xfId="1" applyNumberFormat="1" applyFont="1" applyFill="1" applyBorder="1" applyAlignment="1" applyProtection="1">
      <alignment horizontal="center" vertical="center"/>
    </xf>
    <xf numFmtId="0" fontId="11" fillId="2" borderId="1" xfId="1" applyFont="1" applyFill="1" applyBorder="1" applyAlignment="1" applyProtection="1">
      <alignment horizontal="center" vertical="center"/>
    </xf>
    <xf numFmtId="164" fontId="7" fillId="2" borderId="1" xfId="1" applyNumberFormat="1" applyFont="1" applyFill="1" applyBorder="1" applyAlignment="1" applyProtection="1">
      <alignment horizontal="left"/>
    </xf>
    <xf numFmtId="164" fontId="4" fillId="2" borderId="3" xfId="1" applyNumberFormat="1" applyFont="1" applyFill="1" applyBorder="1" applyAlignment="1" applyProtection="1">
      <alignment horizontal="center" vertical="center"/>
    </xf>
    <xf numFmtId="164" fontId="7" fillId="2" borderId="3" xfId="1" applyNumberFormat="1" applyFont="1" applyFill="1" applyBorder="1" applyAlignment="1" applyProtection="1">
      <alignment horizontal="center" vertical="center"/>
    </xf>
    <xf numFmtId="0" fontId="7" fillId="2" borderId="4" xfId="1" applyFont="1" applyFill="1" applyBorder="1" applyProtection="1"/>
    <xf numFmtId="164" fontId="7" fillId="2" borderId="1" xfId="1" applyNumberFormat="1" applyFont="1" applyFill="1" applyBorder="1" applyAlignment="1" applyProtection="1">
      <alignment horizontal="left" vertical="center"/>
    </xf>
    <xf numFmtId="1" fontId="4" fillId="2" borderId="3" xfId="1" applyNumberFormat="1" applyFont="1" applyFill="1" applyBorder="1" applyAlignment="1" applyProtection="1">
      <alignment horizontal="center" vertical="center"/>
    </xf>
    <xf numFmtId="1" fontId="12" fillId="2" borderId="3" xfId="1" applyNumberFormat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/>
    </xf>
    <xf numFmtId="0" fontId="9" fillId="3" borderId="3" xfId="1" applyFont="1" applyFill="1" applyBorder="1" applyAlignment="1" applyProtection="1">
      <alignment horizontal="center" vertical="center" wrapText="1"/>
    </xf>
    <xf numFmtId="164" fontId="3" fillId="3" borderId="3" xfId="1" applyNumberFormat="1" applyFont="1" applyFill="1" applyBorder="1" applyAlignment="1" applyProtection="1">
      <alignment horizontal="center" vertical="center" wrapText="1"/>
    </xf>
    <xf numFmtId="164" fontId="3" fillId="3" borderId="5" xfId="1" applyNumberFormat="1" applyFont="1" applyFill="1" applyBorder="1" applyAlignment="1" applyProtection="1">
      <alignment horizontal="center" vertical="center"/>
    </xf>
    <xf numFmtId="164" fontId="3" fillId="3" borderId="6" xfId="1" applyNumberFormat="1" applyFont="1" applyFill="1" applyBorder="1" applyAlignment="1" applyProtection="1">
      <alignment horizontal="center" vertical="center"/>
    </xf>
    <xf numFmtId="164" fontId="3" fillId="3" borderId="7" xfId="1" applyNumberFormat="1" applyFont="1" applyFill="1" applyBorder="1" applyAlignment="1" applyProtection="1">
      <alignment horizontal="center" vertical="center"/>
    </xf>
    <xf numFmtId="164" fontId="13" fillId="3" borderId="6" xfId="1" applyNumberFormat="1" applyFont="1" applyFill="1" applyBorder="1" applyAlignment="1" applyProtection="1">
      <alignment vertical="center" wrapText="1"/>
    </xf>
    <xf numFmtId="0" fontId="3" fillId="2" borderId="8" xfId="1" applyFont="1" applyFill="1" applyBorder="1" applyAlignment="1" applyProtection="1">
      <alignment horizontal="left" vertical="center"/>
    </xf>
    <xf numFmtId="164" fontId="6" fillId="5" borderId="9" xfId="1" applyNumberFormat="1" applyFont="1" applyFill="1" applyBorder="1" applyAlignment="1" applyProtection="1">
      <alignment horizontal="center" vertical="center"/>
      <protection locked="0"/>
    </xf>
    <xf numFmtId="164" fontId="4" fillId="4" borderId="10" xfId="1" applyNumberFormat="1" applyFont="1" applyFill="1" applyBorder="1" applyAlignment="1" applyProtection="1">
      <alignment horizontal="center" vertical="center"/>
    </xf>
    <xf numFmtId="164" fontId="4" fillId="4" borderId="11" xfId="1" applyNumberFormat="1" applyFont="1" applyFill="1" applyBorder="1" applyAlignment="1" applyProtection="1">
      <alignment horizontal="center" vertical="center"/>
    </xf>
    <xf numFmtId="164" fontId="4" fillId="4" borderId="12" xfId="1" applyNumberFormat="1" applyFont="1" applyFill="1" applyBorder="1" applyAlignment="1" applyProtection="1">
      <alignment horizontal="center" vertical="center"/>
    </xf>
    <xf numFmtId="165" fontId="14" fillId="4" borderId="13" xfId="1" applyNumberFormat="1" applyFont="1" applyFill="1" applyBorder="1" applyAlignment="1" applyProtection="1">
      <alignment horizontal="center" vertical="center"/>
    </xf>
    <xf numFmtId="0" fontId="3" fillId="2" borderId="14" xfId="1" applyFont="1" applyFill="1" applyBorder="1" applyAlignment="1" applyProtection="1">
      <alignment horizontal="left" vertical="center"/>
    </xf>
    <xf numFmtId="164" fontId="4" fillId="4" borderId="15" xfId="1" applyNumberFormat="1" applyFont="1" applyFill="1" applyBorder="1" applyAlignment="1" applyProtection="1">
      <alignment horizontal="center" vertical="center"/>
    </xf>
    <xf numFmtId="164" fontId="4" fillId="4" borderId="9" xfId="1" applyNumberFormat="1" applyFont="1" applyFill="1" applyBorder="1" applyAlignment="1" applyProtection="1">
      <alignment horizontal="center" vertical="center"/>
    </xf>
    <xf numFmtId="164" fontId="4" fillId="4" borderId="16" xfId="1" applyNumberFormat="1" applyFont="1" applyFill="1" applyBorder="1" applyAlignment="1" applyProtection="1">
      <alignment horizontal="center" vertical="center"/>
    </xf>
    <xf numFmtId="165" fontId="14" fillId="4" borderId="17" xfId="1" applyNumberFormat="1" applyFont="1" applyFill="1" applyBorder="1" applyAlignment="1" applyProtection="1">
      <alignment horizontal="center" vertical="center"/>
    </xf>
    <xf numFmtId="0" fontId="3" fillId="2" borderId="14" xfId="1" applyFont="1" applyFill="1" applyBorder="1" applyAlignment="1" applyProtection="1">
      <alignment horizontal="left" vertical="center"/>
      <protection locked="0"/>
    </xf>
    <xf numFmtId="0" fontId="3" fillId="2" borderId="18" xfId="1" applyFont="1" applyFill="1" applyBorder="1" applyAlignment="1" applyProtection="1">
      <alignment horizontal="left" vertical="center"/>
      <protection locked="0"/>
    </xf>
    <xf numFmtId="164" fontId="4" fillId="4" borderId="19" xfId="1" applyNumberFormat="1" applyFont="1" applyFill="1" applyBorder="1" applyAlignment="1" applyProtection="1">
      <alignment horizontal="center" vertical="center"/>
    </xf>
    <xf numFmtId="164" fontId="4" fillId="4" borderId="20" xfId="1" applyNumberFormat="1" applyFont="1" applyFill="1" applyBorder="1" applyAlignment="1" applyProtection="1">
      <alignment horizontal="center" vertical="center"/>
    </xf>
    <xf numFmtId="164" fontId="4" fillId="4" borderId="21" xfId="1" applyNumberFormat="1" applyFont="1" applyFill="1" applyBorder="1" applyAlignment="1" applyProtection="1">
      <alignment horizontal="center" vertical="center"/>
    </xf>
    <xf numFmtId="165" fontId="14" fillId="4" borderId="6" xfId="1" applyNumberFormat="1" applyFont="1" applyFill="1" applyBorder="1" applyAlignment="1" applyProtection="1">
      <alignment horizontal="center" vertical="center"/>
    </xf>
    <xf numFmtId="0" fontId="3" fillId="2" borderId="1" xfId="1" applyFont="1" applyFill="1" applyBorder="1" applyProtection="1"/>
    <xf numFmtId="164" fontId="4" fillId="2" borderId="22" xfId="1" applyNumberFormat="1" applyFont="1" applyFill="1" applyBorder="1" applyAlignment="1" applyProtection="1">
      <alignment horizontal="center" vertical="center"/>
      <protection locked="0"/>
    </xf>
    <xf numFmtId="0" fontId="16" fillId="7" borderId="24" xfId="2" applyNumberFormat="1" applyFont="1" applyFill="1" applyBorder="1" applyAlignment="1" applyProtection="1">
      <alignment horizontal="center" vertical="center" wrapText="1"/>
    </xf>
    <xf numFmtId="0" fontId="16" fillId="7" borderId="24" xfId="2" applyNumberFormat="1" applyFont="1" applyFill="1" applyBorder="1" applyAlignment="1" applyProtection="1">
      <alignment horizontal="center" vertical="center"/>
    </xf>
    <xf numFmtId="0" fontId="5" fillId="7" borderId="24" xfId="2" applyNumberFormat="1" applyFont="1" applyFill="1" applyBorder="1" applyAlignment="1" applyProtection="1">
      <alignment horizontal="center" vertical="center" wrapText="1"/>
    </xf>
    <xf numFmtId="14" fontId="16" fillId="7" borderId="24" xfId="2" applyNumberFormat="1" applyFont="1" applyFill="1" applyBorder="1" applyAlignment="1" applyProtection="1">
      <alignment horizontal="left" vertical="center" wrapText="1"/>
      <protection locked="0"/>
    </xf>
    <xf numFmtId="0" fontId="17" fillId="6" borderId="24" xfId="2" applyNumberFormat="1" applyFont="1" applyFill="1" applyBorder="1" applyAlignment="1" applyProtection="1">
      <alignment horizontal="center" vertical="center"/>
      <protection locked="0"/>
    </xf>
    <xf numFmtId="0" fontId="22" fillId="7" borderId="24" xfId="2" applyNumberFormat="1" applyFont="1" applyFill="1" applyBorder="1" applyAlignment="1" applyProtection="1">
      <alignment horizontal="center" vertical="center" wrapText="1"/>
    </xf>
    <xf numFmtId="0" fontId="5" fillId="10" borderId="24" xfId="0" applyFont="1" applyFill="1" applyBorder="1" applyAlignment="1" applyProtection="1">
      <alignment horizontal="left" vertical="center" wrapText="1"/>
      <protection locked="0"/>
    </xf>
    <xf numFmtId="0" fontId="0" fillId="11" borderId="27" xfId="0" applyFill="1" applyBorder="1" applyProtection="1">
      <protection locked="0"/>
    </xf>
    <xf numFmtId="0" fontId="0" fillId="11" borderId="28" xfId="0" applyFill="1" applyBorder="1" applyProtection="1">
      <protection locked="0"/>
    </xf>
    <xf numFmtId="0" fontId="15" fillId="8" borderId="24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19" fillId="0" borderId="25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 wrapText="1"/>
    </xf>
    <xf numFmtId="0" fontId="0" fillId="0" borderId="23" xfId="0" applyBorder="1"/>
    <xf numFmtId="0" fontId="16" fillId="7" borderId="26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16" fillId="12" borderId="24" xfId="2" applyNumberFormat="1" applyFont="1" applyFill="1" applyBorder="1" applyAlignment="1" applyProtection="1">
      <alignment horizontal="center" vertical="center"/>
    </xf>
  </cellXfs>
  <cellStyles count="3">
    <cellStyle name="40% - Énfasis1" xfId="1" builtinId="31"/>
    <cellStyle name="Moneda [0]" xfId="2" builtinId="7"/>
    <cellStyle name="Normal" xfId="0" builtinId="0" customBuiltin="1"/>
  </cellStyles>
  <dxfs count="4">
    <dxf>
      <fill>
        <patternFill patternType="solid">
          <fgColor rgb="FFFFE699"/>
          <bgColor rgb="FFFDF8B1"/>
        </patternFill>
      </fill>
    </dxf>
    <dxf>
      <fill>
        <patternFill patternType="solid">
          <fgColor rgb="FFFFE699"/>
          <bgColor rgb="FFFDF8B1"/>
        </patternFill>
      </fill>
    </dxf>
    <dxf>
      <fill>
        <patternFill patternType="solid">
          <fgColor rgb="FFFFE699"/>
          <bgColor rgb="FFFDF8B1"/>
        </patternFill>
      </fill>
    </dxf>
    <dxf>
      <fill>
        <patternFill patternType="solid">
          <fgColor rgb="FFFFE699"/>
          <bgColor rgb="FFFDF8B1"/>
        </patternFill>
      </fill>
    </dxf>
  </dxfs>
  <tableStyles count="0" defaultTableStyle="TableStyleMedium2" defaultPivotStyle="PivotStyleLight16"/>
  <colors>
    <mruColors>
      <color rgb="FFF2F7FC"/>
      <color rgb="FFFDF8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0"/>
  <sheetViews>
    <sheetView tabSelected="1" zoomScaleNormal="100" workbookViewId="0">
      <selection activeCell="C7" sqref="C7"/>
    </sheetView>
  </sheetViews>
  <sheetFormatPr baseColWidth="10" defaultColWidth="9.140625" defaultRowHeight="15"/>
  <cols>
    <col min="1" max="2" width="21.5703125" customWidth="1"/>
    <col min="3" max="3" width="28.7109375" customWidth="1"/>
    <col min="4" max="4" width="27" customWidth="1"/>
    <col min="5" max="5" width="22.42578125" customWidth="1"/>
    <col min="6" max="6" width="21.42578125" customWidth="1"/>
    <col min="7" max="7" width="28.7109375" customWidth="1"/>
  </cols>
  <sheetData>
    <row r="1" spans="2:7" ht="36" customHeight="1">
      <c r="B1" s="53" t="s">
        <v>0</v>
      </c>
      <c r="C1" s="54"/>
      <c r="D1" s="54"/>
      <c r="E1" s="54"/>
      <c r="F1" s="54"/>
      <c r="G1" s="55"/>
    </row>
    <row r="2" spans="2:7" ht="36" customHeight="1">
      <c r="B2" s="46" t="s">
        <v>33</v>
      </c>
      <c r="C2" s="50"/>
      <c r="D2" s="51"/>
      <c r="E2" s="52"/>
      <c r="F2" s="46" t="s">
        <v>32</v>
      </c>
      <c r="G2" s="47"/>
    </row>
    <row r="3" spans="2:7" ht="36" customHeight="1">
      <c r="B3" s="58" t="s">
        <v>1</v>
      </c>
      <c r="C3" s="59"/>
      <c r="D3" s="60" t="s">
        <v>2</v>
      </c>
      <c r="E3" s="59"/>
      <c r="F3" s="44" t="s">
        <v>3</v>
      </c>
      <c r="G3" s="49" t="s">
        <v>36</v>
      </c>
    </row>
    <row r="4" spans="2:7" ht="36" customHeight="1">
      <c r="B4" s="45">
        <v>1</v>
      </c>
      <c r="C4" s="48"/>
      <c r="D4" s="46" t="s">
        <v>37</v>
      </c>
      <c r="E4" s="48"/>
      <c r="F4" s="67">
        <f>SUM(C4:C13)</f>
        <v>0</v>
      </c>
      <c r="G4" s="67">
        <f>SUMPRODUCT(B4:B13,C4:C13)</f>
        <v>0</v>
      </c>
    </row>
    <row r="5" spans="2:7" ht="36" customHeight="1">
      <c r="B5" s="45">
        <v>2</v>
      </c>
      <c r="C5" s="48"/>
      <c r="D5" s="46" t="s">
        <v>31</v>
      </c>
      <c r="E5" s="48"/>
    </row>
    <row r="6" spans="2:7" ht="36" customHeight="1">
      <c r="B6" s="45">
        <v>3</v>
      </c>
      <c r="C6" s="48"/>
      <c r="D6" s="46" t="s">
        <v>34</v>
      </c>
      <c r="E6" s="48"/>
    </row>
    <row r="7" spans="2:7" ht="36" customHeight="1">
      <c r="B7" s="45">
        <v>4</v>
      </c>
      <c r="C7" s="48"/>
      <c r="D7" s="46" t="s">
        <v>35</v>
      </c>
      <c r="E7" s="48"/>
    </row>
    <row r="8" spans="2:7" ht="36" customHeight="1">
      <c r="B8" s="45">
        <v>5</v>
      </c>
      <c r="C8" s="48"/>
      <c r="D8" s="49" t="s">
        <v>39</v>
      </c>
      <c r="E8" s="67">
        <f>SUM(E4:E7)</f>
        <v>0</v>
      </c>
    </row>
    <row r="9" spans="2:7" ht="36" customHeight="1">
      <c r="B9" s="45">
        <v>6</v>
      </c>
      <c r="C9" s="48"/>
      <c r="D9" s="56" t="str">
        <f>IF(G4=E8,"Recuento correcto: los totales coinciden.","Revisa los recuentos: los totales no coinciden.")</f>
        <v>Recuento correcto: los totales coinciden.</v>
      </c>
      <c r="E9" s="57"/>
      <c r="F9" s="57"/>
      <c r="G9" s="57"/>
    </row>
    <row r="10" spans="2:7" ht="36" customHeight="1">
      <c r="B10" s="45">
        <v>7</v>
      </c>
      <c r="C10" s="48"/>
      <c r="D10" s="56"/>
      <c r="E10" s="57"/>
      <c r="F10" s="57"/>
      <c r="G10" s="57"/>
    </row>
    <row r="11" spans="2:7" ht="36" customHeight="1">
      <c r="B11" s="45">
        <v>8</v>
      </c>
      <c r="C11" s="48"/>
      <c r="D11" s="56"/>
      <c r="E11" s="57"/>
      <c r="F11" s="57"/>
      <c r="G11" s="57"/>
    </row>
    <row r="12" spans="2:7" ht="36" customHeight="1">
      <c r="B12" s="45">
        <v>9</v>
      </c>
      <c r="C12" s="48"/>
      <c r="D12" s="56"/>
      <c r="E12" s="57"/>
      <c r="F12" s="57"/>
      <c r="G12" s="57"/>
    </row>
    <row r="13" spans="2:7" ht="36" customHeight="1">
      <c r="B13" s="45">
        <v>10</v>
      </c>
      <c r="C13" s="48"/>
      <c r="D13" s="56"/>
      <c r="E13" s="57"/>
      <c r="F13" s="57"/>
      <c r="G13" s="57"/>
    </row>
    <row r="16" spans="2:7" ht="39.950000000000003" customHeight="1"/>
    <row r="19" ht="39.950000000000003" customHeight="1"/>
    <row r="20" ht="39.950000000000003" customHeight="1"/>
  </sheetData>
  <sheetProtection algorithmName="SHA-512" hashValue="tAXKZqtk6y/YoKowV0lMw+tuD9Pbhpxj7rIpPzTFoiuZ95emk7X17MBjHgpH0zM3g7Da26LZ8ZHI3AEkQFFv7A==" saltValue="wFhR6rYcAFdx/DuY+N5yuQ==" spinCount="100000" sheet="1" selectLockedCells="1"/>
  <mergeCells count="5">
    <mergeCell ref="C2:E2"/>
    <mergeCell ref="B1:G1"/>
    <mergeCell ref="D9:G13"/>
    <mergeCell ref="B3:C3"/>
    <mergeCell ref="D3:E3"/>
  </mergeCells>
  <conditionalFormatting sqref="C4:C13">
    <cfRule type="expression" dxfId="3" priority="2">
      <formula>C4=""</formula>
    </cfRule>
  </conditionalFormatting>
  <conditionalFormatting sqref="C2:E2">
    <cfRule type="expression" dxfId="2" priority="1">
      <formula>$C$2=""</formula>
    </cfRule>
  </conditionalFormatting>
  <conditionalFormatting sqref="E4:E7">
    <cfRule type="expression" dxfId="1" priority="3">
      <formula>E4=""</formula>
    </cfRule>
  </conditionalFormatting>
  <conditionalFormatting sqref="G2">
    <cfRule type="expression" dxfId="0" priority="5">
      <formula>G2=""</formula>
    </cfRule>
  </conditionalFormatting>
  <dataValidations count="2">
    <dataValidation type="whole" operator="greaterThanOrEqual" allowBlank="1" showErrorMessage="1" errorTitle="Cantidad no válida" error="Escribe un entero mayor o igual que cero." sqref="C4:C13 E4:E7" xr:uid="{00000000-0002-0000-0000-000000000000}">
      <formula1>0</formula1>
    </dataValidation>
    <dataValidation operator="greaterThanOrEqual" allowBlank="1" showInputMessage="1" showErrorMessage="1" sqref="G2" xr:uid="{76ED1714-B22C-43E5-BBDF-5AC7012010D0}"/>
  </dataValidations>
  <pageMargins left="0.25" right="0.25" top="0.75" bottom="0.75" header="0.3" footer="0.3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O32"/>
  <sheetViews>
    <sheetView topLeftCell="A4" zoomScale="98" zoomScaleNormal="98" workbookViewId="0">
      <selection activeCell="B24" sqref="B24"/>
    </sheetView>
  </sheetViews>
  <sheetFormatPr baseColWidth="10" defaultColWidth="10.28515625" defaultRowHeight="15"/>
  <cols>
    <col min="1" max="1" width="10.28515625" style="2"/>
    <col min="2" max="2" width="21.28515625" style="2" customWidth="1"/>
    <col min="3" max="3" width="15.28515625" style="2" customWidth="1"/>
    <col min="4" max="8" width="13.85546875" style="2" customWidth="1"/>
    <col min="9" max="9" width="15.42578125" style="2" customWidth="1"/>
    <col min="10" max="12" width="13.85546875" style="2" customWidth="1"/>
    <col min="13" max="13" width="14.85546875" style="2" customWidth="1"/>
    <col min="14" max="15" width="10.28515625" style="2"/>
  </cols>
  <sheetData>
    <row r="8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.75">
      <c r="A9" s="5"/>
      <c r="B9" s="6"/>
      <c r="C9" s="7"/>
      <c r="D9" s="7"/>
      <c r="E9" s="1"/>
      <c r="F9" s="61" t="s">
        <v>4</v>
      </c>
      <c r="G9" s="61"/>
      <c r="H9" s="61"/>
      <c r="I9" s="61"/>
      <c r="J9" s="61"/>
      <c r="K9" s="61"/>
      <c r="L9" s="4"/>
      <c r="M9" s="4"/>
      <c r="N9" s="8"/>
      <c r="O9" s="4"/>
    </row>
    <row r="10" spans="1:15" ht="15.75">
      <c r="A10" s="4"/>
      <c r="B10" s="9" t="str">
        <f>"Cantd/Familias:  "&amp;SUM(D13:M13)</f>
        <v>Cantd/Familias:  0</v>
      </c>
      <c r="C10" s="7"/>
      <c r="D10" s="7"/>
      <c r="E10" s="1"/>
      <c r="F10" s="61"/>
      <c r="G10" s="61"/>
      <c r="H10" s="61"/>
      <c r="I10" s="61"/>
      <c r="J10" s="61"/>
      <c r="K10" s="61"/>
      <c r="L10" s="3"/>
      <c r="M10" s="4"/>
      <c r="N10" s="8"/>
      <c r="O10" s="4"/>
    </row>
    <row r="11" spans="1:15" ht="60" customHeight="1">
      <c r="A11" s="4"/>
      <c r="B11" s="62" t="s">
        <v>5</v>
      </c>
      <c r="C11" s="63"/>
      <c r="D11" s="63"/>
      <c r="E11" s="64"/>
      <c r="F11" s="65"/>
      <c r="G11" s="65"/>
      <c r="H11" s="66"/>
      <c r="I11" s="66"/>
      <c r="J11" s="65"/>
      <c r="K11" s="65"/>
      <c r="L11" s="65"/>
      <c r="M11" s="65"/>
      <c r="N11" s="4"/>
      <c r="O11" s="4"/>
    </row>
    <row r="12" spans="1:15">
      <c r="A12" s="4"/>
      <c r="B12" s="10"/>
      <c r="C12" s="11" t="s">
        <v>6</v>
      </c>
      <c r="D12" s="12">
        <f>D13*1</f>
        <v>0</v>
      </c>
      <c r="E12" s="12">
        <f>E13*2</f>
        <v>0</v>
      </c>
      <c r="F12" s="12">
        <f>F13*3</f>
        <v>0</v>
      </c>
      <c r="G12" s="12">
        <f>G13*4</f>
        <v>0</v>
      </c>
      <c r="H12" s="12">
        <f>H13*5</f>
        <v>0</v>
      </c>
      <c r="I12" s="12">
        <f>I13*6</f>
        <v>0</v>
      </c>
      <c r="J12" s="12">
        <f>J13*7</f>
        <v>0</v>
      </c>
      <c r="K12" s="12">
        <f>K13*8</f>
        <v>0</v>
      </c>
      <c r="L12" s="12">
        <f>L13*9</f>
        <v>0</v>
      </c>
      <c r="M12" s="12">
        <f>M13*10</f>
        <v>0</v>
      </c>
      <c r="N12" s="13">
        <f>SUM(D12:M12)</f>
        <v>0</v>
      </c>
      <c r="O12" s="4"/>
    </row>
    <row r="13" spans="1:15">
      <c r="A13" s="4"/>
      <c r="B13" s="14"/>
      <c r="C13" s="15" t="s">
        <v>7</v>
      </c>
      <c r="D13" s="16" t="str">
        <f>'Resumen mensual'!$C$4</f>
        <v/>
      </c>
      <c r="E13" s="17" t="str">
        <f>'Resumen mensual'!$C$5</f>
        <v/>
      </c>
      <c r="F13" s="17" t="str">
        <f>'Resumen mensual'!$C$6</f>
        <v/>
      </c>
      <c r="G13" s="17" t="str">
        <f>'Resumen mensual'!$C$7</f>
        <v/>
      </c>
      <c r="H13" s="17" t="str">
        <f>'Resumen mensual'!$C$8</f>
        <v/>
      </c>
      <c r="I13" s="17" t="str">
        <f>'Resumen mensual'!$C$9</f>
        <v/>
      </c>
      <c r="J13" s="17" t="str">
        <f>'Resumen mensual'!$C$10</f>
        <v/>
      </c>
      <c r="K13" s="17" t="str">
        <f>'Resumen mensual'!$C$11</f>
        <v/>
      </c>
      <c r="L13" s="17" t="str">
        <f>'Resumen mensual'!$C$12</f>
        <v/>
      </c>
      <c r="M13" s="17" t="str">
        <f>'Resumen mensual'!$C$13</f>
        <v/>
      </c>
      <c r="N13" s="18">
        <f>SUM(D13:M13)</f>
        <v>0</v>
      </c>
      <c r="O13" s="4"/>
    </row>
    <row r="14" spans="1:15" ht="25.5">
      <c r="A14" s="4"/>
      <c r="B14" s="19" t="s">
        <v>8</v>
      </c>
      <c r="C14" s="20" t="s">
        <v>9</v>
      </c>
      <c r="D14" s="21" t="s">
        <v>10</v>
      </c>
      <c r="E14" s="22" t="s">
        <v>11</v>
      </c>
      <c r="F14" s="22" t="s">
        <v>12</v>
      </c>
      <c r="G14" s="22" t="s">
        <v>13</v>
      </c>
      <c r="H14" s="22" t="s">
        <v>14</v>
      </c>
      <c r="I14" s="22" t="s">
        <v>15</v>
      </c>
      <c r="J14" s="22" t="s">
        <v>16</v>
      </c>
      <c r="K14" s="22" t="s">
        <v>17</v>
      </c>
      <c r="L14" s="22" t="s">
        <v>18</v>
      </c>
      <c r="M14" s="23" t="s">
        <v>19</v>
      </c>
      <c r="N14" s="24" t="s">
        <v>20</v>
      </c>
      <c r="O14" s="4"/>
    </row>
    <row r="15" spans="1:15">
      <c r="A15" s="4"/>
      <c r="B15" s="25" t="s">
        <v>21</v>
      </c>
      <c r="C15" s="26"/>
      <c r="D15" s="27" t="str">
        <f>IFERROR(IF(OR(D$13=0,$N15=""),"",ROUND($N15*1,0)),"")</f>
        <v/>
      </c>
      <c r="E15" s="28" t="str">
        <f>IFERROR(IF(OR(E$13=0,$N15=""),"",ROUND($N15*2,0)),"")</f>
        <v/>
      </c>
      <c r="F15" s="28" t="str">
        <f>IFERROR(IF(OR(F$13=0,$N15=""),"",ROUND($N15*3,0)),"")</f>
        <v/>
      </c>
      <c r="G15" s="28" t="str">
        <f>IFERROR(IF(OR(G$13=0,$N15=""),"",ROUND($N15*4,0)),"")</f>
        <v/>
      </c>
      <c r="H15" s="28" t="str">
        <f>IFERROR(IF(OR(H$13=0,$N15=""),"",ROUND($N15*5,0)),"")</f>
        <v/>
      </c>
      <c r="I15" s="28" t="str">
        <f>IFERROR(IF(OR(I$13=0,$N15=""),"",ROUND($N15*6,0)),"")</f>
        <v/>
      </c>
      <c r="J15" s="28" t="str">
        <f>IFERROR(IF(OR(J$13=0,$N15=""),"",ROUND($N15*7,0)),"")</f>
        <v/>
      </c>
      <c r="K15" s="28" t="str">
        <f>IFERROR(IF(OR(K$13=0,$N15=""),"",ROUND($N15*8,0)),"")</f>
        <v/>
      </c>
      <c r="L15" s="28" t="str">
        <f>IFERROR(IF(OR(L$13=0,$N15=""),"",ROUND($N15*9,0)),"")</f>
        <v/>
      </c>
      <c r="M15" s="29" t="str">
        <f>IFERROR(IF(OR(M$13=0,$N15=""),"",ROUND($N15*10,0)),"")</f>
        <v/>
      </c>
      <c r="N15" s="30" t="str">
        <f>IFERROR(IF($C15="","",IF(AND('Resumen mensual'!$E$8=$N$12,$N$12&gt;0),$C15/$N$12,"")),"")</f>
        <v/>
      </c>
      <c r="O15" s="4"/>
    </row>
    <row r="16" spans="1:15">
      <c r="A16" s="4"/>
      <c r="B16" s="31" t="s">
        <v>22</v>
      </c>
      <c r="C16" s="26"/>
      <c r="D16" s="32" t="str">
        <f>IFERROR(IF(OR(D$13=0,$N16=""),"",ROUND($N16*1,0)),"")</f>
        <v/>
      </c>
      <c r="E16" s="33" t="str">
        <f>IFERROR(IF(OR(E$13=0,$N16=""),"",ROUND($N16*2,0)),"")</f>
        <v/>
      </c>
      <c r="F16" s="33" t="str">
        <f>IFERROR(IF(OR(F$13=0,$N16=""),"",ROUND($N16*3,0)),"")</f>
        <v/>
      </c>
      <c r="G16" s="33" t="str">
        <f>IFERROR(IF(OR(G$13=0,$N16=""),"",ROUND($N16*4,0)),"")</f>
        <v/>
      </c>
      <c r="H16" s="33" t="str">
        <f>IFERROR(IF(OR(H$13=0,$N16=""),"",ROUND($N16*5,0)),"")</f>
        <v/>
      </c>
      <c r="I16" s="33" t="str">
        <f>IFERROR(IF(OR(I$13=0,$N16=""),"",ROUND($N16*6,0)),"")</f>
        <v/>
      </c>
      <c r="J16" s="33" t="str">
        <f>IFERROR(IF(OR(J$13=0,$N16=""),"",ROUND($N16*7,0)),"")</f>
        <v/>
      </c>
      <c r="K16" s="33" t="str">
        <f>IFERROR(IF(OR(K$13=0,$N16=""),"",ROUND($N16*8,0)),"")</f>
        <v/>
      </c>
      <c r="L16" s="33" t="str">
        <f>IFERROR(IF(OR(L$13=0,$N16=""),"",ROUND($N16*9,0)),"")</f>
        <v/>
      </c>
      <c r="M16" s="34" t="str">
        <f>IFERROR(IF(OR(M$13=0,$N16=""),"",ROUND($N16*10,0)),"")</f>
        <v/>
      </c>
      <c r="N16" s="35" t="str">
        <f>IFERROR(IF($C16="","",IF(AND('Resumen mensual'!$E$8=$N$12,$N$12&gt;0),$C16/$N$12,"")),"")</f>
        <v/>
      </c>
      <c r="O16" s="4"/>
    </row>
    <row r="17" spans="1:15">
      <c r="A17" s="4"/>
      <c r="B17" s="31" t="s">
        <v>23</v>
      </c>
      <c r="C17" s="26"/>
      <c r="D17" s="32" t="str">
        <f>IFERROR(IF(OR(D$13=0,$N17=""),"",ROUND($N17*1,0)),"")</f>
        <v/>
      </c>
      <c r="E17" s="33" t="str">
        <f>IFERROR(IF(OR(E$13=0,$N17=""),"",ROUND($N17*2,0)),"")</f>
        <v/>
      </c>
      <c r="F17" s="33" t="str">
        <f>IFERROR(IF(OR(F$13=0,$N17=""),"",ROUND($N17*3,0)),"")</f>
        <v/>
      </c>
      <c r="G17" s="33" t="str">
        <f>IFERROR(IF(OR(G$13=0,$N17=""),"",ROUND($N17*4,0)),"")</f>
        <v/>
      </c>
      <c r="H17" s="33" t="str">
        <f>IFERROR(IF(OR(H$13=0,$N17=""),"",ROUND($N17*5,0)),"")</f>
        <v/>
      </c>
      <c r="I17" s="33" t="str">
        <f>IFERROR(IF(OR(I$13=0,$N17=""),"",ROUND($N17*6,0)),"")</f>
        <v/>
      </c>
      <c r="J17" s="33" t="str">
        <f>IFERROR(IF(OR(J$13=0,$N17=""),"",ROUND($N17*7,0)),"")</f>
        <v/>
      </c>
      <c r="K17" s="33" t="str">
        <f>IFERROR(IF(OR(K$13=0,$N17=""),"",ROUND($N17*8,0)),"")</f>
        <v/>
      </c>
      <c r="L17" s="33" t="str">
        <f>IFERROR(IF(OR(L$13=0,$N17=""),"",ROUND($N17*9,0)),"")</f>
        <v/>
      </c>
      <c r="M17" s="34" t="str">
        <f>IFERROR(IF(OR(M$13=0,$N17=""),"",ROUND($N17*10,0)),"")</f>
        <v/>
      </c>
      <c r="N17" s="35" t="str">
        <f>IFERROR(IF($C17="","",IF(AND('Resumen mensual'!$E$8=$N$12,$N$12&gt;0),$C17/$N$12,"")),"")</f>
        <v/>
      </c>
      <c r="O17" s="4"/>
    </row>
    <row r="18" spans="1:15">
      <c r="A18" s="4"/>
      <c r="B18" s="31" t="s">
        <v>24</v>
      </c>
      <c r="C18" s="26"/>
      <c r="D18" s="32" t="str">
        <f>IFERROR(IF(OR(D$13=0,$N18=""),"",ROUND($N18*1,0)),"")</f>
        <v/>
      </c>
      <c r="E18" s="33" t="str">
        <f>IFERROR(IF(OR(E$13=0,$N18=""),"",ROUND($N18*2,0)),"")</f>
        <v/>
      </c>
      <c r="F18" s="33" t="str">
        <f>IFERROR(IF(OR(F$13=0,$N18=""),"",ROUND($N18*3,0)),"")</f>
        <v/>
      </c>
      <c r="G18" s="33" t="str">
        <f>IFERROR(IF(OR(G$13=0,$N18=""),"",ROUND($N18*4,0)),"")</f>
        <v/>
      </c>
      <c r="H18" s="33" t="str">
        <f>IFERROR(IF(OR(H$13=0,$N18=""),"",ROUND($N18*5,0)),"")</f>
        <v/>
      </c>
      <c r="I18" s="33" t="str">
        <f>IFERROR(IF(OR(I$13=0,$N18=""),"",ROUND($N18*6,0)),"")</f>
        <v/>
      </c>
      <c r="J18" s="33" t="str">
        <f>IFERROR(IF(OR(J$13=0,$N18=""),"",ROUND($N18*7,0)),"")</f>
        <v/>
      </c>
      <c r="K18" s="33" t="str">
        <f>IFERROR(IF(OR(K$13=0,$N18=""),"",ROUND($N18*8,0)),"")</f>
        <v/>
      </c>
      <c r="L18" s="33" t="str">
        <f>IFERROR(IF(OR(L$13=0,$N18=""),"",ROUND($N18*9,0)),"")</f>
        <v/>
      </c>
      <c r="M18" s="34" t="str">
        <f>IFERROR(IF(OR(M$13=0,$N18=""),"",ROUND($N18*10,0)),"")</f>
        <v/>
      </c>
      <c r="N18" s="35" t="str">
        <f>IFERROR(IF($C18="","",IF(AND('Resumen mensual'!$E$8=$N$12,$N$12&gt;0),$C18/$N$12,"")),"")</f>
        <v/>
      </c>
      <c r="O18" s="4"/>
    </row>
    <row r="19" spans="1:15">
      <c r="A19" s="4"/>
      <c r="B19" s="31" t="s">
        <v>25</v>
      </c>
      <c r="C19" s="26"/>
      <c r="D19" s="32" t="str">
        <f>IFERROR(IF(OR(D$13=0,$N19=""),"",ROUND($N19*1,0)),"")</f>
        <v/>
      </c>
      <c r="E19" s="33" t="str">
        <f>IFERROR(IF(OR(E$13=0,$N19=""),"",ROUND($N19*2,0)),"")</f>
        <v/>
      </c>
      <c r="F19" s="33" t="str">
        <f>IFERROR(IF(OR(F$13=0,$N19=""),"",ROUND($N19*3,0)),"")</f>
        <v/>
      </c>
      <c r="G19" s="33" t="str">
        <f>IFERROR(IF(OR(G$13=0,$N19=""),"",ROUND($N19*4,0)),"")</f>
        <v/>
      </c>
      <c r="H19" s="33" t="str">
        <f>IFERROR(IF(OR(H$13=0,$N19=""),"",ROUND($N19*5,0)),"")</f>
        <v/>
      </c>
      <c r="I19" s="33" t="str">
        <f>IFERROR(IF(OR(I$13=0,$N19=""),"",ROUND($N19*6,0)),"")</f>
        <v/>
      </c>
      <c r="J19" s="33" t="str">
        <f>IFERROR(IF(OR(J$13=0,$N19=""),"",ROUND($N19*7,0)),"")</f>
        <v/>
      </c>
      <c r="K19" s="33" t="str">
        <f>IFERROR(IF(OR(K$13=0,$N19=""),"",ROUND($N19*8,0)),"")</f>
        <v/>
      </c>
      <c r="L19" s="33" t="str">
        <f>IFERROR(IF(OR(L$13=0,$N19=""),"",ROUND($N19*9,0)),"")</f>
        <v/>
      </c>
      <c r="M19" s="34" t="str">
        <f>IFERROR(IF(OR(M$13=0,$N19=""),"",ROUND($N19*10,0)),"")</f>
        <v/>
      </c>
      <c r="N19" s="35" t="str">
        <f>IFERROR(IF($C19="","",IF(AND('Resumen mensual'!$E$8=$N$12,$N$12&gt;0),$C19/$N$12,"")),"")</f>
        <v/>
      </c>
      <c r="O19" s="4"/>
    </row>
    <row r="20" spans="1:15">
      <c r="A20" s="4"/>
      <c r="B20" s="31" t="s">
        <v>26</v>
      </c>
      <c r="C20" s="26"/>
      <c r="D20" s="32" t="str">
        <f>IFERROR(IF(OR(D$13=0,$N20=""),"",ROUND($N20*1,0)),"")</f>
        <v/>
      </c>
      <c r="E20" s="33" t="str">
        <f>IFERROR(IF(OR(E$13=0,$N20=""),"",ROUND($N20*2,0)),"")</f>
        <v/>
      </c>
      <c r="F20" s="33" t="str">
        <f>IFERROR(IF(OR(F$13=0,$N20=""),"",ROUND($N20*3,0)),"")</f>
        <v/>
      </c>
      <c r="G20" s="33" t="str">
        <f>IFERROR(IF(OR(G$13=0,$N20=""),"",ROUND($N20*4,0)),"")</f>
        <v/>
      </c>
      <c r="H20" s="33" t="str">
        <f>IFERROR(IF(OR(H$13=0,$N20=""),"",ROUND($N20*5,0)),"")</f>
        <v/>
      </c>
      <c r="I20" s="33" t="str">
        <f>IFERROR(IF(OR(I$13=0,$N20=""),"",ROUND($N20*6,0)),"")</f>
        <v/>
      </c>
      <c r="J20" s="33" t="str">
        <f>IFERROR(IF(OR(J$13=0,$N20=""),"",ROUND($N20*7,0)),"")</f>
        <v/>
      </c>
      <c r="K20" s="33" t="str">
        <f>IFERROR(IF(OR(K$13=0,$N20=""),"",ROUND($N20*8,0)),"")</f>
        <v/>
      </c>
      <c r="L20" s="33" t="str">
        <f>IFERROR(IF(OR(L$13=0,$N20=""),"",ROUND($N20*9,0)),"")</f>
        <v/>
      </c>
      <c r="M20" s="34" t="str">
        <f>IFERROR(IF(OR(M$13=0,$N20=""),"",ROUND($N20*10,0)),"")</f>
        <v/>
      </c>
      <c r="N20" s="35" t="str">
        <f>IFERROR(IF($C20="","",IF(AND('Resumen mensual'!$E$8=$N$12,$N$12&gt;0),$C20/$N$12,"")),"")</f>
        <v/>
      </c>
      <c r="O20" s="4"/>
    </row>
    <row r="21" spans="1:15">
      <c r="A21" s="4"/>
      <c r="B21" s="31" t="s">
        <v>27</v>
      </c>
      <c r="C21" s="26"/>
      <c r="D21" s="32" t="str">
        <f>IFERROR(IF(OR(D$13=0,$N21=""),"",ROUND($N21*1,0)),"")</f>
        <v/>
      </c>
      <c r="E21" s="33" t="str">
        <f>IFERROR(IF(OR(E$13=0,$N21=""),"",ROUND($N21*2,0)),"")</f>
        <v/>
      </c>
      <c r="F21" s="33" t="str">
        <f>IFERROR(IF(OR(F$13=0,$N21=""),"",ROUND($N21*3,0)),"")</f>
        <v/>
      </c>
      <c r="G21" s="33" t="str">
        <f>IFERROR(IF(OR(G$13=0,$N21=""),"",ROUND($N21*4,0)),"")</f>
        <v/>
      </c>
      <c r="H21" s="33" t="str">
        <f>IFERROR(IF(OR(H$13=0,$N21=""),"",ROUND($N21*5,0)),"")</f>
        <v/>
      </c>
      <c r="I21" s="33" t="str">
        <f>IFERROR(IF(OR(I$13=0,$N21=""),"",ROUND($N21*6,0)),"")</f>
        <v/>
      </c>
      <c r="J21" s="33" t="str">
        <f>IFERROR(IF(OR(J$13=0,$N21=""),"",ROUND($N21*7,0)),"")</f>
        <v/>
      </c>
      <c r="K21" s="33" t="str">
        <f>IFERROR(IF(OR(K$13=0,$N21=""),"",ROUND($N21*8,0)),"")</f>
        <v/>
      </c>
      <c r="L21" s="33" t="str">
        <f>IFERROR(IF(OR(L$13=0,$N21=""),"",ROUND($N21*9,0)),"")</f>
        <v/>
      </c>
      <c r="M21" s="34" t="str">
        <f>IFERROR(IF(OR(M$13=0,$N21=""),"",ROUND($N21*10,0)),"")</f>
        <v/>
      </c>
      <c r="N21" s="35" t="str">
        <f>IFERROR(IF($C21="","",IF(AND('Resumen mensual'!$E$8=$N$12,$N$12&gt;0),$C21/$N$12,"")),"")</f>
        <v/>
      </c>
      <c r="O21" s="4"/>
    </row>
    <row r="22" spans="1:15">
      <c r="A22" s="4"/>
      <c r="B22" s="31" t="s">
        <v>28</v>
      </c>
      <c r="C22" s="26"/>
      <c r="D22" s="32" t="str">
        <f>IFERROR(IF(OR(D$13=0,$N22=""),"",ROUND($N22*1,0)),"")</f>
        <v/>
      </c>
      <c r="E22" s="33" t="str">
        <f>IFERROR(IF(OR(E$13=0,$N22=""),"",ROUND($N22*2,0)),"")</f>
        <v/>
      </c>
      <c r="F22" s="33" t="str">
        <f>IFERROR(IF(OR(F$13=0,$N22=""),"",ROUND($N22*3,0)),"")</f>
        <v/>
      </c>
      <c r="G22" s="33" t="str">
        <f>IFERROR(IF(OR(G$13=0,$N22=""),"",ROUND($N22*4,0)),"")</f>
        <v/>
      </c>
      <c r="H22" s="33" t="str">
        <f>IFERROR(IF(OR(H$13=0,$N22=""),"",ROUND($N22*5,0)),"")</f>
        <v/>
      </c>
      <c r="I22" s="33" t="str">
        <f>IFERROR(IF(OR(I$13=0,$N22=""),"",ROUND($N22*6,0)),"")</f>
        <v/>
      </c>
      <c r="J22" s="33" t="str">
        <f>IFERROR(IF(OR(J$13=0,$N22=""),"",ROUND($N22*7,0)),"")</f>
        <v/>
      </c>
      <c r="K22" s="33" t="str">
        <f>IFERROR(IF(OR(K$13=0,$N22=""),"",ROUND($N22*8,0)),"")</f>
        <v/>
      </c>
      <c r="L22" s="33" t="str">
        <f>IFERROR(IF(OR(L$13=0,$N22=""),"",ROUND($N22*9,0)),"")</f>
        <v/>
      </c>
      <c r="M22" s="34" t="str">
        <f>IFERROR(IF(OR(M$13=0,$N22=""),"",ROUND($N22*10,0)),"")</f>
        <v/>
      </c>
      <c r="N22" s="35" t="str">
        <f>IFERROR(IF($C22="","",IF(AND('Resumen mensual'!$E$8=$N$12,$N$12&gt;0),$C22/$N$12,"")),"")</f>
        <v/>
      </c>
      <c r="O22" s="4"/>
    </row>
    <row r="23" spans="1:15">
      <c r="A23" s="4"/>
      <c r="B23" s="31" t="s">
        <v>29</v>
      </c>
      <c r="C23" s="26"/>
      <c r="D23" s="32" t="str">
        <f>IFERROR(IF(OR(D$13=0,$N23=""),"",ROUND($N23*1,0)),"")</f>
        <v/>
      </c>
      <c r="E23" s="33" t="str">
        <f>IFERROR(IF(OR(E$13=0,$N23=""),"",ROUND($N23*2,0)),"")</f>
        <v/>
      </c>
      <c r="F23" s="33" t="str">
        <f>IFERROR(IF(OR(F$13=0,$N23=""),"",ROUND($N23*3,0)),"")</f>
        <v/>
      </c>
      <c r="G23" s="33" t="str">
        <f>IFERROR(IF(OR(G$13=0,$N23=""),"",ROUND($N23*4,0)),"")</f>
        <v/>
      </c>
      <c r="H23" s="33" t="str">
        <f>IFERROR(IF(OR(H$13=0,$N23=""),"",ROUND($N23*5,0)),"")</f>
        <v/>
      </c>
      <c r="I23" s="33" t="str">
        <f>IFERROR(IF(OR(I$13=0,$N23=""),"",ROUND($N23*6,0)),"")</f>
        <v/>
      </c>
      <c r="J23" s="33" t="str">
        <f>IFERROR(IF(OR(J$13=0,$N23=""),"",ROUND($N23*7,0)),"")</f>
        <v/>
      </c>
      <c r="K23" s="33" t="str">
        <f>IFERROR(IF(OR(K$13=0,$N23=""),"",ROUND($N23*8,0)),"")</f>
        <v/>
      </c>
      <c r="L23" s="33" t="str">
        <f>IFERROR(IF(OR(L$13=0,$N23=""),"",ROUND($N23*9,0)),"")</f>
        <v/>
      </c>
      <c r="M23" s="34" t="str">
        <f>IFERROR(IF(OR(M$13=0,$N23=""),"",ROUND($N23*10,0)),"")</f>
        <v/>
      </c>
      <c r="N23" s="35" t="str">
        <f>IFERROR(IF($C23="","",IF(AND('Resumen mensual'!$E$8=$N$12,$N$12&gt;0),$C23/$N$12,"")),"")</f>
        <v/>
      </c>
      <c r="O23" s="4"/>
    </row>
    <row r="24" spans="1:15">
      <c r="A24" s="4"/>
      <c r="B24" s="36" t="s">
        <v>30</v>
      </c>
      <c r="C24" s="26"/>
      <c r="D24" s="32" t="str">
        <f>IFERROR(IF(OR(D$13=0,$N24=""),"",ROUND($N24*1,0)),"")</f>
        <v/>
      </c>
      <c r="E24" s="33" t="str">
        <f>IFERROR(IF(OR(E$13=0,$N24=""),"",ROUND($N24*2,0)),"")</f>
        <v/>
      </c>
      <c r="F24" s="33" t="str">
        <f>IFERROR(IF(OR(F$13=0,$N24=""),"",ROUND($N24*3,0)),"")</f>
        <v/>
      </c>
      <c r="G24" s="33" t="str">
        <f>IFERROR(IF(OR(G$13=0,$N24=""),"",ROUND($N24*4,0)),"")</f>
        <v/>
      </c>
      <c r="H24" s="33" t="str">
        <f>IFERROR(IF(OR(H$13=0,$N24=""),"",ROUND($N24*5,0)),"")</f>
        <v/>
      </c>
      <c r="I24" s="33" t="str">
        <f>IFERROR(IF(OR(I$13=0,$N24=""),"",ROUND($N24*6,0)),"")</f>
        <v/>
      </c>
      <c r="J24" s="33" t="str">
        <f>IFERROR(IF(OR(J$13=0,$N24=""),"",ROUND($N24*7,0)),"")</f>
        <v/>
      </c>
      <c r="K24" s="33" t="str">
        <f>IFERROR(IF(OR(K$13=0,$N24=""),"",ROUND($N24*8,0)),"")</f>
        <v/>
      </c>
      <c r="L24" s="33" t="str">
        <f>IFERROR(IF(OR(L$13=0,$N24=""),"",ROUND($N24*9,0)),"")</f>
        <v/>
      </c>
      <c r="M24" s="34" t="str">
        <f>IFERROR(IF(OR(M$13=0,$N24=""),"",ROUND($N24*10,0)),"")</f>
        <v/>
      </c>
      <c r="N24" s="35" t="str">
        <f>IFERROR(IF($C24="","",IF(AND('Resumen mensual'!$E$8=$N$12,$N$12&gt;0),$C24/$N$12,"")),"")</f>
        <v/>
      </c>
      <c r="O24" s="4"/>
    </row>
    <row r="25" spans="1:15">
      <c r="A25" s="4"/>
      <c r="B25" s="36" t="s">
        <v>30</v>
      </c>
      <c r="C25" s="26"/>
      <c r="D25" s="32" t="str">
        <f>IFERROR(IF(OR(D$13=0,$N25=""),"",ROUND($N25*1,0)),"")</f>
        <v/>
      </c>
      <c r="E25" s="33" t="str">
        <f>IFERROR(IF(OR(E$13=0,$N25=""),"",ROUND($N25*2,0)),"")</f>
        <v/>
      </c>
      <c r="F25" s="33" t="str">
        <f>IFERROR(IF(OR(F$13=0,$N25=""),"",ROUND($N25*3,0)),"")</f>
        <v/>
      </c>
      <c r="G25" s="33" t="str">
        <f>IFERROR(IF(OR(G$13=0,$N25=""),"",ROUND($N25*4,0)),"")</f>
        <v/>
      </c>
      <c r="H25" s="33" t="str">
        <f>IFERROR(IF(OR(H$13=0,$N25=""),"",ROUND($N25*5,0)),"")</f>
        <v/>
      </c>
      <c r="I25" s="33" t="str">
        <f>IFERROR(IF(OR(I$13=0,$N25=""),"",ROUND($N25*6,0)),"")</f>
        <v/>
      </c>
      <c r="J25" s="33" t="str">
        <f>IFERROR(IF(OR(J$13=0,$N25=""),"",ROUND($N25*7,0)),"")</f>
        <v/>
      </c>
      <c r="K25" s="33" t="str">
        <f>IFERROR(IF(OR(K$13=0,$N25=""),"",ROUND($N25*8,0)),"")</f>
        <v/>
      </c>
      <c r="L25" s="33" t="str">
        <f>IFERROR(IF(OR(L$13=0,$N25=""),"",ROUND($N25*9,0)),"")</f>
        <v/>
      </c>
      <c r="M25" s="34" t="str">
        <f>IFERROR(IF(OR(M$13=0,$N25=""),"",ROUND($N25*10,0)),"")</f>
        <v/>
      </c>
      <c r="N25" s="35" t="str">
        <f>IFERROR(IF($C25="","",IF(AND('Resumen mensual'!$E$8=$N$12,$N$12&gt;0),$C25/$N$12,"")),"")</f>
        <v/>
      </c>
      <c r="O25" s="4"/>
    </row>
    <row r="26" spans="1:15">
      <c r="A26" s="4"/>
      <c r="B26" s="36" t="s">
        <v>30</v>
      </c>
      <c r="C26" s="26"/>
      <c r="D26" s="32" t="str">
        <f>IFERROR(IF(OR(D$13=0,$N26=""),"",ROUND($N26*1,0)),"")</f>
        <v/>
      </c>
      <c r="E26" s="33" t="str">
        <f>IFERROR(IF(OR(E$13=0,$N26=""),"",ROUND($N26*2,0)),"")</f>
        <v/>
      </c>
      <c r="F26" s="33" t="str">
        <f>IFERROR(IF(OR(F$13=0,$N26=""),"",ROUND($N26*3,0)),"")</f>
        <v/>
      </c>
      <c r="G26" s="33" t="str">
        <f>IFERROR(IF(OR(G$13=0,$N26=""),"",ROUND($N26*4,0)),"")</f>
        <v/>
      </c>
      <c r="H26" s="33" t="str">
        <f>IFERROR(IF(OR(H$13=0,$N26=""),"",ROUND($N26*5,0)),"")</f>
        <v/>
      </c>
      <c r="I26" s="33" t="str">
        <f>IFERROR(IF(OR(I$13=0,$N26=""),"",ROUND($N26*6,0)),"")</f>
        <v/>
      </c>
      <c r="J26" s="33" t="str">
        <f>IFERROR(IF(OR(J$13=0,$N26=""),"",ROUND($N26*7,0)),"")</f>
        <v/>
      </c>
      <c r="K26" s="33" t="str">
        <f>IFERROR(IF(OR(K$13=0,$N26=""),"",ROUND($N26*8,0)),"")</f>
        <v/>
      </c>
      <c r="L26" s="33" t="str">
        <f>IFERROR(IF(OR(L$13=0,$N26=""),"",ROUND($N26*9,0)),"")</f>
        <v/>
      </c>
      <c r="M26" s="34" t="str">
        <f>IFERROR(IF(OR(M$13=0,$N26=""),"",ROUND($N26*10,0)),"")</f>
        <v/>
      </c>
      <c r="N26" s="35" t="str">
        <f>IFERROR(IF($C26="","",IF(AND('Resumen mensual'!$E$8=$N$12,$N$12&gt;0),$C26/$N$12,"")),"")</f>
        <v/>
      </c>
      <c r="O26" s="4"/>
    </row>
    <row r="27" spans="1:15">
      <c r="A27" s="4"/>
      <c r="B27" s="36" t="s">
        <v>30</v>
      </c>
      <c r="C27" s="26"/>
      <c r="D27" s="32" t="str">
        <f>IFERROR(IF(OR(D$13=0,$N27=""),"",ROUND($N27*1,0)),"")</f>
        <v/>
      </c>
      <c r="E27" s="33" t="str">
        <f>IFERROR(IF(OR(E$13=0,$N27=""),"",ROUND($N27*2,0)),"")</f>
        <v/>
      </c>
      <c r="F27" s="33" t="str">
        <f>IFERROR(IF(OR(F$13=0,$N27=""),"",ROUND($N27*3,0)),"")</f>
        <v/>
      </c>
      <c r="G27" s="33" t="str">
        <f>IFERROR(IF(OR(G$13=0,$N27=""),"",ROUND($N27*4,0)),"")</f>
        <v/>
      </c>
      <c r="H27" s="33" t="str">
        <f>IFERROR(IF(OR(H$13=0,$N27=""),"",ROUND($N27*5,0)),"")</f>
        <v/>
      </c>
      <c r="I27" s="33" t="str">
        <f>IFERROR(IF(OR(I$13=0,$N27=""),"",ROUND($N27*6,0)),"")</f>
        <v/>
      </c>
      <c r="J27" s="33" t="str">
        <f>IFERROR(IF(OR(J$13=0,$N27=""),"",ROUND($N27*7,0)),"")</f>
        <v/>
      </c>
      <c r="K27" s="33" t="str">
        <f>IFERROR(IF(OR(K$13=0,$N27=""),"",ROUND($N27*8,0)),"")</f>
        <v/>
      </c>
      <c r="L27" s="33" t="str">
        <f>IFERROR(IF(OR(L$13=0,$N27=""),"",ROUND($N27*9,0)),"")</f>
        <v/>
      </c>
      <c r="M27" s="34" t="str">
        <f>IFERROR(IF(OR(M$13=0,$N27=""),"",ROUND($N27*10,0)),"")</f>
        <v/>
      </c>
      <c r="N27" s="35" t="str">
        <f>IFERROR(IF($C27="","",IF(AND('Resumen mensual'!$E$8=$N$12,$N$12&gt;0),$C27/$N$12,"")),"")</f>
        <v/>
      </c>
      <c r="O27" s="4"/>
    </row>
    <row r="28" spans="1:15">
      <c r="A28" s="4"/>
      <c r="B28" s="36" t="s">
        <v>30</v>
      </c>
      <c r="C28" s="26"/>
      <c r="D28" s="32" t="str">
        <f>IFERROR(IF(OR(D$13=0,$N28=""),"",ROUND($N28*1,0)),"")</f>
        <v/>
      </c>
      <c r="E28" s="33" t="str">
        <f>IFERROR(IF(OR(E$13=0,$N28=""),"",ROUND($N28*2,0)),"")</f>
        <v/>
      </c>
      <c r="F28" s="33" t="str">
        <f>IFERROR(IF(OR(F$13=0,$N28=""),"",ROUND($N28*3,0)),"")</f>
        <v/>
      </c>
      <c r="G28" s="33" t="str">
        <f>IFERROR(IF(OR(G$13=0,$N28=""),"",ROUND($N28*4,0)),"")</f>
        <v/>
      </c>
      <c r="H28" s="33" t="str">
        <f>IFERROR(IF(OR(H$13=0,$N28=""),"",ROUND($N28*5,0)),"")</f>
        <v/>
      </c>
      <c r="I28" s="33" t="str">
        <f>IFERROR(IF(OR(I$13=0,$N28=""),"",ROUND($N28*6,0)),"")</f>
        <v/>
      </c>
      <c r="J28" s="33" t="str">
        <f>IFERROR(IF(OR(J$13=0,$N28=""),"",ROUND($N28*7,0)),"")</f>
        <v/>
      </c>
      <c r="K28" s="33" t="str">
        <f>IFERROR(IF(OR(K$13=0,$N28=""),"",ROUND($N28*8,0)),"")</f>
        <v/>
      </c>
      <c r="L28" s="33" t="str">
        <f>IFERROR(IF(OR(L$13=0,$N28=""),"",ROUND($N28*9,0)),"")</f>
        <v/>
      </c>
      <c r="M28" s="34" t="str">
        <f>IFERROR(IF(OR(M$13=0,$N28=""),"",ROUND($N28*10,0)),"")</f>
        <v/>
      </c>
      <c r="N28" s="35" t="str">
        <f>IFERROR(IF($C28="","",IF(AND('Resumen mensual'!$E$8=$N$12,$N$12&gt;0),$C28/$N$12,"")),"")</f>
        <v/>
      </c>
      <c r="O28" s="4"/>
    </row>
    <row r="29" spans="1:15">
      <c r="A29" s="4"/>
      <c r="B29" s="36" t="s">
        <v>30</v>
      </c>
      <c r="C29" s="26"/>
      <c r="D29" s="32" t="str">
        <f>IFERROR(IF(OR(D$13=0,$N29=""),"",ROUND($N29*1,0)),"")</f>
        <v/>
      </c>
      <c r="E29" s="33" t="str">
        <f>IFERROR(IF(OR(E$13=0,$N29=""),"",ROUND($N29*2,0)),"")</f>
        <v/>
      </c>
      <c r="F29" s="33" t="str">
        <f>IFERROR(IF(OR(F$13=0,$N29=""),"",ROUND($N29*3,0)),"")</f>
        <v/>
      </c>
      <c r="G29" s="33" t="str">
        <f>IFERROR(IF(OR(G$13=0,$N29=""),"",ROUND($N29*4,0)),"")</f>
        <v/>
      </c>
      <c r="H29" s="33" t="str">
        <f>IFERROR(IF(OR(H$13=0,$N29=""),"",ROUND($N29*5,0)),"")</f>
        <v/>
      </c>
      <c r="I29" s="33" t="str">
        <f>IFERROR(IF(OR(I$13=0,$N29=""),"",ROUND($N29*6,0)),"")</f>
        <v/>
      </c>
      <c r="J29" s="33" t="str">
        <f>IFERROR(IF(OR(J$13=0,$N29=""),"",ROUND($N29*7,0)),"")</f>
        <v/>
      </c>
      <c r="K29" s="33" t="str">
        <f>IFERROR(IF(OR(K$13=0,$N29=""),"",ROUND($N29*8,0)),"")</f>
        <v/>
      </c>
      <c r="L29" s="33" t="str">
        <f>IFERROR(IF(OR(L$13=0,$N29=""),"",ROUND($N29*9,0)),"")</f>
        <v/>
      </c>
      <c r="M29" s="34" t="str">
        <f>IFERROR(IF(OR(M$13=0,$N29=""),"",ROUND($N29*10,0)),"")</f>
        <v/>
      </c>
      <c r="N29" s="35" t="str">
        <f>IFERROR(IF($C29="","",IF(AND('Resumen mensual'!$E$8=$N$12,$N$12&gt;0),$C29/$N$12,"")),"")</f>
        <v/>
      </c>
      <c r="O29" s="4"/>
    </row>
    <row r="30" spans="1:15">
      <c r="A30" s="4"/>
      <c r="B30" s="37" t="s">
        <v>30</v>
      </c>
      <c r="C30" s="26"/>
      <c r="D30" s="38" t="str">
        <f>IFERROR(IF(OR(D$13=0,$N30=""),"",ROUND($N30*1,0)),"")</f>
        <v/>
      </c>
      <c r="E30" s="39" t="str">
        <f>IFERROR(IF(OR(E$13=0,$N30=""),"",ROUND($N30*2,0)),"")</f>
        <v/>
      </c>
      <c r="F30" s="39" t="str">
        <f>IFERROR(IF(OR(F$13=0,$N30=""),"",ROUND($N30*3,0)),"")</f>
        <v/>
      </c>
      <c r="G30" s="39" t="str">
        <f>IFERROR(IF(OR(G$13=0,$N30=""),"",ROUND($N30*4,0)),"")</f>
        <v/>
      </c>
      <c r="H30" s="39" t="str">
        <f>IFERROR(IF(OR(H$13=0,$N30=""),"",ROUND($N30*5,0)),"")</f>
        <v/>
      </c>
      <c r="I30" s="39" t="str">
        <f>IFERROR(IF(OR(I$13=0,$N30=""),"",ROUND($N30*6,0)),"")</f>
        <v/>
      </c>
      <c r="J30" s="39" t="str">
        <f>IFERROR(IF(OR(J$13=0,$N30=""),"",ROUND($N30*7,0)),"")</f>
        <v/>
      </c>
      <c r="K30" s="39" t="str">
        <f>IFERROR(IF(OR(K$13=0,$N30=""),"",ROUND($N30*8,0)),"")</f>
        <v/>
      </c>
      <c r="L30" s="39" t="str">
        <f>IFERROR(IF(OR(L$13=0,$N30=""),"",ROUND($N30*9,0)),"")</f>
        <v/>
      </c>
      <c r="M30" s="40" t="str">
        <f>IFERROR(IF(OR(M$13=0,$N30=""),"",ROUND($N30*10,0)),"")</f>
        <v/>
      </c>
      <c r="N30" s="41" t="str">
        <f>IFERROR(IF($C30="","",IF(AND('Resumen mensual'!$E$8=$N$12,$N$12&gt;0),$C30/$N$12,"")),"")</f>
        <v/>
      </c>
      <c r="O30" s="4"/>
    </row>
    <row r="31" spans="1:15">
      <c r="A31" s="4"/>
      <c r="B31" s="42"/>
      <c r="C31" s="4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</sheetData>
  <mergeCells count="2">
    <mergeCell ref="F9:K10"/>
    <mergeCell ref="B11:M11"/>
  </mergeCells>
  <pageMargins left="0.7" right="0.7" top="1.14375" bottom="1.143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 mensual</vt:lpstr>
      <vt:lpstr>Reparto</vt:lpstr>
      <vt:lpstr>'Resumen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Banco de Alimentos Tenerife</dc:creator>
  <dc:description/>
  <cp:lastModifiedBy>Banco de Alimentos Tenerife</cp:lastModifiedBy>
  <cp:lastPrinted>2026-10-20T12:26:31Z</cp:lastPrinted>
  <dcterms:created xsi:type="dcterms:W3CDTF">2024-06-12T10:39:16Z</dcterms:created>
  <dcterms:modified xsi:type="dcterms:W3CDTF">2026-10-21T08:43:01Z</dcterms:modified>
</cp:coreProperties>
</file>