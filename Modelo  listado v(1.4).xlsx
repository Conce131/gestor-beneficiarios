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do" sheetId="1" state="visible" r:id="rId3"/>
    <sheet name="Reparto" sheetId="2" state="visible" r:id="rId4"/>
    <sheet name="Resumen" sheetId="3" state="visible" r:id="rId5"/>
  </sheets>
  <definedNames>
    <definedName function="false" hidden="false" localSheetId="1" name="TotalBeneficiarios" vbProcedure="false">Reparto!$N$12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<sst xmlns="http://schemas.openxmlformats.org/spreadsheetml/2006/main" count="52" uniqueCount="46">
  <si>
    <t xml:space="preserve">N.º de familias</t>
  </si>
  <si>
    <t xml:space="preserve">N.º de beneficiarios/as</t>
  </si>
  <si>
    <t xml:space="preserve">Nombre</t>
  </si>
  <si>
    <t xml:space="preserve">Apellidos</t>
  </si>
  <si>
    <t xml:space="preserve">Documento</t>
  </si>
  <si>
    <t xml:space="preserve">Fecha de nacimiento</t>
  </si>
  <si>
    <t xml:space="preserve">Edad</t>
  </si>
  <si>
    <t xml:space="preserve">Fecha derivación</t>
  </si>
  <si>
    <t xml:space="preserve">Vigencia</t>
  </si>
  <si>
    <t xml:space="preserve">Alerta</t>
  </si>
  <si>
    <t xml:space="preserve">N.º de miembros familia</t>
  </si>
  <si>
    <t xml:space="preserve">Próxima cita</t>
  </si>
  <si>
    <t xml:space="preserve">ENVASES A REPARTIR POR FAMILIA</t>
  </si>
  <si>
    <t xml:space="preserve">Beneficiarios:</t>
  </si>
  <si>
    <t xml:space="preserve">Familias:</t>
  </si>
  <si>
    <t xml:space="preserve">ALIMENTOS</t>
  </si>
  <si>
    <t xml:space="preserve">CANTIDADES ASIGNADAS</t>
  </si>
  <si>
    <t xml:space="preserve">1 MIEMBROS</t>
  </si>
  <si>
    <t xml:space="preserve">2 MIEMBROS</t>
  </si>
  <si>
    <t xml:space="preserve">3 MIEMBROS</t>
  </si>
  <si>
    <t xml:space="preserve">4 MIEMBROS</t>
  </si>
  <si>
    <t xml:space="preserve">5 MIEMBROS</t>
  </si>
  <si>
    <t xml:space="preserve">6 MIEMBROS</t>
  </si>
  <si>
    <t xml:space="preserve">7 MIEMBROS</t>
  </si>
  <si>
    <t xml:space="preserve">8 MIEMBROS</t>
  </si>
  <si>
    <t xml:space="preserve">9 MIEMBROS</t>
  </si>
  <si>
    <t xml:space="preserve">10 MIEMBROS</t>
  </si>
  <si>
    <t xml:space="preserve">.</t>
  </si>
  <si>
    <t xml:space="preserve">Leche</t>
  </si>
  <si>
    <t xml:space="preserve">Harinas y gofio</t>
  </si>
  <si>
    <t xml:space="preserve">Arroz</t>
  </si>
  <si>
    <t xml:space="preserve">Pasta</t>
  </si>
  <si>
    <t xml:space="preserve">Legumbres</t>
  </si>
  <si>
    <t xml:space="preserve">Salsas variadas</t>
  </si>
  <si>
    <t xml:space="preserve">Aceites</t>
  </si>
  <si>
    <t xml:space="preserve">Pescado en conserva</t>
  </si>
  <si>
    <t xml:space="preserve">Carne en conserva</t>
  </si>
  <si>
    <t xml:space="preserve">VARIOS</t>
  </si>
  <si>
    <t xml:space="preserve">RESUMEN BENEFICIARIOS /AS</t>
  </si>
  <si>
    <t xml:space="preserve">Nº Familias por miembros</t>
  </si>
  <si>
    <t xml:space="preserve">N.º Personas rango por edades</t>
  </si>
  <si>
    <t xml:space="preserve">Nº De familias</t>
  </si>
  <si>
    <t xml:space="preserve">Nº De beneficiarios</t>
  </si>
  <si>
    <t xml:space="preserve">0-2 años</t>
  </si>
  <si>
    <t xml:space="preserve">3-18 años</t>
  </si>
  <si>
    <t xml:space="preserve">19-100 años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</si>
</sst>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"/>
    <numFmt numFmtId="166" formatCode="dd/mm/yyyy"/>
    <numFmt numFmtId="167" formatCode="0"/>
    <numFmt numFmtId="168" formatCode="0.00"/>
    <numFmt numFmtId="169" formatCode="#,##0\ ;[RED]\-#,##0\ "/>
    <numFmt numFmtId="170" formatCode="#,##0.00\ ;[RED]\-#,##0.00\ "/>
    <numFmt numFmtId="171" formatCode="mmm\-yy"/>
  </numFmts>
  <fonts count="32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Liberation Sans1"/>
      <family val="0"/>
      <charset val="1"/>
    </font>
    <font>
      <b val="true"/>
      <sz val="10"/>
      <color rgb="FF000000"/>
      <name val="Liberation Sans1"/>
      <family val="0"/>
      <charset val="1"/>
    </font>
    <font>
      <sz val="10"/>
      <color rgb="FFCC0000"/>
      <name val="Liberation Sans1"/>
      <family val="0"/>
      <charset val="1"/>
    </font>
    <font>
      <sz val="10"/>
      <color rgb="FF000000"/>
      <name val="Liberation Sans1"/>
      <family val="0"/>
      <charset val="1"/>
    </font>
    <font>
      <b val="true"/>
      <sz val="11"/>
      <color theme="1"/>
      <name val="Arial"/>
      <family val="2"/>
      <charset val="1"/>
    </font>
    <font>
      <i val="true"/>
      <sz val="10"/>
      <color rgb="FF808080"/>
      <name val="Liberation Sans1"/>
      <family val="0"/>
      <charset val="1"/>
    </font>
    <font>
      <sz val="10"/>
      <color rgb="FF006600"/>
      <name val="Liberation Sans1"/>
      <family val="0"/>
      <charset val="1"/>
    </font>
    <font>
      <b val="true"/>
      <sz val="18"/>
      <color rgb="FF000000"/>
      <name val="Liberation Sans1"/>
      <family val="0"/>
      <charset val="1"/>
    </font>
    <font>
      <b val="true"/>
      <sz val="24"/>
      <color rgb="FF000000"/>
      <name val="Liberation Sans1"/>
      <family val="0"/>
      <charset val="1"/>
    </font>
    <font>
      <b val="true"/>
      <sz val="12"/>
      <color rgb="FF000000"/>
      <name val="Liberation Sans1"/>
      <family val="0"/>
      <charset val="1"/>
    </font>
    <font>
      <u val="single"/>
      <sz val="10"/>
      <color rgb="FF0000EE"/>
      <name val="Liberation Sans1"/>
      <family val="0"/>
      <charset val="1"/>
    </font>
    <font>
      <sz val="10"/>
      <color rgb="FF333333"/>
      <name val="Liberation Sans1"/>
      <family val="0"/>
      <charset val="1"/>
    </font>
    <font>
      <b val="true"/>
      <i val="true"/>
      <u val="single"/>
      <sz val="10"/>
      <color rgb="FF000000"/>
      <name val="Liberation Sans1"/>
      <family val="0"/>
      <charset val="1"/>
    </font>
    <font>
      <b val="true"/>
      <sz val="10"/>
      <color theme="1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3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1"/>
      <color rgb="FFFF0000"/>
      <name val="Arial"/>
      <family val="2"/>
      <charset val="1"/>
    </font>
    <font>
      <b val="true"/>
      <sz val="11"/>
      <color rgb="FFFF0000"/>
      <name val="Arial"/>
      <family val="2"/>
      <charset val="1"/>
    </font>
    <font>
      <sz val="10"/>
      <color rgb="FF000000"/>
      <name val="Arial1"/>
      <family val="0"/>
      <charset val="1"/>
    </font>
    <font>
      <b val="true"/>
      <sz val="1"/>
      <color rgb="FF000000"/>
      <name val="Arial"/>
      <family val="2"/>
      <charset val="1"/>
    </font>
    <font>
      <sz val="10"/>
      <color rgb="FFBFBFBF"/>
      <name val="Arial"/>
      <family val="2"/>
      <charset val="1"/>
    </font>
    <font>
      <b val="true"/>
      <sz val="14"/>
      <color rgb="FF000000"/>
      <name val="Calibri"/>
      <family val="2"/>
      <charset val="1"/>
    </font>
    <font>
      <sz val="14"/>
      <color rgb="FF000000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7F7F7F"/>
      </patternFill>
    </fill>
    <fill>
      <patternFill patternType="solid">
        <fgColor rgb="FFDDDDDD"/>
        <bgColor rgb="FFD9D9D9"/>
      </patternFill>
    </fill>
    <fill>
      <patternFill patternType="solid">
        <fgColor rgb="FFFFCCCC"/>
        <bgColor rgb="FFFFDBB6"/>
      </patternFill>
    </fill>
    <fill>
      <patternFill patternType="solid">
        <fgColor rgb="FFCC0000"/>
        <bgColor rgb="FFFF0000"/>
      </patternFill>
    </fill>
    <fill>
      <patternFill patternType="solid">
        <fgColor theme="0" tint="-0.05"/>
        <bgColor rgb="FFFFFFFF"/>
      </patternFill>
    </fill>
    <fill>
      <patternFill patternType="solid">
        <fgColor rgb="FFCCFFCC"/>
        <bgColor rgb="FFD9E8F6"/>
      </patternFill>
    </fill>
    <fill>
      <patternFill patternType="solid">
        <fgColor rgb="FFFFFFCC"/>
        <bgColor rgb="FFFFFFFF"/>
      </patternFill>
    </fill>
    <fill>
      <patternFill patternType="solid">
        <fgColor rgb="FFD9E8F6"/>
        <bgColor rgb="FFDDDDDD"/>
      </patternFill>
    </fill>
    <fill>
      <patternFill patternType="solid">
        <fgColor rgb="FFFFFFFF"/>
        <bgColor rgb="FFF2F2F2"/>
      </patternFill>
    </fill>
    <fill>
      <patternFill patternType="solid">
        <fgColor rgb="FFFFDBB6"/>
        <bgColor rgb="FFFFCCCC"/>
      </patternFill>
    </fill>
    <fill>
      <patternFill patternType="solid">
        <fgColor rgb="FFABCDEB"/>
        <bgColor rgb="FFBFBFBF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hair">
        <color theme="0" tint="-0.15"/>
      </left>
      <right style="hair">
        <color theme="0" tint="-0.15"/>
      </right>
      <top style="hair">
        <color theme="0" tint="-0.15"/>
      </top>
      <bottom style="hair">
        <color theme="0" tint="-0.15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hair">
        <color theme="1" tint="0.4999"/>
      </left>
      <right style="hair">
        <color theme="1" tint="0.4999"/>
      </right>
      <top style="hair">
        <color theme="1" tint="0.4999"/>
      </top>
      <bottom style="hair">
        <color theme="1" tint="0.4999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>
        <color rgb="FF002060"/>
      </right>
      <top style="thin"/>
      <bottom style="medium">
        <color rgb="FF002060"/>
      </bottom>
      <diagonal/>
    </border>
    <border diagonalUp="false" diagonalDown="false">
      <left style="medium">
        <color rgb="FF002060"/>
      </left>
      <right style="medium">
        <color rgb="FF002060"/>
      </right>
      <top style="thin"/>
      <bottom style="medium">
        <color rgb="FF002060"/>
      </bottom>
      <diagonal/>
    </border>
    <border diagonalUp="false" diagonalDown="false">
      <left style="medium">
        <color rgb="FF002060"/>
      </left>
      <right style="thin"/>
      <top style="thin"/>
      <bottom style="medium">
        <color rgb="FF002060"/>
      </bottom>
      <diagonal/>
    </border>
    <border diagonalUp="false" diagonalDown="false">
      <left style="medium">
        <color rgb="FF002060"/>
      </left>
      <right style="thin">
        <color rgb="FF002060"/>
      </right>
      <top style="medium">
        <color rgb="FF002060"/>
      </top>
      <bottom style="thin">
        <color theme="1"/>
      </bottom>
      <diagonal/>
    </border>
    <border diagonalUp="false" diagonalDown="false"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 diagonalUp="false" diagonalDown="false">
      <left/>
      <right style="thin">
        <color rgb="FF002060"/>
      </right>
      <top style="medium">
        <color rgb="FF002060"/>
      </top>
      <bottom style="thin">
        <color rgb="FF002060"/>
      </bottom>
      <diagonal/>
    </border>
    <border diagonalUp="false" diagonalDown="false">
      <left style="thin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 diagonalUp="false" diagonalDown="false">
      <left style="thin">
        <color rgb="FF002060"/>
      </left>
      <right style="medium">
        <color rgb="FF002060"/>
      </right>
      <top style="medium">
        <color rgb="FF002060"/>
      </top>
      <bottom style="thin">
        <color rgb="FF002060"/>
      </bottom>
      <diagonal/>
    </border>
    <border diagonalUp="false" diagonalDown="false">
      <left style="medium">
        <color rgb="FF002060"/>
      </left>
      <right style="medium">
        <color rgb="FF002060"/>
      </right>
      <top style="medium">
        <color rgb="FF002060"/>
      </top>
      <bottom style="thin"/>
      <diagonal/>
    </border>
    <border diagonalUp="false" diagonalDown="false">
      <left style="medium">
        <color rgb="FF002060"/>
      </left>
      <right style="thin">
        <color rgb="FF002060"/>
      </right>
      <top style="thin">
        <color theme="1"/>
      </top>
      <bottom style="thin">
        <color theme="1"/>
      </bottom>
      <diagonal/>
    </border>
    <border diagonalUp="false" diagonalDown="false">
      <left/>
      <right style="thin">
        <color rgb="FF002060"/>
      </right>
      <top style="thin">
        <color rgb="FF002060"/>
      </top>
      <bottom style="thin">
        <color rgb="FF002060"/>
      </bottom>
      <diagonal/>
    </border>
    <border diagonalUp="false" diagonalDown="false">
      <left style="thin">
        <color rgb="FF002060"/>
      </left>
      <right style="medium">
        <color rgb="FF002060"/>
      </right>
      <top style="thin">
        <color rgb="FF002060"/>
      </top>
      <bottom style="thin">
        <color rgb="FF002060"/>
      </bottom>
      <diagonal/>
    </border>
    <border diagonalUp="false" diagonalDown="false">
      <left style="medium">
        <color rgb="FF002060"/>
      </left>
      <right style="medium">
        <color rgb="FF002060"/>
      </right>
      <top style="thin"/>
      <bottom style="thin"/>
      <diagonal/>
    </border>
    <border diagonalUp="false" diagonalDown="false">
      <left style="medium">
        <color rgb="FF002060"/>
      </left>
      <right style="thin">
        <color rgb="FF002060"/>
      </right>
      <top style="thin">
        <color theme="1"/>
      </top>
      <bottom style="medium">
        <color rgb="FF002060"/>
      </bottom>
      <diagonal/>
    </border>
    <border diagonalUp="false" diagonalDown="false"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 diagonalUp="false" diagonalDown="false">
      <left style="thin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 diagonalUp="false" diagonalDown="false">
      <left style="thin">
        <color rgb="FF002060"/>
      </left>
      <right style="medium">
        <color rgb="FF002060"/>
      </right>
      <top style="thin">
        <color rgb="FF002060"/>
      </top>
      <bottom style="medium">
        <color rgb="FF002060"/>
      </bottom>
      <diagonal/>
    </border>
    <border diagonalUp="false" diagonalDown="false">
      <left/>
      <right/>
      <top style="medium">
        <color rgb="FF002060"/>
      </top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</borders>
  <cellStyleXfs count="4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1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8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9" borderId="2" applyFont="true" applyBorder="tru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7" borderId="3" applyFont="true" applyBorder="tru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2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9" fillId="0" borderId="0" xfId="2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9" fillId="0" borderId="0" xfId="2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9" fillId="0" borderId="0" xfId="25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19" fillId="0" borderId="0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9" fillId="0" borderId="0" xfId="25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19" fillId="0" borderId="0" xfId="2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9" fillId="0" borderId="0" xfId="2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0" xfId="2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xfId="25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25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25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20" fillId="10" borderId="4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0" fillId="10" borderId="4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0" fillId="10" borderId="4" xfId="2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0" borderId="0" xfId="2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1" fillId="0" borderId="0" xfId="25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21" fillId="0" borderId="0" xfId="25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21" fillId="0" borderId="0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1" fillId="0" borderId="0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0" xfId="25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22" fillId="0" borderId="0" xfId="25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9" fillId="0" borderId="0" xfId="2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0" xfId="2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1" fillId="0" borderId="0" xfId="2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0" xfId="2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21" fillId="0" borderId="0" xfId="2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21" fillId="0" borderId="0" xfId="25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8" fillId="0" borderId="0" xfId="2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9" fillId="0" borderId="0" xfId="25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9" fillId="0" borderId="5" xfId="25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22" fillId="10" borderId="6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0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10" borderId="6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0" xfId="2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" fillId="11" borderId="6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5" fillId="0" borderId="0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5" fillId="0" borderId="0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9" fillId="0" borderId="0" xfId="25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26" fillId="0" borderId="0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2" fillId="0" borderId="0" xfId="2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19" fillId="0" borderId="6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2" fillId="0" borderId="6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7" xfId="25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22" fillId="0" borderId="0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9" fillId="0" borderId="6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7" fillId="0" borderId="6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6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10" borderId="6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8" fillId="10" borderId="6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8" fillId="10" borderId="8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8" fillId="10" borderId="9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8" fillId="10" borderId="10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8" fillId="10" borderId="9" xfId="2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11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21" fillId="12" borderId="12" xfId="2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19" fillId="11" borderId="13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9" fillId="11" borderId="14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9" fillId="11" borderId="15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9" fillId="11" borderId="16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7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19" fillId="11" borderId="18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9" fillId="11" borderId="12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9" fillId="11" borderId="19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9" fillId="11" borderId="20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7" xfId="25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8" fillId="0" borderId="21" xfId="25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9" fontId="19" fillId="11" borderId="22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9" fillId="11" borderId="23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9" fillId="11" borderId="24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9" fillId="11" borderId="9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25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19" fillId="0" borderId="25" xfId="2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0" fillId="13" borderId="4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10" borderId="4" xfId="2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6" xfId="25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20" fillId="10" borderId="4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0" borderId="4" xfId="2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4" xfId="2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20" fillId="10" borderId="4" xfId="2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7" xfId="25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28" xfId="25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2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Bad 8" xfId="24"/>
    <cellStyle name="Default 9" xfId="25"/>
    <cellStyle name="Error 10" xfId="26"/>
    <cellStyle name="FamiliasFondo" xfId="27"/>
    <cellStyle name="Footnote 11" xfId="28"/>
    <cellStyle name="Good 12" xfId="29"/>
    <cellStyle name="Heading 1 14" xfId="30"/>
    <cellStyle name="Heading 13" xfId="31"/>
    <cellStyle name="Heading 2 15" xfId="32"/>
    <cellStyle name="Hyperlink 16" xfId="33"/>
    <cellStyle name="Note 17" xfId="34"/>
    <cellStyle name="Result 18" xfId="35"/>
    <cellStyle name="Sin título1" xfId="36"/>
    <cellStyle name="Status 19" xfId="37"/>
    <cellStyle name="Text 20" xfId="38"/>
    <cellStyle name="Warning 21" xfId="39"/>
  </cellStyles>
  <dxfs count="10">
    <dxf>
      <fill>
        <patternFill patternType="solid">
          <fgColor rgb="FFD9E8F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b val="1"/>
        <color rgb="FFFFFFFF"/>
      </font>
      <fill>
        <patternFill>
          <bgColor rgb="FFCC0000"/>
        </patternFill>
      </fill>
    </dxf>
    <dxf>
      <font>
        <color rgb="FF006600"/>
      </font>
      <fill>
        <patternFill>
          <bgColor rgb="FFCCFFCC"/>
        </patternFill>
      </fill>
    </dxf>
    <dxf>
      <font>
        <name val="Arial"/>
        <charset val="1"/>
        <family val="2"/>
        <b val="1"/>
        <color rgb="FF000000"/>
        <sz val="11"/>
      </font>
      <fill>
        <patternFill>
          <bgColor theme="0" tint="-0.05"/>
        </patternFill>
      </fill>
      <border diagonalUp="false" diagonalDown="false">
        <left style="hair">
          <color theme="0" tint="-0.15"/>
        </left>
        <right style="hair">
          <color theme="0" tint="-0.15"/>
        </right>
        <top style="hair">
          <color theme="0" tint="-0.15"/>
        </top>
        <bottom style="hair">
          <color theme="0" tint="-0.15"/>
        </bottom>
        <diagonal/>
      </border>
    </dxf>
    <dxf>
      <font>
        <name val="Arial"/>
        <charset val="1"/>
        <family val="2"/>
        <b val="1"/>
        <color rgb="FF000000"/>
        <sz val="11"/>
      </font>
      <fill>
        <patternFill>
          <bgColor theme="0" tint="-0.05"/>
        </patternFill>
      </fill>
      <border diagonalUp="false" diagonalDown="false">
        <left style="hair">
          <color theme="0" tint="-0.15"/>
        </left>
        <right style="hair">
          <color theme="0" tint="-0.15"/>
        </right>
        <top style="hair">
          <color theme="0" tint="-0.15"/>
        </top>
        <bottom style="hair">
          <color theme="0" tint="-0.15"/>
        </bottom>
        <diagonal/>
      </border>
    </dxf>
    <dxf>
      <fill>
        <patternFill patternType="solid">
          <fgColor rgb="FFFFDBB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FBFB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8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DDDDDD"/>
      <rgbColor rgb="FFABCDEB"/>
      <rgbColor rgb="FFFFCC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__Anonymous_Sheet_DB__0" displayName="__Anonymous_Sheet_DB__0" ref="A1:K2999" headerRowCount="1" totalsRowCount="0" totalsRowShown="0">
  <autoFilter ref="A1:K2999"/>
  <tableColumns count="11">
    <tableColumn id="1" name="N.º de familias"/>
    <tableColumn id="2" name="N.º de beneficiarios/as"/>
    <tableColumn id="3" name="Nombre"/>
    <tableColumn id="4" name="Apellidos"/>
    <tableColumn id="5" name="Documento"/>
    <tableColumn id="6" name="Fecha de nacimiento"/>
    <tableColumn id="7" name="Edad"/>
    <tableColumn id="8" name="Fecha derivación"/>
    <tableColumn id="9" name="Vigencia"/>
    <tableColumn id="10" name="Alerta"/>
    <tableColumn id="11" name="N.º de miembros familia"/>
  </tableColumns>
</table>
</file>

<file path=xl/tables/table2.xml><?xml version="1.0" encoding="utf-8"?>
<table xmlns="http://schemas.openxmlformats.org/spreadsheetml/2006/main" id="2" name="Borrar2" displayName="Borrar2" ref="B14:N30" headerRowCount="1" totalsRowCount="0" totalsRowShown="0">
  <tableColumns count="13">
    <tableColumn id="1" name="ALIMENTOS"/>
    <tableColumn id="2" name="CANTIDADES ASIGNADAS"/>
    <tableColumn id="3" name="1 MIEMBROS"/>
    <tableColumn id="4" name="2 MIEMBROS"/>
    <tableColumn id="5" name="3 MIEMBROS"/>
    <tableColumn id="6" name="4 MIEMBROS"/>
    <tableColumn id="7" name="5 MIEMBROS"/>
    <tableColumn id="8" name="6 MIEMBROS"/>
    <tableColumn id="9" name="7 MIEMBROS"/>
    <tableColumn id="10" name="8 MIEMBROS"/>
    <tableColumn id="11" name="9 MIEMBROS"/>
    <tableColumn id="12" name="10 MIEMBROS"/>
    <tableColumn id="13" name="."/>
  </tableColumns>
</table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4" activeCellId="0" sqref="E14"/>
    </sheetView>
  </sheetViews>
  <sheetFormatPr defaultColWidth="10.859375" defaultRowHeight="12.75" customHeight="false" zeroHeight="false" outlineLevelRow="0" outlineLevelCol="0"/>
  <cols>
    <col collapsed="false" customWidth="true" hidden="false" outlineLevel="0" max="1" min="1" style="1" width="15.85"/>
    <col collapsed="false" customWidth="true" hidden="false" outlineLevel="0" max="2" min="2" style="1" width="18.14"/>
    <col collapsed="false" customWidth="true" hidden="false" outlineLevel="0" max="3" min="3" style="2" width="25.57"/>
    <col collapsed="false" customWidth="true" hidden="false" outlineLevel="0" max="4" min="4" style="2" width="31.15"/>
    <col collapsed="false" customWidth="true" hidden="false" outlineLevel="0" max="5" min="5" style="3" width="16.57"/>
    <col collapsed="false" customWidth="true" hidden="false" outlineLevel="0" max="6" min="6" style="4" width="19.29"/>
    <col collapsed="false" customWidth="true" hidden="false" outlineLevel="0" max="7" min="7" style="5" width="8.86"/>
    <col collapsed="false" customWidth="true" hidden="false" outlineLevel="0" max="8" min="8" style="6" width="21.29"/>
    <col collapsed="false" customWidth="true" hidden="false" outlineLevel="0" max="9" min="9" style="7" width="13.71"/>
    <col collapsed="false" customWidth="true" hidden="false" outlineLevel="0" max="10" min="10" style="8" width="12.15"/>
    <col collapsed="false" customWidth="true" hidden="false" outlineLevel="0" max="11" min="11" style="8" width="36.57"/>
    <col collapsed="false" customWidth="true" hidden="false" outlineLevel="0" max="12" min="12" style="9" width="17.57"/>
    <col collapsed="false" customWidth="true" hidden="false" outlineLevel="0" max="13" min="13" style="10" width="50"/>
    <col collapsed="false" customWidth="false" hidden="false" outlineLevel="0" max="16" min="14" style="10" width="10.85"/>
    <col collapsed="false" customWidth="false" hidden="false" outlineLevel="0" max="24" min="17" style="11" width="10.85"/>
    <col collapsed="false" customWidth="false" hidden="false" outlineLevel="0" max="25" min="25" style="12" width="10.85"/>
    <col collapsed="false" customWidth="false" hidden="false" outlineLevel="0" max="16384" min="26" style="11" width="10.85"/>
  </cols>
  <sheetData>
    <row r="1" customFormat="false" ht="53.25" hidden="false" customHeight="true" outlineLevel="0" collapsed="false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  <c r="I1" s="14" t="s">
        <v>8</v>
      </c>
      <c r="J1" s="13" t="s">
        <v>9</v>
      </c>
      <c r="K1" s="13" t="s">
        <v>10</v>
      </c>
      <c r="L1" s="15" t="s">
        <v>11</v>
      </c>
      <c r="M1" s="11"/>
      <c r="N1" s="11"/>
      <c r="Q1" s="10"/>
      <c r="R1" s="12"/>
      <c r="S1" s="12"/>
      <c r="T1" s="12"/>
      <c r="U1" s="12"/>
      <c r="V1" s="12"/>
      <c r="W1" s="12"/>
      <c r="X1" s="12"/>
    </row>
    <row r="2" s="11" customFormat="true" ht="13.8" hidden="false" customHeight="false" outlineLevel="0" collapsed="false">
      <c r="A2" s="16"/>
      <c r="B2" s="16"/>
      <c r="C2" s="17"/>
      <c r="D2" s="17"/>
      <c r="E2" s="17"/>
      <c r="F2" s="18"/>
      <c r="G2" s="19" t="str">
        <f aca="true">IF(F2="", "", DATEDIF(F2, TODAY(), "Y"))</f>
        <v/>
      </c>
      <c r="H2" s="18"/>
      <c r="I2" s="18"/>
      <c r="J2" s="19" t="str">
        <f aca="true">IF(ISBLANK(H2), "", I2-TODAY())</f>
        <v/>
      </c>
      <c r="K2" s="19" t="str">
        <f aca="false" t="array" ref="K2:K2">IF(A2&lt;&gt;"",IF(COUNTIF(A3:A$996,"&lt;&gt;")=0,COUNTA(B2:B$996),IFERROR(MATCH(TRUE(),INDEX((A3:A$996&lt;&gt;""),0),0),COUNTA(B2:B$996))),"")</f>
        <v/>
      </c>
      <c r="L2" s="20"/>
      <c r="O2" s="21"/>
      <c r="P2" s="22"/>
      <c r="Q2" s="22"/>
      <c r="R2" s="12"/>
      <c r="S2" s="12"/>
      <c r="T2" s="12"/>
      <c r="U2" s="12"/>
      <c r="V2" s="12"/>
      <c r="W2" s="12"/>
      <c r="X2" s="12"/>
      <c r="Y2" s="12"/>
    </row>
    <row r="3" customFormat="false" ht="13.8" hidden="false" customHeight="false" outlineLevel="0" collapsed="false">
      <c r="A3" s="16"/>
      <c r="B3" s="16"/>
      <c r="C3" s="17"/>
      <c r="D3" s="17"/>
      <c r="E3" s="17"/>
      <c r="F3" s="18"/>
      <c r="G3" s="19" t="str">
        <f aca="true">IF(F3="", "", DATEDIF(F3, TODAY(), "Y"))</f>
        <v/>
      </c>
      <c r="H3" s="18"/>
      <c r="I3" s="18"/>
      <c r="J3" s="19" t="str">
        <f aca="true">IF(ISBLANK(H3), "", I3-TODAY())</f>
        <v/>
      </c>
      <c r="K3" s="19" t="str">
        <f aca="false" t="array" ref="K3:K3">IF(A3&lt;&gt;"",IF(COUNTIF(A4:A$996,"&lt;&gt;")=0,COUNTA(B3:B$996),IFERROR(MATCH(TRUE(),INDEX((A4:A$996&lt;&gt;""),0),0),COUNTA(B3:B$996))),"")</f>
        <v/>
      </c>
      <c r="L3" s="20"/>
      <c r="M3" s="23"/>
      <c r="Q3" s="10"/>
      <c r="R3" s="12"/>
      <c r="S3" s="12"/>
      <c r="T3" s="12"/>
      <c r="U3" s="12"/>
      <c r="V3" s="12"/>
      <c r="W3" s="12"/>
      <c r="X3" s="12"/>
    </row>
    <row r="4" customFormat="false" ht="13.8" hidden="false" customHeight="false" outlineLevel="0" collapsed="false">
      <c r="A4" s="16"/>
      <c r="B4" s="16"/>
      <c r="C4" s="17"/>
      <c r="D4" s="17"/>
      <c r="E4" s="17"/>
      <c r="F4" s="18"/>
      <c r="G4" s="19" t="str">
        <f aca="true">IF(F4="", "", DATEDIF(F4, TODAY(), "Y"))</f>
        <v/>
      </c>
      <c r="H4" s="18"/>
      <c r="I4" s="18"/>
      <c r="J4" s="19" t="str">
        <f aca="true">IF(ISBLANK(H4), "", I4-TODAY())</f>
        <v/>
      </c>
      <c r="K4" s="19" t="str">
        <f aca="false" t="array" ref="K4:K4">IF(A4&lt;&gt;"",IF(COUNTIF(A5:A$996,"&lt;&gt;")=0,COUNTA(B4:B$996),IFERROR(MATCH(TRUE(),INDEX((A5:A$996&lt;&gt;""),0),0),COUNTA(B4:B$996))),"")</f>
        <v/>
      </c>
      <c r="L4" s="20"/>
      <c r="Q4" s="10"/>
      <c r="R4" s="12"/>
      <c r="S4" s="12"/>
      <c r="T4" s="12"/>
      <c r="U4" s="12"/>
      <c r="V4" s="12"/>
      <c r="W4" s="12"/>
      <c r="X4" s="12"/>
    </row>
    <row r="5" s="11" customFormat="true" ht="13.8" hidden="false" customHeight="false" outlineLevel="0" collapsed="false">
      <c r="A5" s="16"/>
      <c r="B5" s="16"/>
      <c r="C5" s="17"/>
      <c r="D5" s="17"/>
      <c r="E5" s="17"/>
      <c r="F5" s="18"/>
      <c r="G5" s="19" t="str">
        <f aca="true">IF(F5="", "", DATEDIF(F5, TODAY(), "Y"))</f>
        <v/>
      </c>
      <c r="H5" s="18"/>
      <c r="I5" s="18"/>
      <c r="J5" s="19" t="str">
        <f aca="true">IF(ISBLANK(H5), "", I5-TODAY())</f>
        <v/>
      </c>
      <c r="K5" s="19" t="str">
        <f aca="false" t="array" ref="K5:K5">IF(A5&lt;&gt;"",IF(COUNTIF(A6:A$996,"&lt;&gt;")=0,COUNTA(B5:B$996),IFERROR(MATCH(TRUE(),INDEX((A6:A$996&lt;&gt;""),0),0),COUNTA(B5:B$996))),"")</f>
        <v/>
      </c>
      <c r="L5" s="20"/>
      <c r="P5" s="10"/>
      <c r="Q5" s="22"/>
      <c r="R5" s="12"/>
      <c r="S5" s="12"/>
      <c r="T5" s="12"/>
      <c r="U5" s="12"/>
      <c r="V5" s="12"/>
      <c r="W5" s="12"/>
      <c r="X5" s="12"/>
      <c r="Y5" s="12"/>
    </row>
    <row r="6" customFormat="false" ht="13.8" hidden="false" customHeight="false" outlineLevel="0" collapsed="false">
      <c r="A6" s="16"/>
      <c r="B6" s="16"/>
      <c r="C6" s="17"/>
      <c r="D6" s="17"/>
      <c r="E6" s="17"/>
      <c r="F6" s="18"/>
      <c r="G6" s="19" t="str">
        <f aca="true">IF(F6="", "", DATEDIF(F6, TODAY(), "Y"))</f>
        <v/>
      </c>
      <c r="H6" s="18"/>
      <c r="I6" s="18"/>
      <c r="J6" s="19" t="str">
        <f aca="true">IF(ISBLANK(H6), "", I6-TODAY())</f>
        <v/>
      </c>
      <c r="K6" s="19" t="str">
        <f aca="false" t="array" ref="K6:K6">IF(A6&lt;&gt;"",IF(COUNTIF(A7:A$996,"&lt;&gt;")=0,COUNTA(B6:B$996),IFERROR(MATCH(TRUE(),INDEX((A7:A$996&lt;&gt;""),0),0),COUNTA(B6:B$996))),"")</f>
        <v/>
      </c>
      <c r="L6" s="20"/>
      <c r="M6" s="22"/>
      <c r="N6" s="22"/>
      <c r="O6" s="22"/>
      <c r="P6" s="22"/>
      <c r="Q6" s="22"/>
      <c r="R6" s="12"/>
      <c r="S6" s="12"/>
      <c r="T6" s="12"/>
      <c r="U6" s="12"/>
      <c r="V6" s="12"/>
      <c r="W6" s="12"/>
      <c r="X6" s="12"/>
    </row>
    <row r="7" customFormat="false" ht="13.8" hidden="false" customHeight="false" outlineLevel="0" collapsed="false">
      <c r="A7" s="16"/>
      <c r="B7" s="16"/>
      <c r="C7" s="17"/>
      <c r="D7" s="17"/>
      <c r="E7" s="17"/>
      <c r="F7" s="18"/>
      <c r="G7" s="19" t="str">
        <f aca="true">IF(F7="", "", DATEDIF(F7, TODAY(), "Y"))</f>
        <v/>
      </c>
      <c r="H7" s="18"/>
      <c r="I7" s="18"/>
      <c r="J7" s="19" t="str">
        <f aca="true">IF(ISBLANK(H7), "", I7-TODAY())</f>
        <v/>
      </c>
      <c r="K7" s="19" t="str">
        <f aca="false" t="array" ref="K7:K7">IF(A7&lt;&gt;"",IF(COUNTIF(A8:A$996,"&lt;&gt;")=0,COUNTA(B7:B$996),IFERROR(MATCH(TRUE(),INDEX((A8:A$996&lt;&gt;""),0),0),COUNTA(B7:B$996))),"")</f>
        <v/>
      </c>
      <c r="L7" s="20"/>
      <c r="R7" s="10"/>
      <c r="S7" s="10"/>
      <c r="T7" s="10"/>
      <c r="U7" s="10"/>
      <c r="V7" s="10"/>
      <c r="W7" s="10"/>
      <c r="X7" s="10"/>
    </row>
    <row r="8" customFormat="false" ht="13.8" hidden="false" customHeight="false" outlineLevel="0" collapsed="false">
      <c r="A8" s="16"/>
      <c r="B8" s="16"/>
      <c r="C8" s="17"/>
      <c r="D8" s="17"/>
      <c r="E8" s="17"/>
      <c r="F8" s="18"/>
      <c r="G8" s="19" t="str">
        <f aca="true">IF(F8="", "", DATEDIF(F8, TODAY(), "Y"))</f>
        <v/>
      </c>
      <c r="H8" s="18"/>
      <c r="I8" s="18"/>
      <c r="J8" s="19" t="str">
        <f aca="true">IF(ISBLANK(H8), "", I8-TODAY())</f>
        <v/>
      </c>
      <c r="K8" s="19" t="str">
        <f aca="false" t="array" ref="K8:K8">IF(A8&lt;&gt;"",IF(COUNTIF(A9:A$996,"&lt;&gt;")=0,COUNTA(B8:B$996),IFERROR(MATCH(TRUE(),INDEX((A9:A$996&lt;&gt;""),0),0),COUNTA(B8:B$996))),"")</f>
        <v/>
      </c>
      <c r="L8" s="20"/>
      <c r="Q8" s="10"/>
    </row>
    <row r="9" customFormat="false" ht="13.8" hidden="false" customHeight="false" outlineLevel="0" collapsed="false">
      <c r="A9" s="16"/>
      <c r="B9" s="16"/>
      <c r="C9" s="17"/>
      <c r="D9" s="17"/>
      <c r="E9" s="17"/>
      <c r="F9" s="18"/>
      <c r="G9" s="19" t="str">
        <f aca="true">IF(F9="", "", DATEDIF(F9, TODAY(), "Y"))</f>
        <v/>
      </c>
      <c r="H9" s="18"/>
      <c r="I9" s="18"/>
      <c r="J9" s="19" t="str">
        <f aca="true">IF(ISBLANK(H9), "", I9-TODAY())</f>
        <v/>
      </c>
      <c r="K9" s="19" t="str">
        <f aca="false" t="array" ref="K9:K9">IF(A9&lt;&gt;"",IF(COUNTIF(A10:A$996,"&lt;&gt;")=0,COUNTA(B9:B$996),IFERROR(MATCH(TRUE(),INDEX((A10:A$996&lt;&gt;""),0),0),COUNTA(B9:B$996))),"")</f>
        <v/>
      </c>
      <c r="L9" s="20"/>
      <c r="Q9" s="10"/>
    </row>
    <row r="10" customFormat="false" ht="13.8" hidden="false" customHeight="false" outlineLevel="0" collapsed="false">
      <c r="A10" s="16"/>
      <c r="B10" s="16"/>
      <c r="C10" s="17"/>
      <c r="D10" s="17"/>
      <c r="E10" s="17"/>
      <c r="F10" s="18"/>
      <c r="G10" s="19" t="str">
        <f aca="true">IF(F10="", "", DATEDIF(F10, TODAY(), "Y"))</f>
        <v/>
      </c>
      <c r="H10" s="18"/>
      <c r="I10" s="18"/>
      <c r="J10" s="19" t="str">
        <f aca="true">IF(ISBLANK(H10), "", I10-TODAY())</f>
        <v/>
      </c>
      <c r="K10" s="19" t="str">
        <f aca="false" t="array" ref="K10:K10">IF(A10&lt;&gt;"",IF(COUNTIF(A11:A$996,"&lt;&gt;")=0,COUNTA(B10:B$996),IFERROR(MATCH(TRUE(),INDEX((A11:A$996&lt;&gt;""),0),0),COUNTA(B10:B$996))),"")</f>
        <v/>
      </c>
      <c r="L10" s="20"/>
    </row>
    <row r="11" customFormat="false" ht="13.8" hidden="false" customHeight="false" outlineLevel="0" collapsed="false">
      <c r="A11" s="16"/>
      <c r="B11" s="16"/>
      <c r="C11" s="17"/>
      <c r="D11" s="17"/>
      <c r="E11" s="17"/>
      <c r="F11" s="18"/>
      <c r="G11" s="19" t="str">
        <f aca="true">IF(F11="", "", DATEDIF(F11, TODAY(), "Y"))</f>
        <v/>
      </c>
      <c r="H11" s="18"/>
      <c r="I11" s="18"/>
      <c r="J11" s="19" t="str">
        <f aca="true">IF(ISBLANK(H11), "", I11-TODAY())</f>
        <v/>
      </c>
      <c r="K11" s="19" t="str">
        <f aca="false" t="array" ref="K11:K11">IF(A11&lt;&gt;"",IF(COUNTIF(A12:A$996,"&lt;&gt;")=0,COUNTA(B11:B$996),IFERROR(MATCH(TRUE(),INDEX((A12:A$996&lt;&gt;""),0),0),COUNTA(B11:B$996))),"")</f>
        <v/>
      </c>
      <c r="L11" s="20"/>
    </row>
    <row r="12" customFormat="false" ht="13.8" hidden="false" customHeight="false" outlineLevel="0" collapsed="false">
      <c r="A12" s="16"/>
      <c r="B12" s="16"/>
      <c r="C12" s="17"/>
      <c r="D12" s="17"/>
      <c r="E12" s="17"/>
      <c r="F12" s="18"/>
      <c r="G12" s="19" t="str">
        <f aca="true">IF(F12="", "", DATEDIF(F12, TODAY(), "Y"))</f>
        <v/>
      </c>
      <c r="H12" s="18"/>
      <c r="I12" s="18"/>
      <c r="J12" s="19" t="str">
        <f aca="true">IF(ISBLANK(H12), "", I12-TODAY())</f>
        <v/>
      </c>
      <c r="K12" s="19" t="str">
        <f aca="false" t="array" ref="K12:K12">IF(A12&lt;&gt;"",IF(COUNTIF(A13:A$996,"&lt;&gt;")=0,COUNTA(B12:B$996),IFERROR(MATCH(TRUE(),INDEX((A13:A$996&lt;&gt;""),0),0),COUNTA(B12:B$996))),"")</f>
        <v/>
      </c>
      <c r="L12" s="20"/>
    </row>
    <row r="13" customFormat="false" ht="13.8" hidden="false" customHeight="false" outlineLevel="0" collapsed="false">
      <c r="A13" s="16"/>
      <c r="B13" s="16"/>
      <c r="C13" s="17"/>
      <c r="D13" s="17"/>
      <c r="E13" s="17"/>
      <c r="F13" s="18"/>
      <c r="G13" s="19" t="str">
        <f aca="true">IF(F13="", "", DATEDIF(F13, TODAY(), "Y"))</f>
        <v/>
      </c>
      <c r="H13" s="18"/>
      <c r="I13" s="18"/>
      <c r="J13" s="19" t="str">
        <f aca="true">IF(ISBLANK(H13), "", I13-TODAY())</f>
        <v/>
      </c>
      <c r="K13" s="19" t="str">
        <f aca="false" t="array" ref="K13:K13">IF(A13&lt;&gt;"",IF(COUNTIF(A14:A$996,"&lt;&gt;")=0,COUNTA(B13:B$996),IFERROR(MATCH(TRUE(),INDEX((A14:A$996&lt;&gt;""),0),0),COUNTA(B13:B$996))),"")</f>
        <v/>
      </c>
      <c r="L13" s="20"/>
    </row>
    <row r="14" customFormat="false" ht="13.8" hidden="false" customHeight="false" outlineLevel="0" collapsed="false">
      <c r="A14" s="16"/>
      <c r="B14" s="16"/>
      <c r="C14" s="17"/>
      <c r="D14" s="17"/>
      <c r="E14" s="17"/>
      <c r="F14" s="18"/>
      <c r="G14" s="19" t="str">
        <f aca="true">IF(F14="", "", DATEDIF(F14, TODAY(), "Y"))</f>
        <v/>
      </c>
      <c r="H14" s="18"/>
      <c r="I14" s="18"/>
      <c r="J14" s="19" t="str">
        <f aca="true">IF(ISBLANK(H14), "", I14-TODAY())</f>
        <v/>
      </c>
      <c r="K14" s="19" t="str">
        <f aca="false" t="array" ref="K14:K14">IF(A14&lt;&gt;"",IF(COUNTIF(A15:A$996,"&lt;&gt;")=0,COUNTA(B14:B$996),IFERROR(MATCH(TRUE(),INDEX((A15:A$996&lt;&gt;""),0),0),COUNTA(B14:B$996))),"")</f>
        <v/>
      </c>
      <c r="L14" s="20"/>
    </row>
    <row r="15" customFormat="false" ht="13.8" hidden="false" customHeight="false" outlineLevel="0" collapsed="false">
      <c r="A15" s="16"/>
      <c r="B15" s="16"/>
      <c r="C15" s="17"/>
      <c r="D15" s="17"/>
      <c r="E15" s="17"/>
      <c r="F15" s="18"/>
      <c r="G15" s="19" t="str">
        <f aca="true">IF(F15="", "", DATEDIF(F15, TODAY(), "Y"))</f>
        <v/>
      </c>
      <c r="H15" s="18"/>
      <c r="I15" s="18"/>
      <c r="J15" s="19" t="str">
        <f aca="true">IF(ISBLANK(H15), "", I15-TODAY())</f>
        <v/>
      </c>
      <c r="K15" s="19" t="str">
        <f aca="false" t="array" ref="K15:K15">IF(A15&lt;&gt;"",IF(COUNTIF(A16:A$996,"&lt;&gt;")=0,COUNTA(B15:B$996),IFERROR(MATCH(TRUE(),INDEX((A16:A$996&lt;&gt;""),0),0),COUNTA(B15:B$996))),"")</f>
        <v/>
      </c>
      <c r="L15" s="20"/>
    </row>
    <row r="16" customFormat="false" ht="13.8" hidden="false" customHeight="false" outlineLevel="0" collapsed="false">
      <c r="A16" s="16"/>
      <c r="B16" s="16"/>
      <c r="C16" s="17"/>
      <c r="D16" s="17"/>
      <c r="E16" s="17"/>
      <c r="F16" s="18"/>
      <c r="G16" s="19" t="str">
        <f aca="true">IF(F16="", "", DATEDIF(F16, TODAY(), "Y"))</f>
        <v/>
      </c>
      <c r="H16" s="18"/>
      <c r="I16" s="18"/>
      <c r="J16" s="19" t="str">
        <f aca="true">IF(ISBLANK(H16), "", I16-TODAY())</f>
        <v/>
      </c>
      <c r="K16" s="19" t="str">
        <f aca="false" t="array" ref="K16:K16">IF(A16&lt;&gt;"",IF(COUNTIF(A17:A$996,"&lt;&gt;")=0,COUNTA(B16:B$996),IFERROR(MATCH(TRUE(),INDEX((A17:A$996&lt;&gt;""),0),0),COUNTA(B16:B$996))),"")</f>
        <v/>
      </c>
      <c r="L16" s="20"/>
    </row>
    <row r="17" customFormat="false" ht="13.8" hidden="false" customHeight="false" outlineLevel="0" collapsed="false">
      <c r="A17" s="16"/>
      <c r="B17" s="16"/>
      <c r="C17" s="17"/>
      <c r="D17" s="17"/>
      <c r="E17" s="17"/>
      <c r="F17" s="18"/>
      <c r="G17" s="19" t="str">
        <f aca="true">IF(F17="", "", DATEDIF(F17, TODAY(), "Y"))</f>
        <v/>
      </c>
      <c r="H17" s="18"/>
      <c r="I17" s="18"/>
      <c r="J17" s="19" t="str">
        <f aca="true">IF(ISBLANK(H17), "", I17-TODAY())</f>
        <v/>
      </c>
      <c r="K17" s="19" t="str">
        <f aca="false" t="array" ref="K17:K17">IF(A17&lt;&gt;"",IF(COUNTIF(A18:A$996,"&lt;&gt;")=0,COUNTA(B17:B$996),IFERROR(MATCH(TRUE(),INDEX((A18:A$996&lt;&gt;""),0),0),COUNTA(B17:B$996))),"")</f>
        <v/>
      </c>
      <c r="L17" s="20"/>
    </row>
    <row r="18" customFormat="false" ht="13.8" hidden="false" customHeight="false" outlineLevel="0" collapsed="false">
      <c r="A18" s="16"/>
      <c r="B18" s="16"/>
      <c r="C18" s="17"/>
      <c r="D18" s="17"/>
      <c r="E18" s="17"/>
      <c r="F18" s="18"/>
      <c r="G18" s="19" t="str">
        <f aca="true">IF(F18="", "", DATEDIF(F18, TODAY(), "Y"))</f>
        <v/>
      </c>
      <c r="H18" s="18"/>
      <c r="I18" s="18"/>
      <c r="J18" s="19" t="str">
        <f aca="true">IF(ISBLANK(H18), "", I18-TODAY())</f>
        <v/>
      </c>
      <c r="K18" s="19" t="str">
        <f aca="false" t="array" ref="K18:K18">IF(A18&lt;&gt;"",IF(COUNTIF(A19:A$996,"&lt;&gt;")=0,COUNTA(B18:B$996),IFERROR(MATCH(TRUE(),INDEX((A19:A$996&lt;&gt;""),0),0),COUNTA(B18:B$996))),"")</f>
        <v/>
      </c>
      <c r="L18" s="20"/>
    </row>
    <row r="19" customFormat="false" ht="13.8" hidden="false" customHeight="false" outlineLevel="0" collapsed="false">
      <c r="A19" s="16"/>
      <c r="B19" s="16"/>
      <c r="C19" s="17"/>
      <c r="D19" s="17"/>
      <c r="E19" s="17"/>
      <c r="F19" s="18"/>
      <c r="G19" s="19" t="str">
        <f aca="true">IF(F19="", "", DATEDIF(F19, TODAY(), "Y"))</f>
        <v/>
      </c>
      <c r="H19" s="18"/>
      <c r="I19" s="18"/>
      <c r="J19" s="19" t="str">
        <f aca="true">IF(ISBLANK(H19), "", I19-TODAY())</f>
        <v/>
      </c>
      <c r="K19" s="19" t="str">
        <f aca="false" t="array" ref="K19:K19">IF(A19&lt;&gt;"",IF(COUNTIF(A20:A$996,"&lt;&gt;")=0,COUNTA(B19:B$996),IFERROR(MATCH(TRUE(),INDEX((A20:A$996&lt;&gt;""),0),0),COUNTA(B19:B$996))),"")</f>
        <v/>
      </c>
      <c r="L19" s="20"/>
    </row>
    <row r="20" customFormat="false" ht="13.8" hidden="false" customHeight="false" outlineLevel="0" collapsed="false">
      <c r="A20" s="16"/>
      <c r="B20" s="16"/>
      <c r="C20" s="17"/>
      <c r="D20" s="17"/>
      <c r="E20" s="17"/>
      <c r="F20" s="18"/>
      <c r="G20" s="19" t="str">
        <f aca="true">IF(F20="", "", DATEDIF(F20, TODAY(), "Y"))</f>
        <v/>
      </c>
      <c r="H20" s="18"/>
      <c r="I20" s="18"/>
      <c r="J20" s="19" t="str">
        <f aca="true">IF(ISBLANK(H20), "", I20-TODAY())</f>
        <v/>
      </c>
      <c r="K20" s="19" t="str">
        <f aca="false" t="array" ref="K20:K20">IF(A20&lt;&gt;"",IF(COUNTIF(A21:A$996,"&lt;&gt;")=0,COUNTA(B20:B$996),IFERROR(MATCH(TRUE(),INDEX((A21:A$996&lt;&gt;""),0),0),COUNTA(B20:B$996))),"")</f>
        <v/>
      </c>
      <c r="L20" s="20"/>
    </row>
    <row r="21" customFormat="false" ht="13.8" hidden="false" customHeight="false" outlineLevel="0" collapsed="false">
      <c r="A21" s="16"/>
      <c r="B21" s="16"/>
      <c r="C21" s="17"/>
      <c r="D21" s="17"/>
      <c r="E21" s="17"/>
      <c r="F21" s="18"/>
      <c r="G21" s="19" t="str">
        <f aca="true">IF(F21="", "", DATEDIF(F21, TODAY(), "Y"))</f>
        <v/>
      </c>
      <c r="H21" s="18"/>
      <c r="I21" s="18"/>
      <c r="J21" s="19" t="str">
        <f aca="true">IF(ISBLANK(H21), "", I21-TODAY())</f>
        <v/>
      </c>
      <c r="K21" s="19" t="str">
        <f aca="false" t="array" ref="K21:K21">IF(A21&lt;&gt;"",IF(COUNTIF(A22:A$996,"&lt;&gt;")=0,COUNTA(B21:B$996),IFERROR(MATCH(TRUE(),INDEX((A22:A$996&lt;&gt;""),0),0),COUNTA(B21:B$996))),"")</f>
        <v/>
      </c>
      <c r="L21" s="20"/>
    </row>
    <row r="22" customFormat="false" ht="13.8" hidden="false" customHeight="false" outlineLevel="0" collapsed="false">
      <c r="A22" s="16"/>
      <c r="B22" s="16"/>
      <c r="C22" s="17"/>
      <c r="D22" s="17"/>
      <c r="E22" s="17"/>
      <c r="F22" s="18"/>
      <c r="G22" s="19" t="str">
        <f aca="true">IF(F22="", "", DATEDIF(F22, TODAY(), "Y"))</f>
        <v/>
      </c>
      <c r="H22" s="18"/>
      <c r="I22" s="18"/>
      <c r="J22" s="19" t="str">
        <f aca="true">IF(ISBLANK(H22), "", I22-TODAY())</f>
        <v/>
      </c>
      <c r="K22" s="19" t="str">
        <f aca="false" t="array" ref="K22:K22">IF(A22&lt;&gt;"",IF(COUNTIF(A23:A$996,"&lt;&gt;")=0,COUNTA(B22:B$996),IFERROR(MATCH(TRUE(),INDEX((A23:A$996&lt;&gt;""),0),0),COUNTA(B22:B$996))),"")</f>
        <v/>
      </c>
      <c r="L22" s="20"/>
    </row>
    <row r="23" customFormat="false" ht="13.8" hidden="false" customHeight="false" outlineLevel="0" collapsed="false">
      <c r="A23" s="16"/>
      <c r="B23" s="16"/>
      <c r="C23" s="17"/>
      <c r="D23" s="17"/>
      <c r="E23" s="17"/>
      <c r="F23" s="18"/>
      <c r="G23" s="19" t="str">
        <f aca="true">IF(F23="", "", DATEDIF(F23, TODAY(), "Y"))</f>
        <v/>
      </c>
      <c r="H23" s="18"/>
      <c r="I23" s="18"/>
      <c r="J23" s="19" t="str">
        <f aca="true">IF(ISBLANK(H23), "", I23-TODAY())</f>
        <v/>
      </c>
      <c r="K23" s="19" t="str">
        <f aca="false" t="array" ref="K23:K23">IF(A23&lt;&gt;"",IF(COUNTIF(A24:A$996,"&lt;&gt;")=0,COUNTA(B23:B$996),IFERROR(MATCH(TRUE(),INDEX((A24:A$996&lt;&gt;""),0),0),COUNTA(B23:B$996))),"")</f>
        <v/>
      </c>
      <c r="L23" s="20"/>
    </row>
    <row r="24" customFormat="false" ht="13.8" hidden="false" customHeight="false" outlineLevel="0" collapsed="false">
      <c r="A24" s="16"/>
      <c r="B24" s="16"/>
      <c r="C24" s="17"/>
      <c r="D24" s="17"/>
      <c r="E24" s="17"/>
      <c r="F24" s="18"/>
      <c r="G24" s="19" t="str">
        <f aca="true">IF(F24="", "", DATEDIF(F24, TODAY(), "Y"))</f>
        <v/>
      </c>
      <c r="H24" s="18"/>
      <c r="I24" s="18"/>
      <c r="J24" s="19" t="str">
        <f aca="true">IF(ISBLANK(H24), "", I24-TODAY())</f>
        <v/>
      </c>
      <c r="K24" s="19" t="str">
        <f aca="false" t="array" ref="K24:K24">IF(A24&lt;&gt;"",IF(COUNTIF(A25:A$996,"&lt;&gt;")=0,COUNTA(B24:B$996),IFERROR(MATCH(TRUE(),INDEX((A25:A$996&lt;&gt;""),0),0),COUNTA(B24:B$996))),"")</f>
        <v/>
      </c>
      <c r="L24" s="20"/>
    </row>
    <row r="25" customFormat="false" ht="13.8" hidden="false" customHeight="false" outlineLevel="0" collapsed="false">
      <c r="A25" s="16"/>
      <c r="B25" s="16"/>
      <c r="C25" s="17"/>
      <c r="D25" s="17"/>
      <c r="E25" s="17"/>
      <c r="F25" s="18"/>
      <c r="G25" s="19" t="str">
        <f aca="true">IF(F25="", "", DATEDIF(F25, TODAY(), "Y"))</f>
        <v/>
      </c>
      <c r="H25" s="18"/>
      <c r="I25" s="18"/>
      <c r="J25" s="19" t="str">
        <f aca="true">IF(ISBLANK(H25), "", I25-TODAY())</f>
        <v/>
      </c>
      <c r="K25" s="19" t="str">
        <f aca="false" t="array" ref="K25:K25">IF(A25&lt;&gt;"",IF(COUNTIF(A26:A$996,"&lt;&gt;")=0,COUNTA(B25:B$996),IFERROR(MATCH(TRUE(),INDEX((A26:A$996&lt;&gt;""),0),0),COUNTA(B25:B$996))),"")</f>
        <v/>
      </c>
      <c r="L25" s="20"/>
    </row>
    <row r="26" customFormat="false" ht="13.8" hidden="false" customHeight="false" outlineLevel="0" collapsed="false">
      <c r="A26" s="16"/>
      <c r="B26" s="16"/>
      <c r="C26" s="17"/>
      <c r="D26" s="17"/>
      <c r="E26" s="17"/>
      <c r="F26" s="18"/>
      <c r="G26" s="19" t="str">
        <f aca="true">IF(F26="", "", DATEDIF(F26, TODAY(), "Y"))</f>
        <v/>
      </c>
      <c r="H26" s="18"/>
      <c r="I26" s="18"/>
      <c r="J26" s="19" t="str">
        <f aca="true">IF(ISBLANK(H26), "", I26-TODAY())</f>
        <v/>
      </c>
      <c r="K26" s="19" t="str">
        <f aca="false" t="array" ref="K26:K26">IF(A26&lt;&gt;"",IF(COUNTIF(A27:A$996,"&lt;&gt;")=0,COUNTA(B26:B$996),IFERROR(MATCH(TRUE(),INDEX((A27:A$996&lt;&gt;""),0),0),COUNTA(B26:B$996))),"")</f>
        <v/>
      </c>
      <c r="L26" s="20"/>
    </row>
    <row r="27" customFormat="false" ht="13.8" hidden="false" customHeight="false" outlineLevel="0" collapsed="false">
      <c r="A27" s="16"/>
      <c r="B27" s="16"/>
      <c r="C27" s="17"/>
      <c r="D27" s="17"/>
      <c r="E27" s="17"/>
      <c r="F27" s="18"/>
      <c r="G27" s="19" t="str">
        <f aca="true">IF(F27="", "", DATEDIF(F27, TODAY(), "Y"))</f>
        <v/>
      </c>
      <c r="H27" s="18"/>
      <c r="I27" s="18"/>
      <c r="J27" s="19" t="str">
        <f aca="true">IF(ISBLANK(H27), "", I27-TODAY())</f>
        <v/>
      </c>
      <c r="K27" s="19" t="str">
        <f aca="false" t="array" ref="K27:K27">IF(A27&lt;&gt;"",IF(COUNTIF(A28:A$996,"&lt;&gt;")=0,COUNTA(B27:B$996),IFERROR(MATCH(TRUE(),INDEX((A28:A$996&lt;&gt;""),0),0),COUNTA(B27:B$996))),"")</f>
        <v/>
      </c>
      <c r="L27" s="20"/>
    </row>
    <row r="28" customFormat="false" ht="13.8" hidden="false" customHeight="false" outlineLevel="0" collapsed="false">
      <c r="A28" s="16"/>
      <c r="B28" s="16"/>
      <c r="C28" s="17"/>
      <c r="D28" s="17"/>
      <c r="E28" s="17"/>
      <c r="F28" s="18"/>
      <c r="G28" s="19" t="str">
        <f aca="true">IF(F28="", "", DATEDIF(F28, TODAY(), "Y"))</f>
        <v/>
      </c>
      <c r="H28" s="18"/>
      <c r="I28" s="18"/>
      <c r="J28" s="19" t="str">
        <f aca="true">IF(ISBLANK(H28), "", I28-TODAY())</f>
        <v/>
      </c>
      <c r="K28" s="19" t="str">
        <f aca="false" t="array" ref="K28:K28">IF(A28&lt;&gt;"",IF(COUNTIF(A29:A$996,"&lt;&gt;")=0,COUNTA(B28:B$996),IFERROR(MATCH(TRUE(),INDEX((A29:A$996&lt;&gt;""),0),0),COUNTA(B28:B$996))),"")</f>
        <v/>
      </c>
      <c r="L28" s="20"/>
    </row>
    <row r="29" customFormat="false" ht="13.8" hidden="false" customHeight="false" outlineLevel="0" collapsed="false">
      <c r="A29" s="16"/>
      <c r="B29" s="16"/>
      <c r="C29" s="17"/>
      <c r="D29" s="17"/>
      <c r="E29" s="17"/>
      <c r="F29" s="18"/>
      <c r="G29" s="19" t="str">
        <f aca="true">IF(F29="", "", DATEDIF(F29, TODAY(), "Y"))</f>
        <v/>
      </c>
      <c r="H29" s="18"/>
      <c r="I29" s="18"/>
      <c r="J29" s="19" t="str">
        <f aca="true">IF(ISBLANK(H29), "", I29-TODAY())</f>
        <v/>
      </c>
      <c r="K29" s="19" t="str">
        <f aca="false" t="array" ref="K29:K29">IF(A29&lt;&gt;"",IF(COUNTIF(A30:A$996,"&lt;&gt;")=0,COUNTA(B29:B$996),IFERROR(MATCH(TRUE(),INDEX((A30:A$996&lt;&gt;""),0),0),COUNTA(B29:B$996))),"")</f>
        <v/>
      </c>
      <c r="L29" s="20"/>
    </row>
    <row r="30" customFormat="false" ht="13.8" hidden="false" customHeight="false" outlineLevel="0" collapsed="false">
      <c r="A30" s="16"/>
      <c r="B30" s="16"/>
      <c r="C30" s="17"/>
      <c r="D30" s="17"/>
      <c r="E30" s="17"/>
      <c r="F30" s="18"/>
      <c r="G30" s="19" t="str">
        <f aca="true">IF(F30="", "", DATEDIF(F30, TODAY(), "Y"))</f>
        <v/>
      </c>
      <c r="H30" s="18"/>
      <c r="I30" s="18"/>
      <c r="J30" s="19" t="str">
        <f aca="true">IF(ISBLANK(H30), "", I30-TODAY())</f>
        <v/>
      </c>
      <c r="K30" s="19" t="str">
        <f aca="false" t="array" ref="K30:K30">IF(A30&lt;&gt;"",IF(COUNTIF(A31:A$996,"&lt;&gt;")=0,COUNTA(B30:B$996),IFERROR(MATCH(TRUE(),INDEX((A31:A$996&lt;&gt;""),0),0),COUNTA(B30:B$996))),"")</f>
        <v/>
      </c>
      <c r="L30" s="20"/>
    </row>
    <row r="31" customFormat="false" ht="13.8" hidden="false" customHeight="false" outlineLevel="0" collapsed="false">
      <c r="A31" s="16"/>
      <c r="B31" s="16"/>
      <c r="C31" s="17"/>
      <c r="D31" s="17"/>
      <c r="E31" s="17"/>
      <c r="F31" s="18"/>
      <c r="G31" s="19" t="str">
        <f aca="true">IF(F31="", "", DATEDIF(F31, TODAY(), "Y"))</f>
        <v/>
      </c>
      <c r="H31" s="18"/>
      <c r="I31" s="18"/>
      <c r="J31" s="19" t="str">
        <f aca="true">IF(ISBLANK(H31), "", I31-TODAY())</f>
        <v/>
      </c>
      <c r="K31" s="19" t="str">
        <f aca="false" t="array" ref="K31:K31">IF(A31&lt;&gt;"",IF(COUNTIF(A32:A$996,"&lt;&gt;")=0,COUNTA(B31:B$996),IFERROR(MATCH(TRUE(),INDEX((A32:A$996&lt;&gt;""),0),0),COUNTA(B31:B$996))),"")</f>
        <v/>
      </c>
      <c r="L31" s="20"/>
    </row>
    <row r="32" customFormat="false" ht="13.8" hidden="false" customHeight="false" outlineLevel="0" collapsed="false">
      <c r="A32" s="16"/>
      <c r="B32" s="16"/>
      <c r="C32" s="17"/>
      <c r="D32" s="17"/>
      <c r="E32" s="17"/>
      <c r="F32" s="18"/>
      <c r="G32" s="19" t="str">
        <f aca="true">IF(F32="", "", DATEDIF(F32, TODAY(), "Y"))</f>
        <v/>
      </c>
      <c r="H32" s="18"/>
      <c r="I32" s="18"/>
      <c r="J32" s="19" t="str">
        <f aca="true">IF(ISBLANK(H32), "", I32-TODAY())</f>
        <v/>
      </c>
      <c r="K32" s="19" t="str">
        <f aca="false" t="array" ref="K32:K32">IF(A32&lt;&gt;"",IF(COUNTIF(A33:A$996,"&lt;&gt;")=0,COUNTA(B32:B$996),IFERROR(MATCH(TRUE(),INDEX((A33:A$996&lt;&gt;""),0),0),COUNTA(B32:B$996))),"")</f>
        <v/>
      </c>
      <c r="L32" s="20"/>
    </row>
    <row r="33" customFormat="false" ht="13.8" hidden="false" customHeight="false" outlineLevel="0" collapsed="false">
      <c r="A33" s="16"/>
      <c r="B33" s="16"/>
      <c r="C33" s="17"/>
      <c r="D33" s="17"/>
      <c r="E33" s="17"/>
      <c r="F33" s="18"/>
      <c r="G33" s="19" t="str">
        <f aca="true">IF(F33="", "", DATEDIF(F33, TODAY(), "Y"))</f>
        <v/>
      </c>
      <c r="H33" s="18"/>
      <c r="I33" s="18"/>
      <c r="J33" s="19" t="str">
        <f aca="true">IF(ISBLANK(H33), "", I33-TODAY())</f>
        <v/>
      </c>
      <c r="K33" s="19" t="str">
        <f aca="false" t="array" ref="K33:K33">IF(A33&lt;&gt;"",IF(COUNTIF(A34:A$996,"&lt;&gt;")=0,COUNTA(B33:B$996),IFERROR(MATCH(TRUE(),INDEX((A34:A$996&lt;&gt;""),0),0),COUNTA(B33:B$996))),"")</f>
        <v/>
      </c>
      <c r="L33" s="20"/>
    </row>
    <row r="34" customFormat="false" ht="13.8" hidden="false" customHeight="false" outlineLevel="0" collapsed="false">
      <c r="A34" s="16"/>
      <c r="B34" s="16"/>
      <c r="C34" s="17"/>
      <c r="D34" s="17"/>
      <c r="E34" s="17"/>
      <c r="F34" s="18"/>
      <c r="G34" s="19" t="str">
        <f aca="true">IF(F34="", "", DATEDIF(F34, TODAY(), "Y"))</f>
        <v/>
      </c>
      <c r="H34" s="18"/>
      <c r="I34" s="18"/>
      <c r="J34" s="19" t="str">
        <f aca="true">IF(ISBLANK(H34), "", I34-TODAY())</f>
        <v/>
      </c>
      <c r="K34" s="19" t="str">
        <f aca="false" t="array" ref="K34:K34">IF(A34&lt;&gt;"",IF(COUNTIF(A35:A$996,"&lt;&gt;")=0,COUNTA(B34:B$996),IFERROR(MATCH(TRUE(),INDEX((A35:A$996&lt;&gt;""),0),0),COUNTA(B34:B$996))),"")</f>
        <v/>
      </c>
      <c r="L34" s="20"/>
    </row>
    <row r="35" customFormat="false" ht="13.8" hidden="false" customHeight="false" outlineLevel="0" collapsed="false">
      <c r="A35" s="16"/>
      <c r="B35" s="16"/>
      <c r="C35" s="17"/>
      <c r="D35" s="17"/>
      <c r="E35" s="17"/>
      <c r="F35" s="18"/>
      <c r="G35" s="19" t="str">
        <f aca="true">IF(F35="", "", DATEDIF(F35, TODAY(), "Y"))</f>
        <v/>
      </c>
      <c r="H35" s="18"/>
      <c r="I35" s="18"/>
      <c r="J35" s="19" t="str">
        <f aca="true">IF(ISBLANK(H35), "", I35-TODAY())</f>
        <v/>
      </c>
      <c r="K35" s="19" t="str">
        <f aca="false" t="array" ref="K35:K35">IF(A35&lt;&gt;"",IF(COUNTIF(A36:A$996,"&lt;&gt;")=0,COUNTA(B35:B$996),IFERROR(MATCH(TRUE(),INDEX((A36:A$996&lt;&gt;""),0),0),COUNTA(B35:B$996))),"")</f>
        <v/>
      </c>
      <c r="L35" s="20"/>
    </row>
    <row r="36" customFormat="false" ht="13.8" hidden="false" customHeight="false" outlineLevel="0" collapsed="false">
      <c r="A36" s="16"/>
      <c r="B36" s="16"/>
      <c r="C36" s="17"/>
      <c r="D36" s="17"/>
      <c r="E36" s="17"/>
      <c r="F36" s="18"/>
      <c r="G36" s="19" t="str">
        <f aca="true">IF(F36="", "", DATEDIF(F36, TODAY(), "Y"))</f>
        <v/>
      </c>
      <c r="H36" s="18"/>
      <c r="I36" s="18"/>
      <c r="J36" s="19" t="str">
        <f aca="true">IF(ISBLANK(H36), "", I36-TODAY())</f>
        <v/>
      </c>
      <c r="K36" s="19" t="str">
        <f aca="false" t="array" ref="K36:K36">IF(A36&lt;&gt;"",IF(COUNTIF(A37:A$996,"&lt;&gt;")=0,COUNTA(B36:B$996),IFERROR(MATCH(TRUE(),INDEX((A37:A$996&lt;&gt;""),0),0),COUNTA(B36:B$996))),"")</f>
        <v/>
      </c>
      <c r="L36" s="20"/>
    </row>
    <row r="37" customFormat="false" ht="13.8" hidden="false" customHeight="false" outlineLevel="0" collapsed="false">
      <c r="A37" s="16"/>
      <c r="B37" s="16"/>
      <c r="C37" s="17"/>
      <c r="D37" s="17"/>
      <c r="E37" s="17"/>
      <c r="F37" s="18"/>
      <c r="G37" s="19" t="str">
        <f aca="true">IF(F37="", "", DATEDIF(F37, TODAY(), "Y"))</f>
        <v/>
      </c>
      <c r="H37" s="18"/>
      <c r="I37" s="18"/>
      <c r="J37" s="19" t="str">
        <f aca="true">IF(ISBLANK(H37), "", I37-TODAY())</f>
        <v/>
      </c>
      <c r="K37" s="19" t="str">
        <f aca="false" t="array" ref="K37:K37">IF(A37&lt;&gt;"",IF(COUNTIF(A38:A$996,"&lt;&gt;")=0,COUNTA(B37:B$996),IFERROR(MATCH(TRUE(),INDEX((A38:A$996&lt;&gt;""),0),0),COUNTA(B37:B$996))),"")</f>
        <v/>
      </c>
      <c r="L37" s="20"/>
    </row>
    <row r="38" customFormat="false" ht="13.8" hidden="false" customHeight="false" outlineLevel="0" collapsed="false">
      <c r="A38" s="16"/>
      <c r="B38" s="16"/>
      <c r="C38" s="17"/>
      <c r="D38" s="17"/>
      <c r="E38" s="17"/>
      <c r="F38" s="18"/>
      <c r="G38" s="19" t="str">
        <f aca="true">IF(F38="", "", DATEDIF(F38, TODAY(), "Y"))</f>
        <v/>
      </c>
      <c r="H38" s="18"/>
      <c r="I38" s="18"/>
      <c r="J38" s="19" t="str">
        <f aca="true">IF(ISBLANK(H38), "", I38-TODAY())</f>
        <v/>
      </c>
      <c r="K38" s="19" t="str">
        <f aca="false" t="array" ref="K38:K38">IF(A38&lt;&gt;"",IF(COUNTIF(A39:A$996,"&lt;&gt;")=0,COUNTA(B38:B$996),IFERROR(MATCH(TRUE(),INDEX((A39:A$996&lt;&gt;""),0),0),COUNTA(B38:B$996))),"")</f>
        <v/>
      </c>
      <c r="L38" s="20"/>
    </row>
    <row r="39" customFormat="false" ht="13.8" hidden="false" customHeight="false" outlineLevel="0" collapsed="false">
      <c r="A39" s="16"/>
      <c r="B39" s="16"/>
      <c r="C39" s="17"/>
      <c r="D39" s="17"/>
      <c r="E39" s="17"/>
      <c r="F39" s="18"/>
      <c r="G39" s="19" t="str">
        <f aca="true">IF(F39="", "", DATEDIF(F39, TODAY(), "Y"))</f>
        <v/>
      </c>
      <c r="H39" s="18"/>
      <c r="I39" s="18"/>
      <c r="J39" s="19" t="str">
        <f aca="true">IF(ISBLANK(H39), "", I39-TODAY())</f>
        <v/>
      </c>
      <c r="K39" s="19" t="str">
        <f aca="false" t="array" ref="K39:K39">IF(A39&lt;&gt;"",IF(COUNTIF(A40:A$996,"&lt;&gt;")=0,COUNTA(B39:B$996),IFERROR(MATCH(TRUE(),INDEX((A40:A$996&lt;&gt;""),0),0),COUNTA(B39:B$996))),"")</f>
        <v/>
      </c>
      <c r="L39" s="20"/>
    </row>
    <row r="40" customFormat="false" ht="13.8" hidden="false" customHeight="false" outlineLevel="0" collapsed="false">
      <c r="A40" s="16"/>
      <c r="B40" s="16"/>
      <c r="C40" s="17"/>
      <c r="D40" s="17"/>
      <c r="E40" s="17"/>
      <c r="F40" s="18"/>
      <c r="G40" s="19" t="str">
        <f aca="true">IF(F40="", "", DATEDIF(F40, TODAY(), "Y"))</f>
        <v/>
      </c>
      <c r="H40" s="18"/>
      <c r="I40" s="18"/>
      <c r="J40" s="19" t="str">
        <f aca="true">IF(ISBLANK(H40), "", I40-TODAY())</f>
        <v/>
      </c>
      <c r="K40" s="19" t="str">
        <f aca="false" t="array" ref="K40:K40">IF(A40&lt;&gt;"",IF(COUNTIF(A41:A$996,"&lt;&gt;")=0,COUNTA(B40:B$996),IFERROR(MATCH(TRUE(),INDEX((A41:A$996&lt;&gt;""),0),0),COUNTA(B40:B$996))),"")</f>
        <v/>
      </c>
      <c r="L40" s="20"/>
    </row>
    <row r="41" customFormat="false" ht="13.8" hidden="false" customHeight="false" outlineLevel="0" collapsed="false">
      <c r="A41" s="16"/>
      <c r="B41" s="16"/>
      <c r="C41" s="17"/>
      <c r="D41" s="17"/>
      <c r="E41" s="17"/>
      <c r="F41" s="18"/>
      <c r="G41" s="19" t="str">
        <f aca="true">IF(F41="", "", DATEDIF(F41, TODAY(), "Y"))</f>
        <v/>
      </c>
      <c r="H41" s="18"/>
      <c r="I41" s="18"/>
      <c r="J41" s="19" t="str">
        <f aca="true">IF(ISBLANK(H41), "", I41-TODAY())</f>
        <v/>
      </c>
      <c r="K41" s="19" t="str">
        <f aca="false" t="array" ref="K41:K41">IF(A41&lt;&gt;"",IF(COUNTIF(A42:A$996,"&lt;&gt;")=0,COUNTA(B41:B$996),IFERROR(MATCH(TRUE(),INDEX((A42:A$996&lt;&gt;""),0),0),COUNTA(B41:B$996))),"")</f>
        <v/>
      </c>
      <c r="L41" s="20"/>
    </row>
    <row r="42" customFormat="false" ht="13.8" hidden="false" customHeight="false" outlineLevel="0" collapsed="false">
      <c r="A42" s="16"/>
      <c r="B42" s="16"/>
      <c r="C42" s="17"/>
      <c r="D42" s="17"/>
      <c r="E42" s="17"/>
      <c r="F42" s="18"/>
      <c r="G42" s="19" t="str">
        <f aca="true">IF(F42="", "", DATEDIF(F42, TODAY(), "Y"))</f>
        <v/>
      </c>
      <c r="H42" s="18"/>
      <c r="I42" s="18"/>
      <c r="J42" s="19" t="str">
        <f aca="true">IF(ISBLANK(H42), "", I42-TODAY())</f>
        <v/>
      </c>
      <c r="K42" s="19" t="str">
        <f aca="false" t="array" ref="K42:K42">IF(A42&lt;&gt;"",IF(COUNTIF(A43:A$996,"&lt;&gt;")=0,COUNTA(B42:B$996),IFERROR(MATCH(TRUE(),INDEX((A43:A$996&lt;&gt;""),0),0),COUNTA(B42:B$996))),"")</f>
        <v/>
      </c>
      <c r="L42" s="20"/>
    </row>
    <row r="43" customFormat="false" ht="13.8" hidden="false" customHeight="false" outlineLevel="0" collapsed="false">
      <c r="A43" s="16"/>
      <c r="B43" s="16"/>
      <c r="C43" s="17"/>
      <c r="D43" s="17"/>
      <c r="E43" s="17"/>
      <c r="F43" s="18"/>
      <c r="G43" s="19" t="str">
        <f aca="true">IF(F43="", "", DATEDIF(F43, TODAY(), "Y"))</f>
        <v/>
      </c>
      <c r="H43" s="18"/>
      <c r="I43" s="18"/>
      <c r="J43" s="19" t="str">
        <f aca="true">IF(ISBLANK(H43), "", I43-TODAY())</f>
        <v/>
      </c>
      <c r="K43" s="19" t="str">
        <f aca="false" t="array" ref="K43:K43">IF(A43&lt;&gt;"",IF(COUNTIF(A44:A$996,"&lt;&gt;")=0,COUNTA(B43:B$996),IFERROR(MATCH(TRUE(),INDEX((A44:A$996&lt;&gt;""),0),0),COUNTA(B43:B$996))),"")</f>
        <v/>
      </c>
      <c r="L43" s="20"/>
    </row>
    <row r="44" customFormat="false" ht="13.8" hidden="false" customHeight="false" outlineLevel="0" collapsed="false">
      <c r="A44" s="16"/>
      <c r="B44" s="16"/>
      <c r="C44" s="17"/>
      <c r="D44" s="17"/>
      <c r="E44" s="17"/>
      <c r="F44" s="18"/>
      <c r="G44" s="19" t="str">
        <f aca="true">IF(F44="", "", DATEDIF(F44, TODAY(), "Y"))</f>
        <v/>
      </c>
      <c r="H44" s="18"/>
      <c r="I44" s="18"/>
      <c r="J44" s="19" t="str">
        <f aca="true">IF(ISBLANK(H44), "", I44-TODAY())</f>
        <v/>
      </c>
      <c r="K44" s="19" t="str">
        <f aca="false" t="array" ref="K44:K44">IF(A44&lt;&gt;"",IF(COUNTIF(A45:A$996,"&lt;&gt;")=0,COUNTA(B44:B$996),IFERROR(MATCH(TRUE(),INDEX((A45:A$996&lt;&gt;""),0),0),COUNTA(B44:B$996))),"")</f>
        <v/>
      </c>
      <c r="L44" s="20"/>
    </row>
    <row r="45" customFormat="false" ht="13.8" hidden="false" customHeight="false" outlineLevel="0" collapsed="false">
      <c r="A45" s="16"/>
      <c r="B45" s="16"/>
      <c r="C45" s="17"/>
      <c r="D45" s="17"/>
      <c r="E45" s="17"/>
      <c r="F45" s="18"/>
      <c r="G45" s="19" t="str">
        <f aca="true">IF(F45="", "", DATEDIF(F45, TODAY(), "Y"))</f>
        <v/>
      </c>
      <c r="H45" s="18"/>
      <c r="I45" s="18"/>
      <c r="J45" s="19" t="str">
        <f aca="true">IF(ISBLANK(H45), "", I45-TODAY())</f>
        <v/>
      </c>
      <c r="K45" s="19" t="str">
        <f aca="false" t="array" ref="K45:K45">IF(A45&lt;&gt;"",IF(COUNTIF(A46:A$996,"&lt;&gt;")=0,COUNTA(B45:B$996),IFERROR(MATCH(TRUE(),INDEX((A46:A$996&lt;&gt;""),0),0),COUNTA(B45:B$996))),"")</f>
        <v/>
      </c>
      <c r="L45" s="20"/>
    </row>
    <row r="46" customFormat="false" ht="13.8" hidden="false" customHeight="false" outlineLevel="0" collapsed="false">
      <c r="A46" s="16"/>
      <c r="B46" s="16"/>
      <c r="C46" s="17"/>
      <c r="D46" s="17"/>
      <c r="E46" s="17"/>
      <c r="F46" s="18"/>
      <c r="G46" s="19" t="str">
        <f aca="true">IF(F46="", "", DATEDIF(F46, TODAY(), "Y"))</f>
        <v/>
      </c>
      <c r="H46" s="18"/>
      <c r="I46" s="18"/>
      <c r="J46" s="19" t="str">
        <f aca="true">IF(ISBLANK(H46), "", I46-TODAY())</f>
        <v/>
      </c>
      <c r="K46" s="19" t="str">
        <f aca="false" t="array" ref="K46:K46">IF(A46&lt;&gt;"",IF(COUNTIF(A47:A$996,"&lt;&gt;")=0,COUNTA(B46:B$996),IFERROR(MATCH(TRUE(),INDEX((A47:A$996&lt;&gt;""),0),0),COUNTA(B46:B$996))),"")</f>
        <v/>
      </c>
      <c r="L46" s="20"/>
    </row>
    <row r="47" customFormat="false" ht="13.8" hidden="false" customHeight="false" outlineLevel="0" collapsed="false">
      <c r="A47" s="16"/>
      <c r="B47" s="16"/>
      <c r="C47" s="17"/>
      <c r="D47" s="17"/>
      <c r="E47" s="17"/>
      <c r="F47" s="18"/>
      <c r="G47" s="19" t="str">
        <f aca="true">IF(F47="", "", DATEDIF(F47, TODAY(), "Y"))</f>
        <v/>
      </c>
      <c r="H47" s="18"/>
      <c r="I47" s="18"/>
      <c r="J47" s="19" t="str">
        <f aca="true">IF(ISBLANK(H47), "", I47-TODAY())</f>
        <v/>
      </c>
      <c r="K47" s="19" t="str">
        <f aca="false" t="array" ref="K47:K47">IF(A47&lt;&gt;"",IF(COUNTIF(A48:A$996,"&lt;&gt;")=0,COUNTA(B47:B$996),IFERROR(MATCH(TRUE(),INDEX((A48:A$996&lt;&gt;""),0),0),COUNTA(B47:B$996))),"")</f>
        <v/>
      </c>
      <c r="L47" s="20"/>
    </row>
    <row r="48" customFormat="false" ht="13.8" hidden="false" customHeight="false" outlineLevel="0" collapsed="false">
      <c r="A48" s="16"/>
      <c r="B48" s="16"/>
      <c r="C48" s="17"/>
      <c r="D48" s="17"/>
      <c r="E48" s="17"/>
      <c r="F48" s="18"/>
      <c r="G48" s="19" t="str">
        <f aca="true">IF(F48="", "", DATEDIF(F48, TODAY(), "Y"))</f>
        <v/>
      </c>
      <c r="H48" s="18"/>
      <c r="I48" s="18"/>
      <c r="J48" s="19" t="str">
        <f aca="true">IF(ISBLANK(H48), "", I48-TODAY())</f>
        <v/>
      </c>
      <c r="K48" s="19" t="str">
        <f aca="false" t="array" ref="K48:K48">IF(A48&lt;&gt;"",IF(COUNTIF(A49:A$996,"&lt;&gt;")=0,COUNTA(B48:B$996),IFERROR(MATCH(TRUE(),INDEX((A49:A$996&lt;&gt;""),0),0),COUNTA(B48:B$996))),"")</f>
        <v/>
      </c>
      <c r="L48" s="20"/>
    </row>
    <row r="49" customFormat="false" ht="13.8" hidden="false" customHeight="false" outlineLevel="0" collapsed="false">
      <c r="A49" s="16"/>
      <c r="B49" s="16"/>
      <c r="C49" s="17"/>
      <c r="D49" s="17"/>
      <c r="E49" s="17"/>
      <c r="F49" s="18"/>
      <c r="G49" s="19" t="str">
        <f aca="true">IF(F49="", "", DATEDIF(F49, TODAY(), "Y"))</f>
        <v/>
      </c>
      <c r="H49" s="18"/>
      <c r="I49" s="18"/>
      <c r="J49" s="19" t="str">
        <f aca="true">IF(ISBLANK(H49), "", I49-TODAY())</f>
        <v/>
      </c>
      <c r="K49" s="19" t="str">
        <f aca="false" t="array" ref="K49:K49">IF(A49&lt;&gt;"",IF(COUNTIF(A50:A$996,"&lt;&gt;")=0,COUNTA(B49:B$996),IFERROR(MATCH(TRUE(),INDEX((A50:A$996&lt;&gt;""),0),0),COUNTA(B49:B$996))),"")</f>
        <v/>
      </c>
      <c r="L49" s="20"/>
    </row>
    <row r="50" customFormat="false" ht="13.8" hidden="false" customHeight="false" outlineLevel="0" collapsed="false">
      <c r="A50" s="16"/>
      <c r="B50" s="16"/>
      <c r="C50" s="17"/>
      <c r="D50" s="17"/>
      <c r="E50" s="17"/>
      <c r="F50" s="18"/>
      <c r="G50" s="19" t="str">
        <f aca="true">IF(F50="", "", DATEDIF(F50, TODAY(), "Y"))</f>
        <v/>
      </c>
      <c r="H50" s="18"/>
      <c r="I50" s="18"/>
      <c r="J50" s="19" t="str">
        <f aca="true">IF(ISBLANK(H50), "", I50-TODAY())</f>
        <v/>
      </c>
      <c r="K50" s="19" t="str">
        <f aca="false" t="array" ref="K50:K50">IF(A50&lt;&gt;"",IF(COUNTIF(A51:A$996,"&lt;&gt;")=0,COUNTA(B50:B$996),IFERROR(MATCH(TRUE(),INDEX((A51:A$996&lt;&gt;""),0),0),COUNTA(B50:B$996))),"")</f>
        <v/>
      </c>
      <c r="L50" s="20"/>
    </row>
    <row r="51" customFormat="false" ht="13.8" hidden="false" customHeight="false" outlineLevel="0" collapsed="false">
      <c r="A51" s="16"/>
      <c r="B51" s="16"/>
      <c r="C51" s="17"/>
      <c r="D51" s="17"/>
      <c r="E51" s="17"/>
      <c r="F51" s="18"/>
      <c r="G51" s="19" t="str">
        <f aca="true">IF(F51="", "", DATEDIF(F51, TODAY(), "Y"))</f>
        <v/>
      </c>
      <c r="H51" s="18"/>
      <c r="I51" s="18"/>
      <c r="J51" s="19" t="str">
        <f aca="true">IF(ISBLANK(H51), "", I51-TODAY())</f>
        <v/>
      </c>
      <c r="K51" s="19" t="str">
        <f aca="false" t="array" ref="K51:K51">IF(A51&lt;&gt;"",IF(COUNTIF(A52:A$996,"&lt;&gt;")=0,COUNTA(B51:B$996),IFERROR(MATCH(TRUE(),INDEX((A52:A$996&lt;&gt;""),0),0),COUNTA(B51:B$996))),"")</f>
        <v/>
      </c>
      <c r="L51" s="20"/>
    </row>
    <row r="52" customFormat="false" ht="13.8" hidden="false" customHeight="false" outlineLevel="0" collapsed="false">
      <c r="A52" s="16"/>
      <c r="B52" s="16"/>
      <c r="C52" s="17"/>
      <c r="D52" s="17"/>
      <c r="E52" s="17"/>
      <c r="F52" s="18"/>
      <c r="G52" s="19" t="str">
        <f aca="true">IF(F52="", "", DATEDIF(F52, TODAY(), "Y"))</f>
        <v/>
      </c>
      <c r="H52" s="18"/>
      <c r="I52" s="18"/>
      <c r="J52" s="19" t="str">
        <f aca="true">IF(ISBLANK(H52), "", I52-TODAY())</f>
        <v/>
      </c>
      <c r="K52" s="19" t="str">
        <f aca="false" t="array" ref="K52:K52">IF(A52&lt;&gt;"",IF(COUNTIF(A53:A$996,"&lt;&gt;")=0,COUNTA(B52:B$996),IFERROR(MATCH(TRUE(),INDEX((A53:A$996&lt;&gt;""),0),0),COUNTA(B52:B$996))),"")</f>
        <v/>
      </c>
      <c r="L52" s="20"/>
    </row>
    <row r="53" customFormat="false" ht="13.8" hidden="false" customHeight="false" outlineLevel="0" collapsed="false">
      <c r="A53" s="16"/>
      <c r="B53" s="16"/>
      <c r="C53" s="17"/>
      <c r="D53" s="17"/>
      <c r="E53" s="17"/>
      <c r="F53" s="18"/>
      <c r="G53" s="19" t="str">
        <f aca="true">IF(F53="", "", DATEDIF(F53, TODAY(), "Y"))</f>
        <v/>
      </c>
      <c r="H53" s="18"/>
      <c r="I53" s="18"/>
      <c r="J53" s="19" t="str">
        <f aca="true">IF(ISBLANK(H53), "", I53-TODAY())</f>
        <v/>
      </c>
      <c r="K53" s="19" t="str">
        <f aca="false" t="array" ref="K53:K53">IF(A53&lt;&gt;"",IF(COUNTIF(A54:A$996,"&lt;&gt;")=0,COUNTA(B53:B$996),IFERROR(MATCH(TRUE(),INDEX((A54:A$996&lt;&gt;""),0),0),COUNTA(B53:B$996))),"")</f>
        <v/>
      </c>
      <c r="L53" s="20"/>
    </row>
    <row r="54" customFormat="false" ht="13.8" hidden="false" customHeight="false" outlineLevel="0" collapsed="false">
      <c r="A54" s="16"/>
      <c r="B54" s="16"/>
      <c r="C54" s="17"/>
      <c r="D54" s="17"/>
      <c r="E54" s="17"/>
      <c r="F54" s="18"/>
      <c r="G54" s="19" t="str">
        <f aca="true">IF(F54="", "", DATEDIF(F54, TODAY(), "Y"))</f>
        <v/>
      </c>
      <c r="H54" s="18"/>
      <c r="I54" s="18"/>
      <c r="J54" s="19" t="str">
        <f aca="true">IF(ISBLANK(H54), "", I54-TODAY())</f>
        <v/>
      </c>
      <c r="K54" s="19" t="str">
        <f aca="false" t="array" ref="K54:K54">IF(A54&lt;&gt;"",IF(COUNTIF(A55:A$996,"&lt;&gt;")=0,COUNTA(B54:B$996),IFERROR(MATCH(TRUE(),INDEX((A55:A$996&lt;&gt;""),0),0),COUNTA(B54:B$996))),"")</f>
        <v/>
      </c>
      <c r="L54" s="20"/>
    </row>
    <row r="55" customFormat="false" ht="13.8" hidden="false" customHeight="false" outlineLevel="0" collapsed="false">
      <c r="A55" s="16"/>
      <c r="B55" s="16"/>
      <c r="C55" s="17"/>
      <c r="D55" s="17"/>
      <c r="E55" s="17"/>
      <c r="F55" s="18"/>
      <c r="G55" s="19" t="str">
        <f aca="true">IF(F55="", "", DATEDIF(F55, TODAY(), "Y"))</f>
        <v/>
      </c>
      <c r="H55" s="18"/>
      <c r="I55" s="18"/>
      <c r="J55" s="19" t="str">
        <f aca="true">IF(ISBLANK(H55), "", I55-TODAY())</f>
        <v/>
      </c>
      <c r="K55" s="19" t="str">
        <f aca="false" t="array" ref="K55:K55">IF(A55&lt;&gt;"",IF(COUNTIF(A56:A$996,"&lt;&gt;")=0,COUNTA(B55:B$996),IFERROR(MATCH(TRUE(),INDEX((A56:A$996&lt;&gt;""),0),0),COUNTA(B55:B$996))),"")</f>
        <v/>
      </c>
      <c r="L55" s="20"/>
    </row>
    <row r="56" customFormat="false" ht="13.8" hidden="false" customHeight="false" outlineLevel="0" collapsed="false">
      <c r="A56" s="16"/>
      <c r="B56" s="16"/>
      <c r="C56" s="17"/>
      <c r="D56" s="17"/>
      <c r="E56" s="17"/>
      <c r="F56" s="18"/>
      <c r="G56" s="19" t="str">
        <f aca="true">IF(F56="", "", DATEDIF(F56, TODAY(), "Y"))</f>
        <v/>
      </c>
      <c r="H56" s="18"/>
      <c r="I56" s="18"/>
      <c r="J56" s="19" t="str">
        <f aca="true">IF(ISBLANK(H56), "", I56-TODAY())</f>
        <v/>
      </c>
      <c r="K56" s="19" t="str">
        <f aca="false" t="array" ref="K56:K56">IF(A56&lt;&gt;"",IF(COUNTIF(A57:A$996,"&lt;&gt;")=0,COUNTA(B56:B$996),IFERROR(MATCH(TRUE(),INDEX((A57:A$996&lt;&gt;""),0),0),COUNTA(B56:B$996))),"")</f>
        <v/>
      </c>
      <c r="L56" s="20"/>
    </row>
    <row r="57" customFormat="false" ht="13.8" hidden="false" customHeight="false" outlineLevel="0" collapsed="false">
      <c r="A57" s="16"/>
      <c r="B57" s="16"/>
      <c r="C57" s="17"/>
      <c r="D57" s="17"/>
      <c r="E57" s="17"/>
      <c r="F57" s="18"/>
      <c r="G57" s="19" t="str">
        <f aca="true">IF(F57="", "", DATEDIF(F57, TODAY(), "Y"))</f>
        <v/>
      </c>
      <c r="H57" s="18"/>
      <c r="I57" s="18"/>
      <c r="J57" s="19" t="str">
        <f aca="true">IF(ISBLANK(H57), "", I57-TODAY())</f>
        <v/>
      </c>
      <c r="K57" s="19" t="str">
        <f aca="false" t="array" ref="K57:K57">IF(A57&lt;&gt;"",IF(COUNTIF(A58:A$996,"&lt;&gt;")=0,COUNTA(B57:B$996),IFERROR(MATCH(TRUE(),INDEX((A58:A$996&lt;&gt;""),0),0),COUNTA(B57:B$996))),"")</f>
        <v/>
      </c>
      <c r="L57" s="20"/>
    </row>
    <row r="58" customFormat="false" ht="13.8" hidden="false" customHeight="false" outlineLevel="0" collapsed="false">
      <c r="A58" s="16"/>
      <c r="B58" s="16"/>
      <c r="C58" s="17"/>
      <c r="D58" s="17"/>
      <c r="E58" s="17"/>
      <c r="F58" s="18"/>
      <c r="G58" s="19" t="str">
        <f aca="true">IF(F58="", "", DATEDIF(F58, TODAY(), "Y"))</f>
        <v/>
      </c>
      <c r="H58" s="18"/>
      <c r="I58" s="18"/>
      <c r="J58" s="19" t="str">
        <f aca="true">IF(ISBLANK(H58), "", I58-TODAY())</f>
        <v/>
      </c>
      <c r="K58" s="19" t="str">
        <f aca="false" t="array" ref="K58:K58">IF(A58&lt;&gt;"",IF(COUNTIF(A59:A$996,"&lt;&gt;")=0,COUNTA(B58:B$996),IFERROR(MATCH(TRUE(),INDEX((A59:A$996&lt;&gt;""),0),0),COUNTA(B58:B$996))),"")</f>
        <v/>
      </c>
      <c r="L58" s="20"/>
    </row>
    <row r="59" customFormat="false" ht="13.8" hidden="false" customHeight="false" outlineLevel="0" collapsed="false">
      <c r="A59" s="16"/>
      <c r="B59" s="16"/>
      <c r="C59" s="17"/>
      <c r="D59" s="17"/>
      <c r="E59" s="17"/>
      <c r="F59" s="18"/>
      <c r="G59" s="19" t="str">
        <f aca="true">IF(F59="", "", DATEDIF(F59, TODAY(), "Y"))</f>
        <v/>
      </c>
      <c r="H59" s="18"/>
      <c r="I59" s="18"/>
      <c r="J59" s="19" t="str">
        <f aca="true">IF(ISBLANK(H59), "", I59-TODAY())</f>
        <v/>
      </c>
      <c r="K59" s="19" t="str">
        <f aca="false" t="array" ref="K59:K59">IF(A59&lt;&gt;"",IF(COUNTIF(A60:A$996,"&lt;&gt;")=0,COUNTA(B59:B$996),IFERROR(MATCH(TRUE(),INDEX((A60:A$996&lt;&gt;""),0),0),COUNTA(B59:B$996))),"")</f>
        <v/>
      </c>
      <c r="L59" s="20"/>
    </row>
    <row r="60" customFormat="false" ht="13.8" hidden="false" customHeight="false" outlineLevel="0" collapsed="false">
      <c r="A60" s="16"/>
      <c r="B60" s="16"/>
      <c r="C60" s="17"/>
      <c r="D60" s="17"/>
      <c r="E60" s="17"/>
      <c r="F60" s="18"/>
      <c r="G60" s="19" t="str">
        <f aca="true">IF(F60="", "", DATEDIF(F60, TODAY(), "Y"))</f>
        <v/>
      </c>
      <c r="H60" s="18"/>
      <c r="I60" s="18"/>
      <c r="J60" s="19" t="str">
        <f aca="true">IF(ISBLANK(H60), "", I60-TODAY())</f>
        <v/>
      </c>
      <c r="K60" s="19" t="str">
        <f aca="false" t="array" ref="K60:K60">IF(A60&lt;&gt;"",IF(COUNTIF(A61:A$996,"&lt;&gt;")=0,COUNTA(B60:B$996),IFERROR(MATCH(TRUE(),INDEX((A61:A$996&lt;&gt;""),0),0),COUNTA(B60:B$996))),"")</f>
        <v/>
      </c>
      <c r="L60" s="20"/>
    </row>
    <row r="61" customFormat="false" ht="13.8" hidden="false" customHeight="false" outlineLevel="0" collapsed="false">
      <c r="A61" s="16"/>
      <c r="B61" s="16"/>
      <c r="C61" s="17"/>
      <c r="D61" s="17"/>
      <c r="E61" s="17"/>
      <c r="F61" s="18"/>
      <c r="G61" s="19" t="str">
        <f aca="true">IF(F61="", "", DATEDIF(F61, TODAY(), "Y"))</f>
        <v/>
      </c>
      <c r="H61" s="18"/>
      <c r="I61" s="18"/>
      <c r="J61" s="19" t="str">
        <f aca="true">IF(ISBLANK(H61), "", I61-TODAY())</f>
        <v/>
      </c>
      <c r="K61" s="19" t="str">
        <f aca="false" t="array" ref="K61:K61">IF(A61&lt;&gt;"",IF(COUNTIF(A62:A$996,"&lt;&gt;")=0,COUNTA(B61:B$996),IFERROR(MATCH(TRUE(),INDEX((A62:A$996&lt;&gt;""),0),0),COUNTA(B61:B$996))),"")</f>
        <v/>
      </c>
      <c r="L61" s="20"/>
    </row>
    <row r="62" customFormat="false" ht="13.8" hidden="false" customHeight="false" outlineLevel="0" collapsed="false">
      <c r="A62" s="16"/>
      <c r="B62" s="16"/>
      <c r="C62" s="17"/>
      <c r="D62" s="17"/>
      <c r="E62" s="17"/>
      <c r="F62" s="18"/>
      <c r="G62" s="19" t="str">
        <f aca="true">IF(F62="", "", DATEDIF(F62, TODAY(), "Y"))</f>
        <v/>
      </c>
      <c r="H62" s="18"/>
      <c r="I62" s="18"/>
      <c r="J62" s="19" t="str">
        <f aca="true">IF(ISBLANK(H62), "", I62-TODAY())</f>
        <v/>
      </c>
      <c r="K62" s="19" t="str">
        <f aca="false" t="array" ref="K62:K62">IF(A62&lt;&gt;"",IF(COUNTIF(A63:A$996,"&lt;&gt;")=0,COUNTA(B62:B$996),IFERROR(MATCH(TRUE(),INDEX((A63:A$996&lt;&gt;""),0),0),COUNTA(B62:B$996))),"")</f>
        <v/>
      </c>
      <c r="L62" s="20"/>
    </row>
    <row r="63" customFormat="false" ht="13.8" hidden="false" customHeight="false" outlineLevel="0" collapsed="false">
      <c r="A63" s="16"/>
      <c r="B63" s="16"/>
      <c r="C63" s="17"/>
      <c r="D63" s="17"/>
      <c r="E63" s="17"/>
      <c r="F63" s="18"/>
      <c r="G63" s="19" t="str">
        <f aca="true">IF(F63="", "", DATEDIF(F63, TODAY(), "Y"))</f>
        <v/>
      </c>
      <c r="H63" s="18"/>
      <c r="I63" s="18"/>
      <c r="J63" s="19" t="str">
        <f aca="true">IF(ISBLANK(H63), "", I63-TODAY())</f>
        <v/>
      </c>
      <c r="K63" s="19" t="str">
        <f aca="false" t="array" ref="K63:K63">IF(A63&lt;&gt;"",IF(COUNTIF(A64:A$996,"&lt;&gt;")=0,COUNTA(B63:B$996),IFERROR(MATCH(TRUE(),INDEX((A64:A$996&lt;&gt;""),0),0),COUNTA(B63:B$996))),"")</f>
        <v/>
      </c>
      <c r="L63" s="20"/>
    </row>
    <row r="64" customFormat="false" ht="13.8" hidden="false" customHeight="false" outlineLevel="0" collapsed="false">
      <c r="A64" s="16"/>
      <c r="B64" s="16"/>
      <c r="C64" s="17"/>
      <c r="D64" s="17"/>
      <c r="E64" s="17"/>
      <c r="F64" s="18"/>
      <c r="G64" s="19" t="str">
        <f aca="true">IF(F64="", "", DATEDIF(F64, TODAY(), "Y"))</f>
        <v/>
      </c>
      <c r="H64" s="18"/>
      <c r="I64" s="18"/>
      <c r="J64" s="19" t="str">
        <f aca="true">IF(ISBLANK(H64), "", I64-TODAY())</f>
        <v/>
      </c>
      <c r="K64" s="19" t="str">
        <f aca="false" t="array" ref="K64:K64">IF(A64&lt;&gt;"",IF(COUNTIF(A65:A$996,"&lt;&gt;")=0,COUNTA(B64:B$996),IFERROR(MATCH(TRUE(),INDEX((A65:A$996&lt;&gt;""),0),0),COUNTA(B64:B$996))),"")</f>
        <v/>
      </c>
      <c r="L64" s="20"/>
    </row>
    <row r="65" customFormat="false" ht="13.8" hidden="false" customHeight="false" outlineLevel="0" collapsed="false">
      <c r="A65" s="16"/>
      <c r="B65" s="16"/>
      <c r="C65" s="17"/>
      <c r="D65" s="17"/>
      <c r="E65" s="17"/>
      <c r="F65" s="18"/>
      <c r="G65" s="19" t="str">
        <f aca="true">IF(F65="", "", DATEDIF(F65, TODAY(), "Y"))</f>
        <v/>
      </c>
      <c r="H65" s="18"/>
      <c r="I65" s="18"/>
      <c r="J65" s="19" t="str">
        <f aca="true">IF(ISBLANK(H65), "", I65-TODAY())</f>
        <v/>
      </c>
      <c r="K65" s="19" t="str">
        <f aca="false" t="array" ref="K65:K65">IF(A65&lt;&gt;"",IF(COUNTIF(A66:A$996,"&lt;&gt;")=0,COUNTA(B65:B$996),IFERROR(MATCH(TRUE(),INDEX((A66:A$996&lt;&gt;""),0),0),COUNTA(B65:B$996))),"")</f>
        <v/>
      </c>
      <c r="L65" s="20"/>
    </row>
    <row r="66" customFormat="false" ht="13.8" hidden="false" customHeight="false" outlineLevel="0" collapsed="false">
      <c r="A66" s="16"/>
      <c r="B66" s="16"/>
      <c r="C66" s="17"/>
      <c r="D66" s="17"/>
      <c r="E66" s="17"/>
      <c r="F66" s="18"/>
      <c r="G66" s="19" t="str">
        <f aca="true">IF(F66="", "", DATEDIF(F66, TODAY(), "Y"))</f>
        <v/>
      </c>
      <c r="H66" s="18"/>
      <c r="I66" s="18"/>
      <c r="J66" s="19" t="str">
        <f aca="true">IF(ISBLANK(H66), "", I66-TODAY())</f>
        <v/>
      </c>
      <c r="K66" s="19" t="str">
        <f aca="false" t="array" ref="K66:K66">IF(A66&lt;&gt;"",IF(COUNTIF(A67:A$996,"&lt;&gt;")=0,COUNTA(B66:B$996),IFERROR(MATCH(TRUE(),INDEX((A67:A$996&lt;&gt;""),0),0),COUNTA(B66:B$996))),"")</f>
        <v/>
      </c>
      <c r="L66" s="20"/>
    </row>
    <row r="67" customFormat="false" ht="13.8" hidden="false" customHeight="false" outlineLevel="0" collapsed="false">
      <c r="A67" s="16"/>
      <c r="B67" s="16"/>
      <c r="C67" s="17"/>
      <c r="D67" s="17"/>
      <c r="E67" s="17"/>
      <c r="F67" s="18"/>
      <c r="G67" s="19" t="str">
        <f aca="true">IF(F67="", "", DATEDIF(F67, TODAY(), "Y"))</f>
        <v/>
      </c>
      <c r="H67" s="18"/>
      <c r="I67" s="18"/>
      <c r="J67" s="19" t="str">
        <f aca="true">IF(ISBLANK(H67), "", I67-TODAY())</f>
        <v/>
      </c>
      <c r="K67" s="19" t="str">
        <f aca="false" t="array" ref="K67:K67">IF(A67&lt;&gt;"",IF(COUNTIF(A68:A$996,"&lt;&gt;")=0,COUNTA(B67:B$996),IFERROR(MATCH(TRUE(),INDEX((A68:A$996&lt;&gt;""),0),0),COUNTA(B67:B$996))),"")</f>
        <v/>
      </c>
      <c r="L67" s="20"/>
    </row>
    <row r="68" customFormat="false" ht="13.8" hidden="false" customHeight="false" outlineLevel="0" collapsed="false">
      <c r="A68" s="16"/>
      <c r="B68" s="16"/>
      <c r="C68" s="17"/>
      <c r="D68" s="17"/>
      <c r="E68" s="17"/>
      <c r="F68" s="18"/>
      <c r="G68" s="19" t="str">
        <f aca="true">IF(F68="", "", DATEDIF(F68, TODAY(), "Y"))</f>
        <v/>
      </c>
      <c r="H68" s="18"/>
      <c r="I68" s="18"/>
      <c r="J68" s="19" t="str">
        <f aca="true">IF(ISBLANK(H68), "", I68-TODAY())</f>
        <v/>
      </c>
      <c r="K68" s="19" t="str">
        <f aca="false" t="array" ref="K68:K68">IF(A68&lt;&gt;"",IF(COUNTIF(A69:A$996,"&lt;&gt;")=0,COUNTA(B68:B$996),IFERROR(MATCH(TRUE(),INDEX((A69:A$996&lt;&gt;""),0),0),COUNTA(B68:B$996))),"")</f>
        <v/>
      </c>
      <c r="L68" s="20"/>
    </row>
    <row r="69" customFormat="false" ht="13.8" hidden="false" customHeight="false" outlineLevel="0" collapsed="false">
      <c r="A69" s="16"/>
      <c r="B69" s="16"/>
      <c r="C69" s="17"/>
      <c r="D69" s="17"/>
      <c r="E69" s="17"/>
      <c r="F69" s="18"/>
      <c r="G69" s="19" t="str">
        <f aca="true">IF(F69="", "", DATEDIF(F69, TODAY(), "Y"))</f>
        <v/>
      </c>
      <c r="H69" s="18"/>
      <c r="I69" s="18"/>
      <c r="J69" s="19" t="str">
        <f aca="true">IF(ISBLANK(H69), "", I69-TODAY())</f>
        <v/>
      </c>
      <c r="K69" s="19" t="str">
        <f aca="false" t="array" ref="K69:K69">IF(A69&lt;&gt;"",IF(COUNTIF(A70:A$996,"&lt;&gt;")=0,COUNTA(B69:B$996),IFERROR(MATCH(TRUE(),INDEX((A70:A$996&lt;&gt;""),0),0),COUNTA(B69:B$996))),"")</f>
        <v/>
      </c>
      <c r="L69" s="20"/>
    </row>
    <row r="70" customFormat="false" ht="13.8" hidden="false" customHeight="false" outlineLevel="0" collapsed="false">
      <c r="A70" s="16"/>
      <c r="B70" s="16"/>
      <c r="C70" s="17"/>
      <c r="D70" s="17"/>
      <c r="E70" s="17"/>
      <c r="F70" s="18"/>
      <c r="G70" s="19" t="str">
        <f aca="true">IF(F70="", "", DATEDIF(F70, TODAY(), "Y"))</f>
        <v/>
      </c>
      <c r="H70" s="18"/>
      <c r="I70" s="18"/>
      <c r="J70" s="19" t="str">
        <f aca="true">IF(ISBLANK(H70), "", I70-TODAY())</f>
        <v/>
      </c>
      <c r="K70" s="19" t="str">
        <f aca="false" t="array" ref="K70:K70">IF(A70&lt;&gt;"",IF(COUNTIF(A71:A$996,"&lt;&gt;")=0,COUNTA(B70:B$996),IFERROR(MATCH(TRUE(),INDEX((A71:A$996&lt;&gt;""),0),0),COUNTA(B70:B$996))),"")</f>
        <v/>
      </c>
      <c r="L70" s="20"/>
    </row>
    <row r="71" customFormat="false" ht="13.8" hidden="false" customHeight="false" outlineLevel="0" collapsed="false">
      <c r="A71" s="16"/>
      <c r="B71" s="16"/>
      <c r="C71" s="17"/>
      <c r="D71" s="17"/>
      <c r="E71" s="17"/>
      <c r="F71" s="18"/>
      <c r="G71" s="19" t="str">
        <f aca="true">IF(F71="", "", DATEDIF(F71, TODAY(), "Y"))</f>
        <v/>
      </c>
      <c r="H71" s="18"/>
      <c r="I71" s="18"/>
      <c r="J71" s="19" t="str">
        <f aca="true">IF(ISBLANK(H71), "", I71-TODAY())</f>
        <v/>
      </c>
      <c r="K71" s="19" t="str">
        <f aca="false" t="array" ref="K71:K71">IF(A71&lt;&gt;"",IF(COUNTIF(A72:A$996,"&lt;&gt;")=0,COUNTA(B71:B$996),IFERROR(MATCH(TRUE(),INDEX((A72:A$996&lt;&gt;""),0),0),COUNTA(B71:B$996))),"")</f>
        <v/>
      </c>
      <c r="L71" s="20"/>
    </row>
    <row r="72" customFormat="false" ht="13.8" hidden="false" customHeight="false" outlineLevel="0" collapsed="false">
      <c r="A72" s="16"/>
      <c r="B72" s="16"/>
      <c r="C72" s="17"/>
      <c r="D72" s="17"/>
      <c r="E72" s="17"/>
      <c r="F72" s="18"/>
      <c r="G72" s="19" t="str">
        <f aca="true">IF(F72="", "", DATEDIF(F72, TODAY(), "Y"))</f>
        <v/>
      </c>
      <c r="H72" s="18"/>
      <c r="I72" s="18"/>
      <c r="J72" s="19" t="str">
        <f aca="true">IF(ISBLANK(H72), "", I72-TODAY())</f>
        <v/>
      </c>
      <c r="K72" s="19" t="str">
        <f aca="false" t="array" ref="K72:K72">IF(A72&lt;&gt;"",IF(COUNTIF(A73:A$996,"&lt;&gt;")=0,COUNTA(B72:B$996),IFERROR(MATCH(TRUE(),INDEX((A73:A$996&lt;&gt;""),0),0),COUNTA(B72:B$996))),"")</f>
        <v/>
      </c>
      <c r="L72" s="20"/>
    </row>
    <row r="73" customFormat="false" ht="13.8" hidden="false" customHeight="false" outlineLevel="0" collapsed="false">
      <c r="A73" s="16"/>
      <c r="B73" s="16"/>
      <c r="C73" s="17"/>
      <c r="D73" s="17"/>
      <c r="E73" s="17"/>
      <c r="F73" s="18"/>
      <c r="G73" s="19" t="str">
        <f aca="true">IF(F73="", "", DATEDIF(F73, TODAY(), "Y"))</f>
        <v/>
      </c>
      <c r="H73" s="18"/>
      <c r="I73" s="18"/>
      <c r="J73" s="19" t="str">
        <f aca="true">IF(ISBLANK(H73), "", I73-TODAY())</f>
        <v/>
      </c>
      <c r="K73" s="19" t="str">
        <f aca="false" t="array" ref="K73:K73">IF(A73&lt;&gt;"",IF(COUNTIF(A74:A$996,"&lt;&gt;")=0,COUNTA(B73:B$996),IFERROR(MATCH(TRUE(),INDEX((A74:A$996&lt;&gt;""),0),0),COUNTA(B73:B$996))),"")</f>
        <v/>
      </c>
      <c r="L73" s="20"/>
    </row>
    <row r="74" customFormat="false" ht="13.8" hidden="false" customHeight="false" outlineLevel="0" collapsed="false">
      <c r="A74" s="16"/>
      <c r="B74" s="16"/>
      <c r="C74" s="17"/>
      <c r="D74" s="17"/>
      <c r="E74" s="17"/>
      <c r="F74" s="18"/>
      <c r="G74" s="19" t="str">
        <f aca="true">IF(F74="", "", DATEDIF(F74, TODAY(), "Y"))</f>
        <v/>
      </c>
      <c r="H74" s="18"/>
      <c r="I74" s="18"/>
      <c r="J74" s="19" t="str">
        <f aca="true">IF(ISBLANK(H74), "", I74-TODAY())</f>
        <v/>
      </c>
      <c r="K74" s="19" t="str">
        <f aca="false" t="array" ref="K74:K74">IF(A74&lt;&gt;"",IF(COUNTIF(A75:A$996,"&lt;&gt;")=0,COUNTA(B74:B$996),IFERROR(MATCH(TRUE(),INDEX((A75:A$996&lt;&gt;""),0),0),COUNTA(B74:B$996))),"")</f>
        <v/>
      </c>
      <c r="L74" s="20"/>
    </row>
    <row r="75" customFormat="false" ht="13.8" hidden="false" customHeight="false" outlineLevel="0" collapsed="false">
      <c r="A75" s="16"/>
      <c r="B75" s="16"/>
      <c r="C75" s="17"/>
      <c r="D75" s="17"/>
      <c r="E75" s="17"/>
      <c r="F75" s="18"/>
      <c r="G75" s="19" t="str">
        <f aca="true">IF(F75="", "", DATEDIF(F75, TODAY(), "Y"))</f>
        <v/>
      </c>
      <c r="H75" s="18"/>
      <c r="I75" s="18"/>
      <c r="J75" s="19" t="str">
        <f aca="true">IF(ISBLANK(H75), "", I75-TODAY())</f>
        <v/>
      </c>
      <c r="K75" s="19" t="str">
        <f aca="false" t="array" ref="K75:K75">IF(A75&lt;&gt;"",IF(COUNTIF(A76:A$996,"&lt;&gt;")=0,COUNTA(B75:B$996),IFERROR(MATCH(TRUE(),INDEX((A76:A$996&lt;&gt;""),0),0),COUNTA(B75:B$996))),"")</f>
        <v/>
      </c>
      <c r="L75" s="20"/>
    </row>
    <row r="76" customFormat="false" ht="13.8" hidden="false" customHeight="false" outlineLevel="0" collapsed="false">
      <c r="A76" s="16"/>
      <c r="B76" s="16"/>
      <c r="C76" s="17"/>
      <c r="D76" s="17"/>
      <c r="E76" s="17"/>
      <c r="F76" s="18"/>
      <c r="G76" s="19" t="str">
        <f aca="true">IF(F76="", "", DATEDIF(F76, TODAY(), "Y"))</f>
        <v/>
      </c>
      <c r="H76" s="18"/>
      <c r="I76" s="18"/>
      <c r="J76" s="19" t="str">
        <f aca="true">IF(ISBLANK(H76), "", I76-TODAY())</f>
        <v/>
      </c>
      <c r="K76" s="19" t="str">
        <f aca="false" t="array" ref="K76:K76">IF(A76&lt;&gt;"",IF(COUNTIF(A77:A$996,"&lt;&gt;")=0,COUNTA(B76:B$996),IFERROR(MATCH(TRUE(),INDEX((A77:A$996&lt;&gt;""),0),0),COUNTA(B76:B$996))),"")</f>
        <v/>
      </c>
      <c r="L76" s="20"/>
    </row>
    <row r="77" customFormat="false" ht="13.8" hidden="false" customHeight="false" outlineLevel="0" collapsed="false">
      <c r="A77" s="16"/>
      <c r="B77" s="16"/>
      <c r="C77" s="17"/>
      <c r="D77" s="17"/>
      <c r="E77" s="17"/>
      <c r="F77" s="18"/>
      <c r="G77" s="19" t="str">
        <f aca="true">IF(F77="", "", DATEDIF(F77, TODAY(), "Y"))</f>
        <v/>
      </c>
      <c r="H77" s="18"/>
      <c r="I77" s="18"/>
      <c r="J77" s="19" t="str">
        <f aca="true">IF(ISBLANK(H77), "", I77-TODAY())</f>
        <v/>
      </c>
      <c r="K77" s="19" t="str">
        <f aca="false" t="array" ref="K77:K77">IF(A77&lt;&gt;"",IF(COUNTIF(A78:A$996,"&lt;&gt;")=0,COUNTA(B77:B$996),IFERROR(MATCH(TRUE(),INDEX((A78:A$996&lt;&gt;""),0),0),COUNTA(B77:B$996))),"")</f>
        <v/>
      </c>
      <c r="L77" s="20"/>
    </row>
    <row r="78" customFormat="false" ht="13.8" hidden="false" customHeight="false" outlineLevel="0" collapsed="false">
      <c r="A78" s="16"/>
      <c r="B78" s="16"/>
      <c r="C78" s="17"/>
      <c r="D78" s="17"/>
      <c r="E78" s="17"/>
      <c r="F78" s="18"/>
      <c r="G78" s="19" t="str">
        <f aca="true">IF(F78="", "", DATEDIF(F78, TODAY(), "Y"))</f>
        <v/>
      </c>
      <c r="H78" s="18"/>
      <c r="I78" s="18"/>
      <c r="J78" s="19" t="str">
        <f aca="true">IF(ISBLANK(H78), "", I78-TODAY())</f>
        <v/>
      </c>
      <c r="K78" s="19" t="str">
        <f aca="false" t="array" ref="K78:K78">IF(A78&lt;&gt;"",IF(COUNTIF(A79:A$996,"&lt;&gt;")=0,COUNTA(B78:B$996),IFERROR(MATCH(TRUE(),INDEX((A79:A$996&lt;&gt;""),0),0),COUNTA(B78:B$996))),"")</f>
        <v/>
      </c>
      <c r="L78" s="20"/>
    </row>
    <row r="79" customFormat="false" ht="13.8" hidden="false" customHeight="false" outlineLevel="0" collapsed="false">
      <c r="A79" s="16"/>
      <c r="B79" s="16"/>
      <c r="C79" s="17"/>
      <c r="D79" s="17"/>
      <c r="E79" s="17"/>
      <c r="F79" s="18"/>
      <c r="G79" s="19" t="str">
        <f aca="true">IF(F79="", "", DATEDIF(F79, TODAY(), "Y"))</f>
        <v/>
      </c>
      <c r="H79" s="18"/>
      <c r="I79" s="18"/>
      <c r="J79" s="19" t="str">
        <f aca="true">IF(ISBLANK(H79), "", I79-TODAY())</f>
        <v/>
      </c>
      <c r="K79" s="19" t="str">
        <f aca="false" t="array" ref="K79:K79">IF(A79&lt;&gt;"",IF(COUNTIF(A80:A$996,"&lt;&gt;")=0,COUNTA(B79:B$996),IFERROR(MATCH(TRUE(),INDEX((A80:A$996&lt;&gt;""),0),0),COUNTA(B79:B$996))),"")</f>
        <v/>
      </c>
      <c r="L79" s="20"/>
    </row>
    <row r="80" customFormat="false" ht="13.8" hidden="false" customHeight="false" outlineLevel="0" collapsed="false">
      <c r="A80" s="16"/>
      <c r="B80" s="16"/>
      <c r="C80" s="17"/>
      <c r="D80" s="17"/>
      <c r="E80" s="17"/>
      <c r="F80" s="18"/>
      <c r="G80" s="19" t="str">
        <f aca="true">IF(F80="", "", DATEDIF(F80, TODAY(), "Y"))</f>
        <v/>
      </c>
      <c r="H80" s="18"/>
      <c r="I80" s="18"/>
      <c r="J80" s="19" t="str">
        <f aca="true">IF(ISBLANK(H80), "", I80-TODAY())</f>
        <v/>
      </c>
      <c r="K80" s="19" t="str">
        <f aca="false" t="array" ref="K80:K80">IF(A80&lt;&gt;"",IF(COUNTIF(A81:A$996,"&lt;&gt;")=0,COUNTA(B80:B$996),IFERROR(MATCH(TRUE(),INDEX((A81:A$996&lt;&gt;""),0),0),COUNTA(B80:B$996))),"")</f>
        <v/>
      </c>
      <c r="L80" s="20"/>
    </row>
    <row r="81" customFormat="false" ht="13.8" hidden="false" customHeight="false" outlineLevel="0" collapsed="false">
      <c r="A81" s="16"/>
      <c r="B81" s="16"/>
      <c r="C81" s="17"/>
      <c r="D81" s="17"/>
      <c r="E81" s="17"/>
      <c r="F81" s="18"/>
      <c r="G81" s="19" t="str">
        <f aca="true">IF(F81="", "", DATEDIF(F81, TODAY(), "Y"))</f>
        <v/>
      </c>
      <c r="H81" s="18"/>
      <c r="I81" s="18"/>
      <c r="J81" s="19" t="str">
        <f aca="true">IF(ISBLANK(H81), "", I81-TODAY())</f>
        <v/>
      </c>
      <c r="K81" s="19" t="str">
        <f aca="false" t="array" ref="K81:K81">IF(A81&lt;&gt;"",IF(COUNTIF(A82:A$996,"&lt;&gt;")=0,COUNTA(B81:B$996),IFERROR(MATCH(TRUE(),INDEX((A82:A$996&lt;&gt;""),0),0),COUNTA(B81:B$996))),"")</f>
        <v/>
      </c>
      <c r="L81" s="20"/>
    </row>
    <row r="82" customFormat="false" ht="13.8" hidden="false" customHeight="false" outlineLevel="0" collapsed="false">
      <c r="A82" s="16"/>
      <c r="B82" s="16"/>
      <c r="C82" s="17"/>
      <c r="D82" s="17"/>
      <c r="E82" s="17"/>
      <c r="F82" s="18"/>
      <c r="G82" s="19" t="str">
        <f aca="true">IF(F82="", "", DATEDIF(F82, TODAY(), "Y"))</f>
        <v/>
      </c>
      <c r="H82" s="18"/>
      <c r="I82" s="18"/>
      <c r="J82" s="19" t="str">
        <f aca="true">IF(ISBLANK(H82), "", I82-TODAY())</f>
        <v/>
      </c>
      <c r="K82" s="19" t="str">
        <f aca="false" t="array" ref="K82:K82">IF(A82&lt;&gt;"",IF(COUNTIF(A83:A$996,"&lt;&gt;")=0,COUNTA(B82:B$996),IFERROR(MATCH(TRUE(),INDEX((A83:A$996&lt;&gt;""),0),0),COUNTA(B82:B$996))),"")</f>
        <v/>
      </c>
      <c r="L82" s="20"/>
    </row>
    <row r="83" customFormat="false" ht="13.8" hidden="false" customHeight="false" outlineLevel="0" collapsed="false">
      <c r="A83" s="16"/>
      <c r="B83" s="16"/>
      <c r="C83" s="17"/>
      <c r="D83" s="17"/>
      <c r="E83" s="17"/>
      <c r="F83" s="18"/>
      <c r="G83" s="19" t="str">
        <f aca="true">IF(F83="", "", DATEDIF(F83, TODAY(), "Y"))</f>
        <v/>
      </c>
      <c r="H83" s="18"/>
      <c r="I83" s="18"/>
      <c r="J83" s="19" t="str">
        <f aca="true">IF(ISBLANK(H83), "", I83-TODAY())</f>
        <v/>
      </c>
      <c r="K83" s="19" t="str">
        <f aca="false" t="array" ref="K83:K83">IF(A83&lt;&gt;"",IF(COUNTIF(A84:A$996,"&lt;&gt;")=0,COUNTA(B83:B$996),IFERROR(MATCH(TRUE(),INDEX((A84:A$996&lt;&gt;""),0),0),COUNTA(B83:B$996))),"")</f>
        <v/>
      </c>
      <c r="L83" s="20"/>
    </row>
    <row r="84" customFormat="false" ht="13.8" hidden="false" customHeight="false" outlineLevel="0" collapsed="false">
      <c r="A84" s="16"/>
      <c r="B84" s="16"/>
      <c r="C84" s="17"/>
      <c r="D84" s="17"/>
      <c r="E84" s="17"/>
      <c r="F84" s="18"/>
      <c r="G84" s="19" t="str">
        <f aca="true">IF(F84="", "", DATEDIF(F84, TODAY(), "Y"))</f>
        <v/>
      </c>
      <c r="H84" s="18"/>
      <c r="I84" s="18"/>
      <c r="J84" s="19" t="str">
        <f aca="true">IF(ISBLANK(H84), "", I84-TODAY())</f>
        <v/>
      </c>
      <c r="K84" s="19" t="str">
        <f aca="false" t="array" ref="K84:K84">IF(A84&lt;&gt;"",IF(COUNTIF(A85:A$996,"&lt;&gt;")=0,COUNTA(B84:B$996),IFERROR(MATCH(TRUE(),INDEX((A85:A$996&lt;&gt;""),0),0),COUNTA(B84:B$996))),"")</f>
        <v/>
      </c>
      <c r="L84" s="20"/>
    </row>
    <row r="85" customFormat="false" ht="13.8" hidden="false" customHeight="false" outlineLevel="0" collapsed="false">
      <c r="A85" s="16"/>
      <c r="B85" s="16"/>
      <c r="C85" s="17"/>
      <c r="D85" s="17"/>
      <c r="E85" s="17"/>
      <c r="F85" s="18"/>
      <c r="G85" s="19" t="str">
        <f aca="true">IF(F85="", "", DATEDIF(F85, TODAY(), "Y"))</f>
        <v/>
      </c>
      <c r="H85" s="18"/>
      <c r="I85" s="18"/>
      <c r="J85" s="19" t="str">
        <f aca="true">IF(ISBLANK(H85), "", I85-TODAY())</f>
        <v/>
      </c>
      <c r="K85" s="19" t="str">
        <f aca="false" t="array" ref="K85:K85">IF(A85&lt;&gt;"",IF(COUNTIF(A86:A$996,"&lt;&gt;")=0,COUNTA(B85:B$996),IFERROR(MATCH(TRUE(),INDEX((A86:A$996&lt;&gt;""),0),0),COUNTA(B85:B$996))),"")</f>
        <v/>
      </c>
      <c r="L85" s="20"/>
    </row>
    <row r="86" customFormat="false" ht="13.8" hidden="false" customHeight="false" outlineLevel="0" collapsed="false">
      <c r="A86" s="16"/>
      <c r="B86" s="16"/>
      <c r="C86" s="17"/>
      <c r="D86" s="17"/>
      <c r="E86" s="17"/>
      <c r="F86" s="18"/>
      <c r="G86" s="19" t="str">
        <f aca="true">IF(F86="", "", DATEDIF(F86, TODAY(), "Y"))</f>
        <v/>
      </c>
      <c r="H86" s="18"/>
      <c r="I86" s="18"/>
      <c r="J86" s="19" t="str">
        <f aca="true">IF(ISBLANK(H86), "", I86-TODAY())</f>
        <v/>
      </c>
      <c r="K86" s="19" t="str">
        <f aca="false" t="array" ref="K86:K86">IF(A86&lt;&gt;"",IF(COUNTIF(A87:A$996,"&lt;&gt;")=0,COUNTA(B86:B$996),IFERROR(MATCH(TRUE(),INDEX((A87:A$996&lt;&gt;""),0),0),COUNTA(B86:B$996))),"")</f>
        <v/>
      </c>
      <c r="L86" s="20"/>
    </row>
    <row r="87" customFormat="false" ht="13.8" hidden="false" customHeight="false" outlineLevel="0" collapsed="false">
      <c r="A87" s="16"/>
      <c r="B87" s="16"/>
      <c r="C87" s="17"/>
      <c r="D87" s="17"/>
      <c r="E87" s="17"/>
      <c r="F87" s="18"/>
      <c r="G87" s="19" t="str">
        <f aca="true">IF(F87="", "", DATEDIF(F87, TODAY(), "Y"))</f>
        <v/>
      </c>
      <c r="H87" s="18"/>
      <c r="I87" s="18"/>
      <c r="J87" s="19" t="str">
        <f aca="true">IF(ISBLANK(H87), "", I87-TODAY())</f>
        <v/>
      </c>
      <c r="K87" s="19" t="str">
        <f aca="false" t="array" ref="K87:K87">IF(A87&lt;&gt;"",IF(COUNTIF(A88:A$996,"&lt;&gt;")=0,COUNTA(B87:B$996),IFERROR(MATCH(TRUE(),INDEX((A88:A$996&lt;&gt;""),0),0),COUNTA(B87:B$996))),"")</f>
        <v/>
      </c>
      <c r="L87" s="20"/>
    </row>
    <row r="88" customFormat="false" ht="13.8" hidden="false" customHeight="false" outlineLevel="0" collapsed="false">
      <c r="A88" s="16"/>
      <c r="B88" s="16"/>
      <c r="C88" s="17"/>
      <c r="D88" s="17"/>
      <c r="E88" s="17"/>
      <c r="F88" s="18"/>
      <c r="G88" s="19" t="str">
        <f aca="true">IF(F88="", "", DATEDIF(F88, TODAY(), "Y"))</f>
        <v/>
      </c>
      <c r="H88" s="18"/>
      <c r="I88" s="18"/>
      <c r="J88" s="19" t="str">
        <f aca="true">IF(ISBLANK(H88), "", I88-TODAY())</f>
        <v/>
      </c>
      <c r="K88" s="19" t="str">
        <f aca="false" t="array" ref="K88:K88">IF(A88&lt;&gt;"",IF(COUNTIF(A89:A$996,"&lt;&gt;")=0,COUNTA(B88:B$996),IFERROR(MATCH(TRUE(),INDEX((A89:A$996&lt;&gt;""),0),0),COUNTA(B88:B$996))),"")</f>
        <v/>
      </c>
      <c r="L88" s="20"/>
    </row>
    <row r="89" customFormat="false" ht="13.8" hidden="false" customHeight="false" outlineLevel="0" collapsed="false">
      <c r="A89" s="16"/>
      <c r="B89" s="16"/>
      <c r="C89" s="17"/>
      <c r="D89" s="17"/>
      <c r="E89" s="17"/>
      <c r="F89" s="18"/>
      <c r="G89" s="19" t="str">
        <f aca="true">IF(F89="", "", DATEDIF(F89, TODAY(), "Y"))</f>
        <v/>
      </c>
      <c r="H89" s="18"/>
      <c r="I89" s="18"/>
      <c r="J89" s="19" t="str">
        <f aca="true">IF(ISBLANK(H89), "", I89-TODAY())</f>
        <v/>
      </c>
      <c r="K89" s="19" t="str">
        <f aca="false" t="array" ref="K89:K89">IF(A89&lt;&gt;"",IF(COUNTIF(A90:A$996,"&lt;&gt;")=0,COUNTA(B89:B$996),IFERROR(MATCH(TRUE(),INDEX((A90:A$996&lt;&gt;""),0),0),COUNTA(B89:B$996))),"")</f>
        <v/>
      </c>
      <c r="L89" s="20"/>
    </row>
    <row r="90" customFormat="false" ht="13.8" hidden="false" customHeight="false" outlineLevel="0" collapsed="false">
      <c r="A90" s="16"/>
      <c r="B90" s="16"/>
      <c r="C90" s="17"/>
      <c r="D90" s="17"/>
      <c r="E90" s="17"/>
      <c r="F90" s="18"/>
      <c r="G90" s="19" t="str">
        <f aca="true">IF(F90="", "", DATEDIF(F90, TODAY(), "Y"))</f>
        <v/>
      </c>
      <c r="H90" s="18"/>
      <c r="I90" s="18"/>
      <c r="J90" s="19" t="str">
        <f aca="true">IF(ISBLANK(H90), "", I90-TODAY())</f>
        <v/>
      </c>
      <c r="K90" s="19" t="str">
        <f aca="false" t="array" ref="K90:K90">IF(A90&lt;&gt;"",IF(COUNTIF(A91:A$996,"&lt;&gt;")=0,COUNTA(B90:B$996),IFERROR(MATCH(TRUE(),INDEX((A91:A$996&lt;&gt;""),0),0),COUNTA(B90:B$996))),"")</f>
        <v/>
      </c>
      <c r="L90" s="20"/>
    </row>
    <row r="91" customFormat="false" ht="13.8" hidden="false" customHeight="false" outlineLevel="0" collapsed="false">
      <c r="A91" s="16"/>
      <c r="B91" s="16"/>
      <c r="C91" s="17"/>
      <c r="D91" s="17"/>
      <c r="E91" s="17"/>
      <c r="F91" s="18"/>
      <c r="G91" s="19" t="str">
        <f aca="true">IF(F91="", "", DATEDIF(F91, TODAY(), "Y"))</f>
        <v/>
      </c>
      <c r="H91" s="18"/>
      <c r="I91" s="18"/>
      <c r="J91" s="19" t="str">
        <f aca="true">IF(ISBLANK(H91), "", I91-TODAY())</f>
        <v/>
      </c>
      <c r="K91" s="19" t="str">
        <f aca="false" t="array" ref="K91:K91">IF(A91&lt;&gt;"",IF(COUNTIF(A92:A$996,"&lt;&gt;")=0,COUNTA(B91:B$996),IFERROR(MATCH(TRUE(),INDEX((A92:A$996&lt;&gt;""),0),0),COUNTA(B91:B$996))),"")</f>
        <v/>
      </c>
      <c r="L91" s="20"/>
    </row>
    <row r="92" customFormat="false" ht="13.8" hidden="false" customHeight="false" outlineLevel="0" collapsed="false">
      <c r="A92" s="16"/>
      <c r="B92" s="16"/>
      <c r="C92" s="17"/>
      <c r="D92" s="17"/>
      <c r="E92" s="17"/>
      <c r="F92" s="18"/>
      <c r="G92" s="19" t="str">
        <f aca="true">IF(F92="", "", DATEDIF(F92, TODAY(), "Y"))</f>
        <v/>
      </c>
      <c r="H92" s="18"/>
      <c r="I92" s="18"/>
      <c r="J92" s="19" t="str">
        <f aca="true">IF(ISBLANK(H92), "", I92-TODAY())</f>
        <v/>
      </c>
      <c r="K92" s="19" t="str">
        <f aca="false" t="array" ref="K92:K92">IF(A92&lt;&gt;"",IF(COUNTIF(A93:A$996,"&lt;&gt;")=0,COUNTA(B92:B$996),IFERROR(MATCH(TRUE(),INDEX((A93:A$996&lt;&gt;""),0),0),COUNTA(B92:B$996))),"")</f>
        <v/>
      </c>
      <c r="L92" s="20"/>
    </row>
    <row r="93" customFormat="false" ht="13.8" hidden="false" customHeight="false" outlineLevel="0" collapsed="false">
      <c r="A93" s="16"/>
      <c r="B93" s="16"/>
      <c r="C93" s="17"/>
      <c r="D93" s="17"/>
      <c r="E93" s="17"/>
      <c r="F93" s="18"/>
      <c r="G93" s="19" t="str">
        <f aca="true">IF(F93="", "", DATEDIF(F93, TODAY(), "Y"))</f>
        <v/>
      </c>
      <c r="H93" s="18"/>
      <c r="I93" s="18"/>
      <c r="J93" s="19" t="str">
        <f aca="true">IF(ISBLANK(H93), "", I93-TODAY())</f>
        <v/>
      </c>
      <c r="K93" s="19" t="str">
        <f aca="false" t="array" ref="K93:K93">IF(A93&lt;&gt;"",IF(COUNTIF(A94:A$996,"&lt;&gt;")=0,COUNTA(B93:B$996),IFERROR(MATCH(TRUE(),INDEX((A94:A$996&lt;&gt;""),0),0),COUNTA(B93:B$996))),"")</f>
        <v/>
      </c>
      <c r="L93" s="20"/>
    </row>
    <row r="94" customFormat="false" ht="13.8" hidden="false" customHeight="false" outlineLevel="0" collapsed="false">
      <c r="A94" s="16"/>
      <c r="B94" s="16"/>
      <c r="C94" s="17"/>
      <c r="D94" s="17"/>
      <c r="E94" s="17"/>
      <c r="F94" s="18"/>
      <c r="G94" s="19" t="str">
        <f aca="true">IF(F94="", "", DATEDIF(F94, TODAY(), "Y"))</f>
        <v/>
      </c>
      <c r="H94" s="18"/>
      <c r="I94" s="18"/>
      <c r="J94" s="19" t="str">
        <f aca="true">IF(ISBLANK(H94), "", I94-TODAY())</f>
        <v/>
      </c>
      <c r="K94" s="19" t="str">
        <f aca="false" t="array" ref="K94:K94">IF(A94&lt;&gt;"",IF(COUNTIF(A95:A$996,"&lt;&gt;")=0,COUNTA(B94:B$996),IFERROR(MATCH(TRUE(),INDEX((A95:A$996&lt;&gt;""),0),0),COUNTA(B94:B$996))),"")</f>
        <v/>
      </c>
      <c r="L94" s="20"/>
    </row>
    <row r="95" customFormat="false" ht="13.8" hidden="false" customHeight="false" outlineLevel="0" collapsed="false">
      <c r="A95" s="16"/>
      <c r="B95" s="16"/>
      <c r="C95" s="17"/>
      <c r="D95" s="17"/>
      <c r="E95" s="17"/>
      <c r="F95" s="18"/>
      <c r="G95" s="19" t="str">
        <f aca="true">IF(F95="", "", DATEDIF(F95, TODAY(), "Y"))</f>
        <v/>
      </c>
      <c r="H95" s="18"/>
      <c r="I95" s="18"/>
      <c r="J95" s="19" t="str">
        <f aca="true">IF(ISBLANK(H95), "", I95-TODAY())</f>
        <v/>
      </c>
      <c r="K95" s="19" t="str">
        <f aca="false" t="array" ref="K95:K95">IF(A95&lt;&gt;"",IF(COUNTIF(A96:A$996,"&lt;&gt;")=0,COUNTA(B95:B$996),IFERROR(MATCH(TRUE(),INDEX((A96:A$996&lt;&gt;""),0),0),COUNTA(B95:B$996))),"")</f>
        <v/>
      </c>
      <c r="L95" s="20"/>
    </row>
    <row r="96" customFormat="false" ht="13.8" hidden="false" customHeight="false" outlineLevel="0" collapsed="false">
      <c r="A96" s="16"/>
      <c r="B96" s="16"/>
      <c r="C96" s="17"/>
      <c r="D96" s="17"/>
      <c r="E96" s="17"/>
      <c r="F96" s="18"/>
      <c r="G96" s="19" t="str">
        <f aca="true">IF(F96="", "", DATEDIF(F96, TODAY(), "Y"))</f>
        <v/>
      </c>
      <c r="H96" s="18"/>
      <c r="I96" s="18"/>
      <c r="J96" s="19" t="str">
        <f aca="true">IF(ISBLANK(H96), "", I96-TODAY())</f>
        <v/>
      </c>
      <c r="K96" s="19" t="str">
        <f aca="false" t="array" ref="K96:K96">IF(A96&lt;&gt;"",IF(COUNTIF(A97:A$996,"&lt;&gt;")=0,COUNTA(B96:B$996),IFERROR(MATCH(TRUE(),INDEX((A97:A$996&lt;&gt;""),0),0),COUNTA(B96:B$996))),"")</f>
        <v/>
      </c>
      <c r="L96" s="20"/>
    </row>
    <row r="97" customFormat="false" ht="13.8" hidden="false" customHeight="false" outlineLevel="0" collapsed="false">
      <c r="A97" s="16"/>
      <c r="B97" s="16"/>
      <c r="C97" s="17"/>
      <c r="D97" s="17"/>
      <c r="E97" s="17"/>
      <c r="F97" s="18"/>
      <c r="G97" s="19" t="str">
        <f aca="true">IF(F97="", "", DATEDIF(F97, TODAY(), "Y"))</f>
        <v/>
      </c>
      <c r="H97" s="18"/>
      <c r="I97" s="18"/>
      <c r="J97" s="19" t="str">
        <f aca="true">IF(ISBLANK(H97), "", I97-TODAY())</f>
        <v/>
      </c>
      <c r="K97" s="19" t="str">
        <f aca="false" t="array" ref="K97:K97">IF(A97&lt;&gt;"",IF(COUNTIF(A98:A$996,"&lt;&gt;")=0,COUNTA(B97:B$996),IFERROR(MATCH(TRUE(),INDEX((A98:A$996&lt;&gt;""),0),0),COUNTA(B97:B$996))),"")</f>
        <v/>
      </c>
      <c r="L97" s="20"/>
    </row>
    <row r="98" customFormat="false" ht="13.8" hidden="false" customHeight="false" outlineLevel="0" collapsed="false">
      <c r="A98" s="16"/>
      <c r="B98" s="16"/>
      <c r="C98" s="17"/>
      <c r="D98" s="17"/>
      <c r="E98" s="17"/>
      <c r="F98" s="18"/>
      <c r="G98" s="19" t="str">
        <f aca="true">IF(F98="", "", DATEDIF(F98, TODAY(), "Y"))</f>
        <v/>
      </c>
      <c r="H98" s="18"/>
      <c r="I98" s="18"/>
      <c r="J98" s="19" t="str">
        <f aca="true">IF(ISBLANK(H98), "", I98-TODAY())</f>
        <v/>
      </c>
      <c r="K98" s="19" t="str">
        <f aca="false" t="array" ref="K98:K98">IF(A98&lt;&gt;"",IF(COUNTIF(A99:A$996,"&lt;&gt;")=0,COUNTA(B98:B$996),IFERROR(MATCH(TRUE(),INDEX((A99:A$996&lt;&gt;""),0),0),COUNTA(B98:B$996))),"")</f>
        <v/>
      </c>
      <c r="L98" s="20"/>
    </row>
    <row r="99" customFormat="false" ht="13.8" hidden="false" customHeight="false" outlineLevel="0" collapsed="false">
      <c r="A99" s="16"/>
      <c r="B99" s="16"/>
      <c r="C99" s="17"/>
      <c r="D99" s="17"/>
      <c r="E99" s="17"/>
      <c r="F99" s="18"/>
      <c r="G99" s="19" t="str">
        <f aca="true">IF(F99="", "", DATEDIF(F99, TODAY(), "Y"))</f>
        <v/>
      </c>
      <c r="H99" s="18"/>
      <c r="I99" s="18"/>
      <c r="J99" s="19" t="str">
        <f aca="true">IF(ISBLANK(H99), "", I99-TODAY())</f>
        <v/>
      </c>
      <c r="K99" s="19" t="str">
        <f aca="false" t="array" ref="K99:K99">IF(A99&lt;&gt;"",IF(COUNTIF(A100:A$996,"&lt;&gt;")=0,COUNTA(B99:B$996),IFERROR(MATCH(TRUE(),INDEX((A100:A$996&lt;&gt;""),0),0),COUNTA(B99:B$996))),"")</f>
        <v/>
      </c>
      <c r="L99" s="20"/>
    </row>
    <row r="100" customFormat="false" ht="13.8" hidden="false" customHeight="false" outlineLevel="0" collapsed="false">
      <c r="A100" s="16"/>
      <c r="B100" s="16"/>
      <c r="C100" s="17"/>
      <c r="D100" s="17"/>
      <c r="E100" s="17"/>
      <c r="F100" s="18"/>
      <c r="G100" s="19" t="str">
        <f aca="true">IF(F100="", "", DATEDIF(F100, TODAY(), "Y"))</f>
        <v/>
      </c>
      <c r="H100" s="18"/>
      <c r="I100" s="18"/>
      <c r="J100" s="19" t="str">
        <f aca="true">IF(ISBLANK(H100), "", I100-TODAY())</f>
        <v/>
      </c>
      <c r="K100" s="19" t="str">
        <f aca="false" t="array" ref="K100:K100">IF(A100&lt;&gt;"",IF(COUNTIF(A101:A$996,"&lt;&gt;")=0,COUNTA(B100:B$996),IFERROR(MATCH(TRUE(),INDEX((A101:A$996&lt;&gt;""),0),0),COUNTA(B100:B$996))),"")</f>
        <v/>
      </c>
      <c r="L100" s="20"/>
    </row>
    <row r="101" customFormat="false" ht="13.8" hidden="false" customHeight="false" outlineLevel="0" collapsed="false">
      <c r="A101" s="16"/>
      <c r="B101" s="16"/>
      <c r="C101" s="17"/>
      <c r="D101" s="17"/>
      <c r="E101" s="17"/>
      <c r="F101" s="18"/>
      <c r="G101" s="19" t="str">
        <f aca="true">IF(F101="", "", DATEDIF(F101, TODAY(), "Y"))</f>
        <v/>
      </c>
      <c r="H101" s="18"/>
      <c r="I101" s="18"/>
      <c r="J101" s="19" t="str">
        <f aca="true">IF(ISBLANK(H101), "", I101-TODAY())</f>
        <v/>
      </c>
      <c r="K101" s="19" t="str">
        <f aca="false" t="array" ref="K101:K101">IF(A101&lt;&gt;"",IF(COUNTIF(A102:A$996,"&lt;&gt;")=0,COUNTA(B101:B$996),IFERROR(MATCH(TRUE(),INDEX((A102:A$996&lt;&gt;""),0),0),COUNTA(B101:B$996))),"")</f>
        <v/>
      </c>
      <c r="L101" s="20"/>
    </row>
    <row r="102" customFormat="false" ht="13.8" hidden="false" customHeight="false" outlineLevel="0" collapsed="false">
      <c r="A102" s="16"/>
      <c r="B102" s="16"/>
      <c r="C102" s="17"/>
      <c r="D102" s="17"/>
      <c r="E102" s="17"/>
      <c r="F102" s="18"/>
      <c r="G102" s="19" t="str">
        <f aca="true">IF(F102="", "", DATEDIF(F102, TODAY(), "Y"))</f>
        <v/>
      </c>
      <c r="H102" s="18"/>
      <c r="I102" s="18"/>
      <c r="J102" s="19" t="str">
        <f aca="true">IF(ISBLANK(H102), "", I102-TODAY())</f>
        <v/>
      </c>
      <c r="K102" s="19" t="str">
        <f aca="false" t="array" ref="K102:K102">IF(A102&lt;&gt;"",IF(COUNTIF(A103:A$996,"&lt;&gt;")=0,COUNTA(B102:B$996),IFERROR(MATCH(TRUE(),INDEX((A103:A$996&lt;&gt;""),0),0),COUNTA(B102:B$996))),"")</f>
        <v/>
      </c>
      <c r="L102" s="20"/>
    </row>
    <row r="103" customFormat="false" ht="13.8" hidden="false" customHeight="false" outlineLevel="0" collapsed="false">
      <c r="A103" s="16"/>
      <c r="B103" s="16"/>
      <c r="C103" s="17"/>
      <c r="D103" s="17"/>
      <c r="E103" s="17"/>
      <c r="F103" s="18"/>
      <c r="G103" s="19" t="str">
        <f aca="true">IF(F103="", "", DATEDIF(F103, TODAY(), "Y"))</f>
        <v/>
      </c>
      <c r="H103" s="18"/>
      <c r="I103" s="18"/>
      <c r="J103" s="19" t="str">
        <f aca="true">IF(ISBLANK(H103), "", I103-TODAY())</f>
        <v/>
      </c>
      <c r="K103" s="19" t="str">
        <f aca="false" t="array" ref="K103:K103">IF(A103&lt;&gt;"",IF(COUNTIF(A104:A$996,"&lt;&gt;")=0,COUNTA(B103:B$996),IFERROR(MATCH(TRUE(),INDEX((A104:A$996&lt;&gt;""),0),0),COUNTA(B103:B$996))),"")</f>
        <v/>
      </c>
      <c r="L103" s="20"/>
    </row>
    <row r="104" customFormat="false" ht="13.8" hidden="false" customHeight="false" outlineLevel="0" collapsed="false">
      <c r="A104" s="16"/>
      <c r="B104" s="16"/>
      <c r="C104" s="17"/>
      <c r="D104" s="17"/>
      <c r="E104" s="17"/>
      <c r="F104" s="18"/>
      <c r="G104" s="19" t="str">
        <f aca="true">IF(F104="", "", DATEDIF(F104, TODAY(), "Y"))</f>
        <v/>
      </c>
      <c r="H104" s="18"/>
      <c r="I104" s="18"/>
      <c r="J104" s="19" t="str">
        <f aca="true">IF(ISBLANK(H104), "", I104-TODAY())</f>
        <v/>
      </c>
      <c r="K104" s="19" t="str">
        <f aca="false" t="array" ref="K104:K104">IF(A104&lt;&gt;"",IF(COUNTIF(A105:A$996,"&lt;&gt;")=0,COUNTA(B104:B$996),IFERROR(MATCH(TRUE(),INDEX((A105:A$996&lt;&gt;""),0),0),COUNTA(B104:B$996))),"")</f>
        <v/>
      </c>
      <c r="L104" s="20"/>
    </row>
    <row r="105" customFormat="false" ht="13.8" hidden="false" customHeight="false" outlineLevel="0" collapsed="false">
      <c r="A105" s="16"/>
      <c r="B105" s="16"/>
      <c r="C105" s="17"/>
      <c r="D105" s="17"/>
      <c r="E105" s="17"/>
      <c r="F105" s="18"/>
      <c r="G105" s="19" t="str">
        <f aca="true">IF(F105="", "", DATEDIF(F105, TODAY(), "Y"))</f>
        <v/>
      </c>
      <c r="H105" s="18"/>
      <c r="I105" s="18"/>
      <c r="J105" s="19" t="str">
        <f aca="true">IF(ISBLANK(H105), "", I105-TODAY())</f>
        <v/>
      </c>
      <c r="K105" s="19" t="str">
        <f aca="false" t="array" ref="K105:K105">IF(A105&lt;&gt;"",IF(COUNTIF(A106:A$996,"&lt;&gt;")=0,COUNTA(B105:B$996),IFERROR(MATCH(TRUE(),INDEX((A106:A$996&lt;&gt;""),0),0),COUNTA(B105:B$996))),"")</f>
        <v/>
      </c>
      <c r="L105" s="20"/>
    </row>
    <row r="106" customFormat="false" ht="13.8" hidden="false" customHeight="false" outlineLevel="0" collapsed="false">
      <c r="A106" s="16"/>
      <c r="B106" s="16"/>
      <c r="C106" s="17"/>
      <c r="D106" s="17"/>
      <c r="E106" s="17"/>
      <c r="F106" s="18"/>
      <c r="G106" s="19" t="str">
        <f aca="true">IF(F106="", "", DATEDIF(F106, TODAY(), "Y"))</f>
        <v/>
      </c>
      <c r="H106" s="18"/>
      <c r="I106" s="18"/>
      <c r="J106" s="19" t="str">
        <f aca="true">IF(ISBLANK(H106), "", I106-TODAY())</f>
        <v/>
      </c>
      <c r="K106" s="19" t="str">
        <f aca="false" t="array" ref="K106:K106">IF(A106&lt;&gt;"",IF(COUNTIF(A107:A$996,"&lt;&gt;")=0,COUNTA(B106:B$996),IFERROR(MATCH(TRUE(),INDEX((A107:A$996&lt;&gt;""),0),0),COUNTA(B106:B$996))),"")</f>
        <v/>
      </c>
      <c r="L106" s="20"/>
    </row>
    <row r="107" customFormat="false" ht="13.8" hidden="false" customHeight="false" outlineLevel="0" collapsed="false">
      <c r="A107" s="16"/>
      <c r="B107" s="16"/>
      <c r="C107" s="17"/>
      <c r="D107" s="17"/>
      <c r="E107" s="17"/>
      <c r="F107" s="18"/>
      <c r="G107" s="19" t="str">
        <f aca="true">IF(F107="", "", DATEDIF(F107, TODAY(), "Y"))</f>
        <v/>
      </c>
      <c r="H107" s="18"/>
      <c r="I107" s="18"/>
      <c r="J107" s="19" t="str">
        <f aca="true">IF(ISBLANK(H107), "", I107-TODAY())</f>
        <v/>
      </c>
      <c r="K107" s="19" t="str">
        <f aca="false" t="array" ref="K107:K107">IF(A107&lt;&gt;"",IF(COUNTIF(A108:A$996,"&lt;&gt;")=0,COUNTA(B107:B$996),IFERROR(MATCH(TRUE(),INDEX((A108:A$996&lt;&gt;""),0),0),COUNTA(B107:B$996))),"")</f>
        <v/>
      </c>
      <c r="L107" s="20"/>
    </row>
    <row r="108" customFormat="false" ht="13.8" hidden="false" customHeight="false" outlineLevel="0" collapsed="false">
      <c r="A108" s="16"/>
      <c r="B108" s="16"/>
      <c r="C108" s="17"/>
      <c r="D108" s="17"/>
      <c r="E108" s="17"/>
      <c r="F108" s="18"/>
      <c r="G108" s="19" t="str">
        <f aca="true">IF(F108="", "", DATEDIF(F108, TODAY(), "Y"))</f>
        <v/>
      </c>
      <c r="H108" s="18"/>
      <c r="I108" s="18"/>
      <c r="J108" s="19" t="str">
        <f aca="true">IF(ISBLANK(H108), "", I108-TODAY())</f>
        <v/>
      </c>
      <c r="K108" s="19" t="str">
        <f aca="false" t="array" ref="K108:K108">IF(A108&lt;&gt;"",IF(COUNTIF(A109:A$996,"&lt;&gt;")=0,COUNTA(B108:B$996),IFERROR(MATCH(TRUE(),INDEX((A109:A$996&lt;&gt;""),0),0),COUNTA(B108:B$996))),"")</f>
        <v/>
      </c>
      <c r="L108" s="20"/>
    </row>
    <row r="109" customFormat="false" ht="13.8" hidden="false" customHeight="false" outlineLevel="0" collapsed="false">
      <c r="A109" s="16"/>
      <c r="B109" s="16"/>
      <c r="C109" s="17"/>
      <c r="D109" s="17"/>
      <c r="E109" s="17"/>
      <c r="F109" s="18"/>
      <c r="G109" s="19" t="str">
        <f aca="true">IF(F109="", "", DATEDIF(F109, TODAY(), "Y"))</f>
        <v/>
      </c>
      <c r="H109" s="18"/>
      <c r="I109" s="18"/>
      <c r="J109" s="19" t="str">
        <f aca="true">IF(ISBLANK(H109), "", I109-TODAY())</f>
        <v/>
      </c>
      <c r="K109" s="19" t="str">
        <f aca="false" t="array" ref="K109:K109">IF(A109&lt;&gt;"",IF(COUNTIF(A110:A$996,"&lt;&gt;")=0,COUNTA(B109:B$996),IFERROR(MATCH(TRUE(),INDEX((A110:A$996&lt;&gt;""),0),0),COUNTA(B109:B$996))),"")</f>
        <v/>
      </c>
      <c r="L109" s="20"/>
    </row>
    <row r="110" customFormat="false" ht="13.8" hidden="false" customHeight="false" outlineLevel="0" collapsed="false">
      <c r="A110" s="16"/>
      <c r="B110" s="16"/>
      <c r="C110" s="17"/>
      <c r="D110" s="17"/>
      <c r="E110" s="17"/>
      <c r="F110" s="18"/>
      <c r="G110" s="19" t="str">
        <f aca="true">IF(F110="", "", DATEDIF(F110, TODAY(), "Y"))</f>
        <v/>
      </c>
      <c r="H110" s="18"/>
      <c r="I110" s="18"/>
      <c r="J110" s="19" t="str">
        <f aca="true">IF(ISBLANK(H110), "", I110-TODAY())</f>
        <v/>
      </c>
      <c r="K110" s="19" t="str">
        <f aca="false" t="array" ref="K110:K110">IF(A110&lt;&gt;"",IF(COUNTIF(A111:A$996,"&lt;&gt;")=0,COUNTA(B110:B$996),IFERROR(MATCH(TRUE(),INDEX((A111:A$996&lt;&gt;""),0),0),COUNTA(B110:B$996))),"")</f>
        <v/>
      </c>
      <c r="L110" s="20"/>
    </row>
    <row r="111" customFormat="false" ht="13.8" hidden="false" customHeight="false" outlineLevel="0" collapsed="false">
      <c r="A111" s="16"/>
      <c r="B111" s="16"/>
      <c r="C111" s="17"/>
      <c r="D111" s="17"/>
      <c r="E111" s="17"/>
      <c r="F111" s="18"/>
      <c r="G111" s="19" t="str">
        <f aca="true">IF(F111="", "", DATEDIF(F111, TODAY(), "Y"))</f>
        <v/>
      </c>
      <c r="H111" s="18"/>
      <c r="I111" s="18"/>
      <c r="J111" s="19" t="str">
        <f aca="true">IF(ISBLANK(H111), "", I111-TODAY())</f>
        <v/>
      </c>
      <c r="K111" s="19" t="str">
        <f aca="false" t="array" ref="K111:K111">IF(A111&lt;&gt;"",IF(COUNTIF(A112:A$996,"&lt;&gt;")=0,COUNTA(B111:B$996),IFERROR(MATCH(TRUE(),INDEX((A112:A$996&lt;&gt;""),0),0),COUNTA(B111:B$996))),"")</f>
        <v/>
      </c>
      <c r="L111" s="20"/>
    </row>
    <row r="112" customFormat="false" ht="13.8" hidden="false" customHeight="false" outlineLevel="0" collapsed="false">
      <c r="A112" s="16"/>
      <c r="B112" s="16"/>
      <c r="C112" s="17"/>
      <c r="D112" s="17"/>
      <c r="E112" s="17"/>
      <c r="F112" s="18"/>
      <c r="G112" s="19" t="str">
        <f aca="true">IF(F112="", "", DATEDIF(F112, TODAY(), "Y"))</f>
        <v/>
      </c>
      <c r="H112" s="18"/>
      <c r="I112" s="18"/>
      <c r="J112" s="19" t="str">
        <f aca="true">IF(ISBLANK(H112), "", I112-TODAY())</f>
        <v/>
      </c>
      <c r="K112" s="19" t="str">
        <f aca="false" t="array" ref="K112:K112">IF(A112&lt;&gt;"",IF(COUNTIF(A113:A$996,"&lt;&gt;")=0,COUNTA(B112:B$996),IFERROR(MATCH(TRUE(),INDEX((A113:A$996&lt;&gt;""),0),0),COUNTA(B112:B$996))),"")</f>
        <v/>
      </c>
      <c r="L112" s="20"/>
    </row>
    <row r="113" customFormat="false" ht="13.8" hidden="false" customHeight="false" outlineLevel="0" collapsed="false">
      <c r="A113" s="16"/>
      <c r="B113" s="16"/>
      <c r="C113" s="17"/>
      <c r="D113" s="17"/>
      <c r="E113" s="17"/>
      <c r="F113" s="18"/>
      <c r="G113" s="19" t="str">
        <f aca="true">IF(F113="", "", DATEDIF(F113, TODAY(), "Y"))</f>
        <v/>
      </c>
      <c r="H113" s="18"/>
      <c r="I113" s="18"/>
      <c r="J113" s="19" t="str">
        <f aca="true">IF(ISBLANK(H113), "", I113-TODAY())</f>
        <v/>
      </c>
      <c r="K113" s="19" t="str">
        <f aca="false" t="array" ref="K113:K113">IF(A113&lt;&gt;"",IF(COUNTIF(A114:A$996,"&lt;&gt;")=0,COUNTA(B113:B$996),IFERROR(MATCH(TRUE(),INDEX((A114:A$996&lt;&gt;""),0),0),COUNTA(B113:B$996))),"")</f>
        <v/>
      </c>
      <c r="L113" s="20"/>
    </row>
    <row r="114" customFormat="false" ht="13.8" hidden="false" customHeight="false" outlineLevel="0" collapsed="false">
      <c r="A114" s="16"/>
      <c r="B114" s="16"/>
      <c r="C114" s="17"/>
      <c r="D114" s="17"/>
      <c r="E114" s="17"/>
      <c r="F114" s="18"/>
      <c r="G114" s="19" t="str">
        <f aca="true">IF(F114="", "", DATEDIF(F114, TODAY(), "Y"))</f>
        <v/>
      </c>
      <c r="H114" s="18"/>
      <c r="I114" s="18"/>
      <c r="J114" s="19" t="str">
        <f aca="true">IF(ISBLANK(H114), "", I114-TODAY())</f>
        <v/>
      </c>
      <c r="K114" s="19" t="str">
        <f aca="false" t="array" ref="K114:K114">IF(A114&lt;&gt;"",IF(COUNTIF(A115:A$996,"&lt;&gt;")=0,COUNTA(B114:B$996),IFERROR(MATCH(TRUE(),INDEX((A115:A$996&lt;&gt;""),0),0),COUNTA(B114:B$996))),"")</f>
        <v/>
      </c>
      <c r="L114" s="20"/>
    </row>
    <row r="115" customFormat="false" ht="13.8" hidden="false" customHeight="false" outlineLevel="0" collapsed="false">
      <c r="A115" s="16"/>
      <c r="B115" s="16"/>
      <c r="C115" s="17"/>
      <c r="D115" s="17"/>
      <c r="E115" s="17"/>
      <c r="F115" s="18"/>
      <c r="G115" s="19" t="str">
        <f aca="true">IF(F115="", "", DATEDIF(F115, TODAY(), "Y"))</f>
        <v/>
      </c>
      <c r="H115" s="18"/>
      <c r="I115" s="18"/>
      <c r="J115" s="19" t="str">
        <f aca="true">IF(ISBLANK(H115), "", I115-TODAY())</f>
        <v/>
      </c>
      <c r="K115" s="19" t="str">
        <f aca="false" t="array" ref="K115:K115">IF(A115&lt;&gt;"",IF(COUNTIF(A116:A$996,"&lt;&gt;")=0,COUNTA(B115:B$996),IFERROR(MATCH(TRUE(),INDEX((A116:A$996&lt;&gt;""),0),0),COUNTA(B115:B$996))),"")</f>
        <v/>
      </c>
      <c r="L115" s="20"/>
    </row>
    <row r="116" customFormat="false" ht="13.8" hidden="false" customHeight="false" outlineLevel="0" collapsed="false">
      <c r="A116" s="16"/>
      <c r="B116" s="16"/>
      <c r="C116" s="17"/>
      <c r="D116" s="17"/>
      <c r="E116" s="17"/>
      <c r="F116" s="18"/>
      <c r="G116" s="19" t="str">
        <f aca="true">IF(F116="", "", DATEDIF(F116, TODAY(), "Y"))</f>
        <v/>
      </c>
      <c r="H116" s="18"/>
      <c r="I116" s="18"/>
      <c r="J116" s="19" t="str">
        <f aca="true">IF(ISBLANK(H116), "", I116-TODAY())</f>
        <v/>
      </c>
      <c r="K116" s="19" t="str">
        <f aca="false" t="array" ref="K116:K116">IF(A116&lt;&gt;"",IF(COUNTIF(A117:A$996,"&lt;&gt;")=0,COUNTA(B116:B$996),IFERROR(MATCH(TRUE(),INDEX((A117:A$996&lt;&gt;""),0),0),COUNTA(B116:B$996))),"")</f>
        <v/>
      </c>
      <c r="L116" s="20"/>
    </row>
    <row r="117" customFormat="false" ht="13.8" hidden="false" customHeight="false" outlineLevel="0" collapsed="false">
      <c r="A117" s="16"/>
      <c r="B117" s="16"/>
      <c r="C117" s="17"/>
      <c r="D117" s="17"/>
      <c r="E117" s="17"/>
      <c r="F117" s="18"/>
      <c r="G117" s="19" t="str">
        <f aca="true">IF(F117="", "", DATEDIF(F117, TODAY(), "Y"))</f>
        <v/>
      </c>
      <c r="H117" s="18"/>
      <c r="I117" s="18"/>
      <c r="J117" s="19" t="str">
        <f aca="true">IF(ISBLANK(H117), "", I117-TODAY())</f>
        <v/>
      </c>
      <c r="K117" s="19" t="str">
        <f aca="false" t="array" ref="K117:K117">IF(A117&lt;&gt;"",IF(COUNTIF(A118:A$996,"&lt;&gt;")=0,COUNTA(B117:B$996),IFERROR(MATCH(TRUE(),INDEX((A118:A$996&lt;&gt;""),0),0),COUNTA(B117:B$996))),"")</f>
        <v/>
      </c>
      <c r="L117" s="20"/>
    </row>
    <row r="118" customFormat="false" ht="13.8" hidden="false" customHeight="false" outlineLevel="0" collapsed="false">
      <c r="A118" s="16"/>
      <c r="B118" s="16"/>
      <c r="C118" s="17"/>
      <c r="D118" s="17"/>
      <c r="E118" s="17"/>
      <c r="F118" s="18"/>
      <c r="G118" s="19" t="str">
        <f aca="true">IF(F118="", "", DATEDIF(F118, TODAY(), "Y"))</f>
        <v/>
      </c>
      <c r="H118" s="18"/>
      <c r="I118" s="18"/>
      <c r="J118" s="19" t="str">
        <f aca="true">IF(ISBLANK(H118), "", I118-TODAY())</f>
        <v/>
      </c>
      <c r="K118" s="19" t="str">
        <f aca="false" t="array" ref="K118:K118">IF(A118&lt;&gt;"",IF(COUNTIF(A119:A$996,"&lt;&gt;")=0,COUNTA(B118:B$996),IFERROR(MATCH(TRUE(),INDEX((A119:A$996&lt;&gt;""),0),0),COUNTA(B118:B$996))),"")</f>
        <v/>
      </c>
      <c r="L118" s="20"/>
    </row>
    <row r="119" customFormat="false" ht="13.8" hidden="false" customHeight="false" outlineLevel="0" collapsed="false">
      <c r="A119" s="16"/>
      <c r="B119" s="16"/>
      <c r="C119" s="17"/>
      <c r="D119" s="17"/>
      <c r="E119" s="17"/>
      <c r="F119" s="18"/>
      <c r="G119" s="19" t="str">
        <f aca="true">IF(F119="", "", DATEDIF(F119, TODAY(), "Y"))</f>
        <v/>
      </c>
      <c r="H119" s="18"/>
      <c r="I119" s="18"/>
      <c r="J119" s="19" t="str">
        <f aca="true">IF(ISBLANK(H119), "", I119-TODAY())</f>
        <v/>
      </c>
      <c r="K119" s="19" t="str">
        <f aca="false" t="array" ref="K119:K119">IF(A119&lt;&gt;"",IF(COUNTIF(A120:A$996,"&lt;&gt;")=0,COUNTA(B119:B$996),IFERROR(MATCH(TRUE(),INDEX((A120:A$996&lt;&gt;""),0),0),COUNTA(B119:B$996))),"")</f>
        <v/>
      </c>
      <c r="L119" s="20"/>
    </row>
    <row r="120" customFormat="false" ht="13.8" hidden="false" customHeight="false" outlineLevel="0" collapsed="false">
      <c r="A120" s="16"/>
      <c r="B120" s="16"/>
      <c r="C120" s="17"/>
      <c r="D120" s="17"/>
      <c r="E120" s="17"/>
      <c r="F120" s="18"/>
      <c r="G120" s="19" t="str">
        <f aca="true">IF(F120="", "", DATEDIF(F120, TODAY(), "Y"))</f>
        <v/>
      </c>
      <c r="H120" s="18"/>
      <c r="I120" s="18"/>
      <c r="J120" s="19" t="str">
        <f aca="true">IF(ISBLANK(H120), "", I120-TODAY())</f>
        <v/>
      </c>
      <c r="K120" s="19" t="str">
        <f aca="false" t="array" ref="K120:K120">IF(A120&lt;&gt;"",IF(COUNTIF(A121:A$996,"&lt;&gt;")=0,COUNTA(B120:B$996),IFERROR(MATCH(TRUE(),INDEX((A121:A$996&lt;&gt;""),0),0),COUNTA(B120:B$996))),"")</f>
        <v/>
      </c>
      <c r="L120" s="20"/>
    </row>
    <row r="121" customFormat="false" ht="13.8" hidden="false" customHeight="false" outlineLevel="0" collapsed="false">
      <c r="A121" s="16"/>
      <c r="B121" s="16"/>
      <c r="C121" s="17"/>
      <c r="D121" s="17"/>
      <c r="E121" s="17"/>
      <c r="F121" s="18"/>
      <c r="G121" s="19" t="str">
        <f aca="true">IF(F121="", "", DATEDIF(F121, TODAY(), "Y"))</f>
        <v/>
      </c>
      <c r="H121" s="18"/>
      <c r="I121" s="18"/>
      <c r="J121" s="19" t="str">
        <f aca="true">IF(ISBLANK(H121), "", I121-TODAY())</f>
        <v/>
      </c>
      <c r="K121" s="19" t="str">
        <f aca="false" t="array" ref="K121:K121">IF(A121&lt;&gt;"",IF(COUNTIF(A122:A$996,"&lt;&gt;")=0,COUNTA(B121:B$996),IFERROR(MATCH(TRUE(),INDEX((A122:A$996&lt;&gt;""),0),0),COUNTA(B121:B$996))),"")</f>
        <v/>
      </c>
      <c r="L121" s="20"/>
    </row>
    <row r="122" customFormat="false" ht="13.8" hidden="false" customHeight="false" outlineLevel="0" collapsed="false">
      <c r="A122" s="16"/>
      <c r="B122" s="16"/>
      <c r="C122" s="17"/>
      <c r="D122" s="17"/>
      <c r="E122" s="17"/>
      <c r="F122" s="18"/>
      <c r="G122" s="19" t="str">
        <f aca="true">IF(F122="", "", DATEDIF(F122, TODAY(), "Y"))</f>
        <v/>
      </c>
      <c r="H122" s="18"/>
      <c r="I122" s="18"/>
      <c r="J122" s="19" t="str">
        <f aca="true">IF(ISBLANK(H122), "", I122-TODAY())</f>
        <v/>
      </c>
      <c r="K122" s="19" t="str">
        <f aca="false" t="array" ref="K122:K122">IF(A122&lt;&gt;"",IF(COUNTIF(A123:A$996,"&lt;&gt;")=0,COUNTA(B122:B$996),IFERROR(MATCH(TRUE(),INDEX((A123:A$996&lt;&gt;""),0),0),COUNTA(B122:B$996))),"")</f>
        <v/>
      </c>
      <c r="L122" s="20"/>
    </row>
    <row r="123" customFormat="false" ht="13.8" hidden="false" customHeight="false" outlineLevel="0" collapsed="false">
      <c r="A123" s="16"/>
      <c r="B123" s="16"/>
      <c r="C123" s="17"/>
      <c r="D123" s="17"/>
      <c r="E123" s="17"/>
      <c r="F123" s="18"/>
      <c r="G123" s="19" t="str">
        <f aca="true">IF(F123="", "", DATEDIF(F123, TODAY(), "Y"))</f>
        <v/>
      </c>
      <c r="H123" s="18"/>
      <c r="I123" s="18"/>
      <c r="J123" s="19" t="str">
        <f aca="true">IF(ISBLANK(H123), "", I123-TODAY())</f>
        <v/>
      </c>
      <c r="K123" s="19" t="str">
        <f aca="false" t="array" ref="K123:K123">IF(A123&lt;&gt;"",IF(COUNTIF(A124:A$996,"&lt;&gt;")=0,COUNTA(B123:B$996),IFERROR(MATCH(TRUE(),INDEX((A124:A$996&lt;&gt;""),0),0),COUNTA(B123:B$996))),"")</f>
        <v/>
      </c>
      <c r="L123" s="20"/>
    </row>
    <row r="124" customFormat="false" ht="13.8" hidden="false" customHeight="false" outlineLevel="0" collapsed="false">
      <c r="A124" s="16"/>
      <c r="B124" s="16"/>
      <c r="C124" s="17"/>
      <c r="D124" s="17"/>
      <c r="E124" s="17"/>
      <c r="F124" s="18"/>
      <c r="G124" s="19" t="str">
        <f aca="true">IF(F124="", "", DATEDIF(F124, TODAY(), "Y"))</f>
        <v/>
      </c>
      <c r="H124" s="18"/>
      <c r="I124" s="18"/>
      <c r="J124" s="19" t="str">
        <f aca="true">IF(ISBLANK(H124), "", I124-TODAY())</f>
        <v/>
      </c>
      <c r="K124" s="19" t="str">
        <f aca="false" t="array" ref="K124:K124">IF(A124&lt;&gt;"",IF(COUNTIF(A125:A$996,"&lt;&gt;")=0,COUNTA(B124:B$996),IFERROR(MATCH(TRUE(),INDEX((A125:A$996&lt;&gt;""),0),0),COUNTA(B124:B$996))),"")</f>
        <v/>
      </c>
      <c r="L124" s="20"/>
    </row>
    <row r="125" customFormat="false" ht="13.8" hidden="false" customHeight="false" outlineLevel="0" collapsed="false">
      <c r="A125" s="16"/>
      <c r="B125" s="16"/>
      <c r="C125" s="17"/>
      <c r="D125" s="17"/>
      <c r="E125" s="17"/>
      <c r="F125" s="18"/>
      <c r="G125" s="19" t="str">
        <f aca="true">IF(F125="", "", DATEDIF(F125, TODAY(), "Y"))</f>
        <v/>
      </c>
      <c r="H125" s="18"/>
      <c r="I125" s="18"/>
      <c r="J125" s="19" t="str">
        <f aca="true">IF(ISBLANK(H125), "", I125-TODAY())</f>
        <v/>
      </c>
      <c r="K125" s="19" t="str">
        <f aca="false" t="array" ref="K125:K125">IF(A125&lt;&gt;"",IF(COUNTIF(A126:A$996,"&lt;&gt;")=0,COUNTA(B125:B$996),IFERROR(MATCH(TRUE(),INDEX((A126:A$996&lt;&gt;""),0),0),COUNTA(B125:B$996))),"")</f>
        <v/>
      </c>
      <c r="L125" s="20"/>
    </row>
    <row r="126" customFormat="false" ht="13.8" hidden="false" customHeight="false" outlineLevel="0" collapsed="false">
      <c r="A126" s="16"/>
      <c r="B126" s="16"/>
      <c r="C126" s="17"/>
      <c r="D126" s="17"/>
      <c r="E126" s="17"/>
      <c r="F126" s="18"/>
      <c r="G126" s="19" t="str">
        <f aca="true">IF(F126="", "", DATEDIF(F126, TODAY(), "Y"))</f>
        <v/>
      </c>
      <c r="H126" s="18"/>
      <c r="I126" s="18"/>
      <c r="J126" s="19" t="str">
        <f aca="true">IF(ISBLANK(H126), "", I126-TODAY())</f>
        <v/>
      </c>
      <c r="K126" s="19" t="str">
        <f aca="false" t="array" ref="K126:K126">IF(A126&lt;&gt;"",IF(COUNTIF(A127:A$996,"&lt;&gt;")=0,COUNTA(B126:B$996),IFERROR(MATCH(TRUE(),INDEX((A127:A$996&lt;&gt;""),0),0),COUNTA(B126:B$996))),"")</f>
        <v/>
      </c>
      <c r="L126" s="20"/>
    </row>
    <row r="127" customFormat="false" ht="13.8" hidden="false" customHeight="false" outlineLevel="0" collapsed="false">
      <c r="A127" s="16"/>
      <c r="B127" s="16"/>
      <c r="C127" s="17"/>
      <c r="D127" s="17"/>
      <c r="E127" s="17"/>
      <c r="F127" s="18"/>
      <c r="G127" s="19" t="str">
        <f aca="true">IF(F127="", "", DATEDIF(F127, TODAY(), "Y"))</f>
        <v/>
      </c>
      <c r="H127" s="18"/>
      <c r="I127" s="18"/>
      <c r="J127" s="19" t="str">
        <f aca="true">IF(ISBLANK(H127), "", I127-TODAY())</f>
        <v/>
      </c>
      <c r="K127" s="19" t="str">
        <f aca="false" t="array" ref="K127:K127">IF(A127&lt;&gt;"",IF(COUNTIF(A128:A$996,"&lt;&gt;")=0,COUNTA(B127:B$996),IFERROR(MATCH(TRUE(),INDEX((A128:A$996&lt;&gt;""),0),0),COUNTA(B127:B$996))),"")</f>
        <v/>
      </c>
      <c r="L127" s="20"/>
    </row>
    <row r="128" customFormat="false" ht="13.8" hidden="false" customHeight="false" outlineLevel="0" collapsed="false">
      <c r="A128" s="16"/>
      <c r="B128" s="16"/>
      <c r="C128" s="17"/>
      <c r="D128" s="17"/>
      <c r="E128" s="17"/>
      <c r="F128" s="18"/>
      <c r="G128" s="19" t="str">
        <f aca="true">IF(F128="", "", DATEDIF(F128, TODAY(), "Y"))</f>
        <v/>
      </c>
      <c r="H128" s="18"/>
      <c r="I128" s="18"/>
      <c r="J128" s="19" t="str">
        <f aca="true">IF(ISBLANK(H128), "", I128-TODAY())</f>
        <v/>
      </c>
      <c r="K128" s="19" t="str">
        <f aca="false" t="array" ref="K128:K128">IF(A128&lt;&gt;"",IF(COUNTIF(A129:A$996,"&lt;&gt;")=0,COUNTA(B128:B$996),IFERROR(MATCH(TRUE(),INDEX((A129:A$996&lt;&gt;""),0),0),COUNTA(B128:B$996))),"")</f>
        <v/>
      </c>
      <c r="L128" s="20"/>
    </row>
    <row r="129" customFormat="false" ht="13.8" hidden="false" customHeight="false" outlineLevel="0" collapsed="false">
      <c r="A129" s="16"/>
      <c r="B129" s="16"/>
      <c r="C129" s="17"/>
      <c r="D129" s="17"/>
      <c r="E129" s="17"/>
      <c r="F129" s="18"/>
      <c r="G129" s="19" t="str">
        <f aca="true">IF(F129="", "", DATEDIF(F129, TODAY(), "Y"))</f>
        <v/>
      </c>
      <c r="H129" s="18"/>
      <c r="I129" s="18"/>
      <c r="J129" s="19" t="str">
        <f aca="true">IF(ISBLANK(H129), "", I129-TODAY())</f>
        <v/>
      </c>
      <c r="K129" s="19" t="str">
        <f aca="false" t="array" ref="K129:K129">IF(A129&lt;&gt;"",IF(COUNTIF(A130:A$996,"&lt;&gt;")=0,COUNTA(B129:B$996),IFERROR(MATCH(TRUE(),INDEX((A130:A$996&lt;&gt;""),0),0),COUNTA(B129:B$996))),"")</f>
        <v/>
      </c>
      <c r="L129" s="20"/>
    </row>
    <row r="130" customFormat="false" ht="13.8" hidden="false" customHeight="false" outlineLevel="0" collapsed="false">
      <c r="A130" s="16"/>
      <c r="B130" s="16"/>
      <c r="C130" s="17"/>
      <c r="D130" s="17"/>
      <c r="E130" s="17"/>
      <c r="F130" s="18"/>
      <c r="G130" s="19" t="str">
        <f aca="true">IF(F130="", "", DATEDIF(F130, TODAY(), "Y"))</f>
        <v/>
      </c>
      <c r="H130" s="18"/>
      <c r="I130" s="18"/>
      <c r="J130" s="19" t="str">
        <f aca="true">IF(ISBLANK(H130), "", I130-TODAY())</f>
        <v/>
      </c>
      <c r="K130" s="19" t="str">
        <f aca="false" t="array" ref="K130:K130">IF(A130&lt;&gt;"",IF(COUNTIF(A131:A$996,"&lt;&gt;")=0,COUNTA(B130:B$996),IFERROR(MATCH(TRUE(),INDEX((A131:A$996&lt;&gt;""),0),0),COUNTA(B130:B$996))),"")</f>
        <v/>
      </c>
      <c r="L130" s="20"/>
    </row>
    <row r="131" customFormat="false" ht="13.8" hidden="false" customHeight="false" outlineLevel="0" collapsed="false">
      <c r="A131" s="16"/>
      <c r="B131" s="16"/>
      <c r="C131" s="17"/>
      <c r="D131" s="17"/>
      <c r="E131" s="17"/>
      <c r="F131" s="18"/>
      <c r="G131" s="19" t="str">
        <f aca="true">IF(F131="", "", DATEDIF(F131, TODAY(), "Y"))</f>
        <v/>
      </c>
      <c r="H131" s="18"/>
      <c r="I131" s="18"/>
      <c r="J131" s="19" t="str">
        <f aca="true">IF(ISBLANK(H131), "", I131-TODAY())</f>
        <v/>
      </c>
      <c r="K131" s="19" t="str">
        <f aca="false" t="array" ref="K131:K131">IF(A131&lt;&gt;"",IF(COUNTIF(A132:A$996,"&lt;&gt;")=0,COUNTA(B131:B$996),IFERROR(MATCH(TRUE(),INDEX((A132:A$996&lt;&gt;""),0),0),COUNTA(B131:B$996))),"")</f>
        <v/>
      </c>
      <c r="L131" s="20"/>
    </row>
    <row r="132" customFormat="false" ht="13.8" hidden="false" customHeight="false" outlineLevel="0" collapsed="false">
      <c r="A132" s="16"/>
      <c r="B132" s="16"/>
      <c r="C132" s="17"/>
      <c r="D132" s="17"/>
      <c r="E132" s="17"/>
      <c r="F132" s="18"/>
      <c r="G132" s="19" t="str">
        <f aca="true">IF(F132="", "", DATEDIF(F132, TODAY(), "Y"))</f>
        <v/>
      </c>
      <c r="H132" s="18"/>
      <c r="I132" s="18"/>
      <c r="J132" s="19" t="str">
        <f aca="true">IF(ISBLANK(H132), "", I132-TODAY())</f>
        <v/>
      </c>
      <c r="K132" s="19" t="str">
        <f aca="false" t="array" ref="K132:K132">IF(A132&lt;&gt;"",IF(COUNTIF(A133:A$996,"&lt;&gt;")=0,COUNTA(B132:B$996),IFERROR(MATCH(TRUE(),INDEX((A133:A$996&lt;&gt;""),0),0),COUNTA(B132:B$996))),"")</f>
        <v/>
      </c>
      <c r="L132" s="20"/>
    </row>
    <row r="133" customFormat="false" ht="13.8" hidden="false" customHeight="false" outlineLevel="0" collapsed="false">
      <c r="A133" s="16"/>
      <c r="B133" s="16"/>
      <c r="C133" s="17"/>
      <c r="D133" s="17"/>
      <c r="E133" s="17"/>
      <c r="F133" s="18"/>
      <c r="G133" s="19" t="str">
        <f aca="true">IF(F133="", "", DATEDIF(F133, TODAY(), "Y"))</f>
        <v/>
      </c>
      <c r="H133" s="18"/>
      <c r="I133" s="18"/>
      <c r="J133" s="19" t="str">
        <f aca="true">IF(ISBLANK(H133), "", I133-TODAY())</f>
        <v/>
      </c>
      <c r="K133" s="19" t="str">
        <f aca="false" t="array" ref="K133:K133">IF(A133&lt;&gt;"",IF(COUNTIF(A134:A$996,"&lt;&gt;")=0,COUNTA(B133:B$996),IFERROR(MATCH(TRUE(),INDEX((A134:A$996&lt;&gt;""),0),0),COUNTA(B133:B$996))),"")</f>
        <v/>
      </c>
      <c r="L133" s="20"/>
    </row>
    <row r="134" customFormat="false" ht="13.8" hidden="false" customHeight="false" outlineLevel="0" collapsed="false">
      <c r="A134" s="16"/>
      <c r="B134" s="16"/>
      <c r="C134" s="17"/>
      <c r="D134" s="17"/>
      <c r="E134" s="17"/>
      <c r="F134" s="18"/>
      <c r="G134" s="19" t="str">
        <f aca="true">IF(F134="", "", DATEDIF(F134, TODAY(), "Y"))</f>
        <v/>
      </c>
      <c r="H134" s="18"/>
      <c r="I134" s="18"/>
      <c r="J134" s="19" t="str">
        <f aca="true">IF(ISBLANK(H134), "", I134-TODAY())</f>
        <v/>
      </c>
      <c r="K134" s="19" t="str">
        <f aca="false" t="array" ref="K134:K134">IF(A134&lt;&gt;"",IF(COUNTIF(A135:A$996,"&lt;&gt;")=0,COUNTA(B134:B$996),IFERROR(MATCH(TRUE(),INDEX((A135:A$996&lt;&gt;""),0),0),COUNTA(B134:B$996))),"")</f>
        <v/>
      </c>
      <c r="L134" s="20"/>
    </row>
    <row r="135" customFormat="false" ht="13.8" hidden="false" customHeight="false" outlineLevel="0" collapsed="false">
      <c r="A135" s="16"/>
      <c r="B135" s="16"/>
      <c r="C135" s="17"/>
      <c r="D135" s="17"/>
      <c r="E135" s="17"/>
      <c r="F135" s="18"/>
      <c r="G135" s="19" t="str">
        <f aca="true">IF(F135="", "", DATEDIF(F135, TODAY(), "Y"))</f>
        <v/>
      </c>
      <c r="H135" s="18"/>
      <c r="I135" s="18"/>
      <c r="J135" s="19" t="str">
        <f aca="true">IF(ISBLANK(H135), "", I135-TODAY())</f>
        <v/>
      </c>
      <c r="K135" s="19" t="str">
        <f aca="false" t="array" ref="K135:K135">IF(A135&lt;&gt;"",IF(COUNTIF(A136:A$996,"&lt;&gt;")=0,COUNTA(B135:B$996),IFERROR(MATCH(TRUE(),INDEX((A136:A$996&lt;&gt;""),0),0),COUNTA(B135:B$996))),"")</f>
        <v/>
      </c>
      <c r="L135" s="20"/>
    </row>
    <row r="136" customFormat="false" ht="13.8" hidden="false" customHeight="false" outlineLevel="0" collapsed="false">
      <c r="A136" s="16"/>
      <c r="B136" s="16"/>
      <c r="C136" s="17"/>
      <c r="D136" s="17"/>
      <c r="E136" s="17"/>
      <c r="F136" s="18"/>
      <c r="G136" s="19" t="str">
        <f aca="true">IF(F136="", "", DATEDIF(F136, TODAY(), "Y"))</f>
        <v/>
      </c>
      <c r="H136" s="18"/>
      <c r="I136" s="18"/>
      <c r="J136" s="19" t="str">
        <f aca="true">IF(ISBLANK(H136), "", I136-TODAY())</f>
        <v/>
      </c>
      <c r="K136" s="19" t="str">
        <f aca="false" t="array" ref="K136:K136">IF(A136&lt;&gt;"",IF(COUNTIF(A137:A$996,"&lt;&gt;")=0,COUNTA(B136:B$996),IFERROR(MATCH(TRUE(),INDEX((A137:A$996&lt;&gt;""),0),0),COUNTA(B136:B$996))),"")</f>
        <v/>
      </c>
      <c r="L136" s="20"/>
    </row>
    <row r="137" customFormat="false" ht="13.8" hidden="false" customHeight="false" outlineLevel="0" collapsed="false">
      <c r="A137" s="16"/>
      <c r="B137" s="16"/>
      <c r="C137" s="17"/>
      <c r="D137" s="17"/>
      <c r="E137" s="17"/>
      <c r="F137" s="18"/>
      <c r="G137" s="19" t="str">
        <f aca="true">IF(F137="", "", DATEDIF(F137, TODAY(), "Y"))</f>
        <v/>
      </c>
      <c r="H137" s="18"/>
      <c r="I137" s="18"/>
      <c r="J137" s="19" t="str">
        <f aca="true">IF(ISBLANK(H137), "", I137-TODAY())</f>
        <v/>
      </c>
      <c r="K137" s="19" t="str">
        <f aca="false" t="array" ref="K137:K137">IF(A137&lt;&gt;"",IF(COUNTIF(A138:A$996,"&lt;&gt;")=0,COUNTA(B137:B$996),IFERROR(MATCH(TRUE(),INDEX((A138:A$996&lt;&gt;""),0),0),COUNTA(B137:B$996))),"")</f>
        <v/>
      </c>
      <c r="L137" s="20"/>
    </row>
    <row r="138" customFormat="false" ht="13.8" hidden="false" customHeight="false" outlineLevel="0" collapsed="false">
      <c r="A138" s="16"/>
      <c r="B138" s="16"/>
      <c r="C138" s="17"/>
      <c r="D138" s="17"/>
      <c r="E138" s="17"/>
      <c r="F138" s="18"/>
      <c r="G138" s="19" t="str">
        <f aca="true">IF(F138="", "", DATEDIF(F138, TODAY(), "Y"))</f>
        <v/>
      </c>
      <c r="H138" s="18"/>
      <c r="I138" s="18"/>
      <c r="J138" s="19" t="str">
        <f aca="true">IF(ISBLANK(H138), "", I138-TODAY())</f>
        <v/>
      </c>
      <c r="K138" s="19" t="str">
        <f aca="false" t="array" ref="K138:K138">IF(A138&lt;&gt;"",IF(COUNTIF(A139:A$996,"&lt;&gt;")=0,COUNTA(B138:B$996),IFERROR(MATCH(TRUE(),INDEX((A139:A$996&lt;&gt;""),0),0),COUNTA(B138:B$996))),"")</f>
        <v/>
      </c>
      <c r="L138" s="20"/>
    </row>
    <row r="139" customFormat="false" ht="13.8" hidden="false" customHeight="false" outlineLevel="0" collapsed="false">
      <c r="A139" s="16"/>
      <c r="B139" s="16"/>
      <c r="C139" s="17"/>
      <c r="D139" s="17"/>
      <c r="E139" s="17"/>
      <c r="F139" s="18"/>
      <c r="G139" s="19" t="str">
        <f aca="true">IF(F139="", "", DATEDIF(F139, TODAY(), "Y"))</f>
        <v/>
      </c>
      <c r="H139" s="18"/>
      <c r="I139" s="18"/>
      <c r="J139" s="19" t="str">
        <f aca="true">IF(ISBLANK(H139), "", I139-TODAY())</f>
        <v/>
      </c>
      <c r="K139" s="19" t="str">
        <f aca="false" t="array" ref="K139:K139">IF(A139&lt;&gt;"",IF(COUNTIF(A140:A$996,"&lt;&gt;")=0,COUNTA(B139:B$996),IFERROR(MATCH(TRUE(),INDEX((A140:A$996&lt;&gt;""),0),0),COUNTA(B139:B$996))),"")</f>
        <v/>
      </c>
      <c r="L139" s="20"/>
    </row>
    <row r="140" customFormat="false" ht="13.8" hidden="false" customHeight="false" outlineLevel="0" collapsed="false">
      <c r="A140" s="16"/>
      <c r="B140" s="16"/>
      <c r="C140" s="17"/>
      <c r="D140" s="17"/>
      <c r="E140" s="17"/>
      <c r="F140" s="18"/>
      <c r="G140" s="19" t="str">
        <f aca="true">IF(F140="", "", DATEDIF(F140, TODAY(), "Y"))</f>
        <v/>
      </c>
      <c r="H140" s="18"/>
      <c r="I140" s="18"/>
      <c r="J140" s="19" t="str">
        <f aca="true">IF(ISBLANK(H140), "", I140-TODAY())</f>
        <v/>
      </c>
      <c r="K140" s="19" t="str">
        <f aca="false" t="array" ref="K140:K140">IF(A140&lt;&gt;"",IF(COUNTIF(A141:A$996,"&lt;&gt;")=0,COUNTA(B140:B$996),IFERROR(MATCH(TRUE(),INDEX((A141:A$996&lt;&gt;""),0),0),COUNTA(B140:B$996))),"")</f>
        <v/>
      </c>
      <c r="L140" s="20"/>
    </row>
    <row r="141" customFormat="false" ht="13.8" hidden="false" customHeight="false" outlineLevel="0" collapsed="false">
      <c r="A141" s="16"/>
      <c r="B141" s="16"/>
      <c r="C141" s="17"/>
      <c r="D141" s="17"/>
      <c r="E141" s="17"/>
      <c r="F141" s="18"/>
      <c r="G141" s="19" t="str">
        <f aca="true">IF(F141="", "", DATEDIF(F141, TODAY(), "Y"))</f>
        <v/>
      </c>
      <c r="H141" s="18"/>
      <c r="I141" s="18"/>
      <c r="J141" s="19" t="str">
        <f aca="true">IF(ISBLANK(H141), "", I141-TODAY())</f>
        <v/>
      </c>
      <c r="K141" s="19" t="str">
        <f aca="false" t="array" ref="K141:K141">IF(A141&lt;&gt;"",IF(COUNTIF(A142:A$996,"&lt;&gt;")=0,COUNTA(B141:B$996),IFERROR(MATCH(TRUE(),INDEX((A142:A$996&lt;&gt;""),0),0),COUNTA(B141:B$996))),"")</f>
        <v/>
      </c>
      <c r="L141" s="20"/>
    </row>
    <row r="142" customFormat="false" ht="13.8" hidden="false" customHeight="false" outlineLevel="0" collapsed="false">
      <c r="A142" s="16"/>
      <c r="B142" s="16"/>
      <c r="C142" s="17"/>
      <c r="D142" s="17"/>
      <c r="E142" s="17"/>
      <c r="F142" s="18"/>
      <c r="G142" s="19" t="str">
        <f aca="true">IF(F142="", "", DATEDIF(F142, TODAY(), "Y"))</f>
        <v/>
      </c>
      <c r="H142" s="18"/>
      <c r="I142" s="18"/>
      <c r="J142" s="19" t="str">
        <f aca="true">IF(ISBLANK(H142), "", I142-TODAY())</f>
        <v/>
      </c>
      <c r="K142" s="19" t="str">
        <f aca="false" t="array" ref="K142:K142">IF(A142&lt;&gt;"",IF(COUNTIF(A143:A$996,"&lt;&gt;")=0,COUNTA(B142:B$996),IFERROR(MATCH(TRUE(),INDEX((A143:A$996&lt;&gt;""),0),0),COUNTA(B142:B$996))),"")</f>
        <v/>
      </c>
      <c r="L142" s="20"/>
    </row>
    <row r="143" customFormat="false" ht="13.8" hidden="false" customHeight="false" outlineLevel="0" collapsed="false">
      <c r="A143" s="16"/>
      <c r="B143" s="16"/>
      <c r="C143" s="17"/>
      <c r="D143" s="17"/>
      <c r="E143" s="17"/>
      <c r="F143" s="18"/>
      <c r="G143" s="19" t="str">
        <f aca="true">IF(F143="", "", DATEDIF(F143, TODAY(), "Y"))</f>
        <v/>
      </c>
      <c r="H143" s="18"/>
      <c r="I143" s="18"/>
      <c r="J143" s="19" t="str">
        <f aca="true">IF(ISBLANK(H143), "", I143-TODAY())</f>
        <v/>
      </c>
      <c r="K143" s="19" t="str">
        <f aca="false" t="array" ref="K143:K143">IF(A143&lt;&gt;"",IF(COUNTIF(A144:A$996,"&lt;&gt;")=0,COUNTA(B143:B$996),IFERROR(MATCH(TRUE(),INDEX((A144:A$996&lt;&gt;""),0),0),COUNTA(B143:B$996))),"")</f>
        <v/>
      </c>
      <c r="L143" s="20"/>
    </row>
    <row r="144" customFormat="false" ht="13.8" hidden="false" customHeight="false" outlineLevel="0" collapsed="false">
      <c r="A144" s="16"/>
      <c r="B144" s="16"/>
      <c r="C144" s="17"/>
      <c r="D144" s="17"/>
      <c r="E144" s="17"/>
      <c r="F144" s="18"/>
      <c r="G144" s="19" t="str">
        <f aca="true">IF(F144="", "", DATEDIF(F144, TODAY(), "Y"))</f>
        <v/>
      </c>
      <c r="H144" s="18"/>
      <c r="I144" s="18"/>
      <c r="J144" s="19" t="str">
        <f aca="true">IF(ISBLANK(H144), "", I144-TODAY())</f>
        <v/>
      </c>
      <c r="K144" s="19" t="str">
        <f aca="false" t="array" ref="K144:K144">IF(A144&lt;&gt;"",IF(COUNTIF(A145:A$996,"&lt;&gt;")=0,COUNTA(B144:B$996),IFERROR(MATCH(TRUE(),INDEX((A145:A$996&lt;&gt;""),0),0),COUNTA(B144:B$996))),"")</f>
        <v/>
      </c>
      <c r="L144" s="20"/>
    </row>
    <row r="145" customFormat="false" ht="13.8" hidden="false" customHeight="false" outlineLevel="0" collapsed="false">
      <c r="A145" s="16"/>
      <c r="B145" s="16"/>
      <c r="C145" s="17"/>
      <c r="D145" s="17"/>
      <c r="E145" s="17"/>
      <c r="F145" s="18"/>
      <c r="G145" s="19" t="str">
        <f aca="true">IF(F145="", "", DATEDIF(F145, TODAY(), "Y"))</f>
        <v/>
      </c>
      <c r="H145" s="18"/>
      <c r="I145" s="18"/>
      <c r="J145" s="19" t="str">
        <f aca="true">IF(ISBLANK(H145), "", I145-TODAY())</f>
        <v/>
      </c>
      <c r="K145" s="19" t="str">
        <f aca="false" t="array" ref="K145:K145">IF(A145&lt;&gt;"",IF(COUNTIF(A146:A$996,"&lt;&gt;")=0,COUNTA(B145:B$996),IFERROR(MATCH(TRUE(),INDEX((A146:A$996&lt;&gt;""),0),0),COUNTA(B145:B$996))),"")</f>
        <v/>
      </c>
      <c r="L145" s="20"/>
    </row>
    <row r="146" customFormat="false" ht="13.8" hidden="false" customHeight="false" outlineLevel="0" collapsed="false">
      <c r="A146" s="16"/>
      <c r="B146" s="16"/>
      <c r="C146" s="17"/>
      <c r="D146" s="17"/>
      <c r="E146" s="17"/>
      <c r="F146" s="18"/>
      <c r="G146" s="19" t="str">
        <f aca="true">IF(F146="", "", DATEDIF(F146, TODAY(), "Y"))</f>
        <v/>
      </c>
      <c r="H146" s="18"/>
      <c r="I146" s="18"/>
      <c r="J146" s="19" t="str">
        <f aca="true">IF(ISBLANK(H146), "", I146-TODAY())</f>
        <v/>
      </c>
      <c r="K146" s="19" t="str">
        <f aca="false" t="array" ref="K146:K146">IF(A146&lt;&gt;"",IF(COUNTIF(A147:A$996,"&lt;&gt;")=0,COUNTA(B146:B$996),IFERROR(MATCH(TRUE(),INDEX((A147:A$996&lt;&gt;""),0),0),COUNTA(B146:B$996))),"")</f>
        <v/>
      </c>
      <c r="L146" s="20"/>
    </row>
    <row r="147" customFormat="false" ht="13.8" hidden="false" customHeight="false" outlineLevel="0" collapsed="false">
      <c r="A147" s="16"/>
      <c r="B147" s="16"/>
      <c r="C147" s="17"/>
      <c r="D147" s="17"/>
      <c r="E147" s="17"/>
      <c r="F147" s="18"/>
      <c r="G147" s="19" t="str">
        <f aca="true">IF(F147="", "", DATEDIF(F147, TODAY(), "Y"))</f>
        <v/>
      </c>
      <c r="H147" s="18"/>
      <c r="I147" s="18"/>
      <c r="J147" s="19" t="str">
        <f aca="true">IF(ISBLANK(H147), "", I147-TODAY())</f>
        <v/>
      </c>
      <c r="K147" s="19" t="str">
        <f aca="false" t="array" ref="K147:K147">IF(A147&lt;&gt;"",IF(COUNTIF(A148:A$996,"&lt;&gt;")=0,COUNTA(B147:B$996),IFERROR(MATCH(TRUE(),INDEX((A148:A$996&lt;&gt;""),0),0),COUNTA(B147:B$996))),"")</f>
        <v/>
      </c>
      <c r="L147" s="20"/>
    </row>
    <row r="148" customFormat="false" ht="13.8" hidden="false" customHeight="false" outlineLevel="0" collapsed="false">
      <c r="A148" s="16"/>
      <c r="B148" s="16"/>
      <c r="C148" s="17"/>
      <c r="D148" s="17"/>
      <c r="E148" s="17"/>
      <c r="F148" s="18"/>
      <c r="G148" s="19" t="str">
        <f aca="true">IF(F148="", "", DATEDIF(F148, TODAY(), "Y"))</f>
        <v/>
      </c>
      <c r="H148" s="18"/>
      <c r="I148" s="18"/>
      <c r="J148" s="19" t="str">
        <f aca="true">IF(ISBLANK(H148), "", I148-TODAY())</f>
        <v/>
      </c>
      <c r="K148" s="19" t="str">
        <f aca="false" t="array" ref="K148:K148">IF(A148&lt;&gt;"",IF(COUNTIF(A149:A$996,"&lt;&gt;")=0,COUNTA(B148:B$996),IFERROR(MATCH(TRUE(),INDEX((A149:A$996&lt;&gt;""),0),0),COUNTA(B148:B$996))),"")</f>
        <v/>
      </c>
      <c r="L148" s="20"/>
    </row>
    <row r="149" customFormat="false" ht="13.8" hidden="false" customHeight="false" outlineLevel="0" collapsed="false">
      <c r="A149" s="16"/>
      <c r="B149" s="16"/>
      <c r="C149" s="17"/>
      <c r="D149" s="17"/>
      <c r="E149" s="17"/>
      <c r="F149" s="18"/>
      <c r="G149" s="19" t="str">
        <f aca="true">IF(F149="", "", DATEDIF(F149, TODAY(), "Y"))</f>
        <v/>
      </c>
      <c r="H149" s="18"/>
      <c r="I149" s="18"/>
      <c r="J149" s="19" t="str">
        <f aca="true">IF(ISBLANK(H149), "", I149-TODAY())</f>
        <v/>
      </c>
      <c r="K149" s="19" t="str">
        <f aca="false" t="array" ref="K149:K149">IF(A149&lt;&gt;"",IF(COUNTIF(A150:A$996,"&lt;&gt;")=0,COUNTA(B149:B$996),IFERROR(MATCH(TRUE(),INDEX((A150:A$996&lt;&gt;""),0),0),COUNTA(B149:B$996))),"")</f>
        <v/>
      </c>
      <c r="L149" s="20"/>
    </row>
    <row r="150" customFormat="false" ht="13.8" hidden="false" customHeight="false" outlineLevel="0" collapsed="false">
      <c r="A150" s="16"/>
      <c r="B150" s="16"/>
      <c r="C150" s="17"/>
      <c r="D150" s="17"/>
      <c r="E150" s="17"/>
      <c r="F150" s="18"/>
      <c r="G150" s="19" t="str">
        <f aca="true">IF(F150="", "", DATEDIF(F150, TODAY(), "Y"))</f>
        <v/>
      </c>
      <c r="H150" s="18"/>
      <c r="I150" s="18"/>
      <c r="J150" s="19" t="str">
        <f aca="true">IF(ISBLANK(H150), "", I150-TODAY())</f>
        <v/>
      </c>
      <c r="K150" s="19" t="str">
        <f aca="false" t="array" ref="K150:K150">IF(A150&lt;&gt;"",IF(COUNTIF(A151:A$996,"&lt;&gt;")=0,COUNTA(B150:B$996),IFERROR(MATCH(TRUE(),INDEX((A151:A$996&lt;&gt;""),0),0),COUNTA(B150:B$996))),"")</f>
        <v/>
      </c>
      <c r="L150" s="20"/>
    </row>
    <row r="151" customFormat="false" ht="13.8" hidden="false" customHeight="false" outlineLevel="0" collapsed="false">
      <c r="A151" s="16"/>
      <c r="B151" s="16"/>
      <c r="C151" s="17"/>
      <c r="D151" s="17"/>
      <c r="E151" s="17"/>
      <c r="F151" s="18"/>
      <c r="G151" s="19" t="str">
        <f aca="true">IF(F151="", "", DATEDIF(F151, TODAY(), "Y"))</f>
        <v/>
      </c>
      <c r="H151" s="18"/>
      <c r="I151" s="18"/>
      <c r="J151" s="19" t="str">
        <f aca="true">IF(ISBLANK(H151), "", I151-TODAY())</f>
        <v/>
      </c>
      <c r="K151" s="19" t="str">
        <f aca="false" t="array" ref="K151:K151">IF(A151&lt;&gt;"",IF(COUNTIF(A152:A$996,"&lt;&gt;")=0,COUNTA(B151:B$996),IFERROR(MATCH(TRUE(),INDEX((A152:A$996&lt;&gt;""),0),0),COUNTA(B151:B$996))),"")</f>
        <v/>
      </c>
      <c r="L151" s="20"/>
    </row>
    <row r="152" customFormat="false" ht="13.8" hidden="false" customHeight="false" outlineLevel="0" collapsed="false">
      <c r="A152" s="16"/>
      <c r="B152" s="16"/>
      <c r="C152" s="17"/>
      <c r="D152" s="17"/>
      <c r="E152" s="17"/>
      <c r="F152" s="18"/>
      <c r="G152" s="19" t="str">
        <f aca="true">IF(F152="", "", DATEDIF(F152, TODAY(), "Y"))</f>
        <v/>
      </c>
      <c r="H152" s="18"/>
      <c r="I152" s="18"/>
      <c r="J152" s="19" t="str">
        <f aca="true">IF(ISBLANK(H152), "", I152-TODAY())</f>
        <v/>
      </c>
      <c r="K152" s="19" t="str">
        <f aca="false" t="array" ref="K152:K152">IF(A152&lt;&gt;"",IF(COUNTIF(A153:A$996,"&lt;&gt;")=0,COUNTA(B152:B$996),IFERROR(MATCH(TRUE(),INDEX((A153:A$996&lt;&gt;""),0),0),COUNTA(B152:B$996))),"")</f>
        <v/>
      </c>
      <c r="L152" s="20"/>
    </row>
    <row r="153" customFormat="false" ht="13.8" hidden="false" customHeight="false" outlineLevel="0" collapsed="false">
      <c r="A153" s="16"/>
      <c r="B153" s="16"/>
      <c r="C153" s="17"/>
      <c r="D153" s="17"/>
      <c r="E153" s="17"/>
      <c r="F153" s="18"/>
      <c r="G153" s="19" t="str">
        <f aca="true">IF(F153="", "", DATEDIF(F153, TODAY(), "Y"))</f>
        <v/>
      </c>
      <c r="H153" s="18"/>
      <c r="I153" s="18"/>
      <c r="J153" s="19" t="str">
        <f aca="true">IF(ISBLANK(H153), "", I153-TODAY())</f>
        <v/>
      </c>
      <c r="K153" s="19" t="str">
        <f aca="false" t="array" ref="K153:K153">IF(A153&lt;&gt;"",IF(COUNTIF(A154:A$996,"&lt;&gt;")=0,COUNTA(B153:B$996),IFERROR(MATCH(TRUE(),INDEX((A154:A$996&lt;&gt;""),0),0),COUNTA(B153:B$996))),"")</f>
        <v/>
      </c>
      <c r="L153" s="20"/>
    </row>
    <row r="154" customFormat="false" ht="13.8" hidden="false" customHeight="false" outlineLevel="0" collapsed="false">
      <c r="A154" s="16"/>
      <c r="B154" s="16"/>
      <c r="C154" s="17"/>
      <c r="D154" s="17"/>
      <c r="E154" s="17"/>
      <c r="F154" s="18"/>
      <c r="G154" s="19" t="str">
        <f aca="true">IF(F154="", "", DATEDIF(F154, TODAY(), "Y"))</f>
        <v/>
      </c>
      <c r="H154" s="18"/>
      <c r="I154" s="18"/>
      <c r="J154" s="19" t="str">
        <f aca="true">IF(ISBLANK(H154), "", I154-TODAY())</f>
        <v/>
      </c>
      <c r="K154" s="19" t="str">
        <f aca="false" t="array" ref="K154:K154">IF(A154&lt;&gt;"",IF(COUNTIF(A155:A$996,"&lt;&gt;")=0,COUNTA(B154:B$996),IFERROR(MATCH(TRUE(),INDEX((A155:A$996&lt;&gt;""),0),0),COUNTA(B154:B$996))),"")</f>
        <v/>
      </c>
      <c r="L154" s="20"/>
    </row>
    <row r="155" customFormat="false" ht="13.8" hidden="false" customHeight="false" outlineLevel="0" collapsed="false">
      <c r="A155" s="16"/>
      <c r="B155" s="16"/>
      <c r="C155" s="17"/>
      <c r="D155" s="17"/>
      <c r="E155" s="17"/>
      <c r="F155" s="18"/>
      <c r="G155" s="19" t="str">
        <f aca="true">IF(F155="", "", DATEDIF(F155, TODAY(), "Y"))</f>
        <v/>
      </c>
      <c r="H155" s="18"/>
      <c r="I155" s="18"/>
      <c r="J155" s="19" t="str">
        <f aca="true">IF(ISBLANK(H155), "", I155-TODAY())</f>
        <v/>
      </c>
      <c r="K155" s="19" t="str">
        <f aca="false" t="array" ref="K155:K155">IF(A155&lt;&gt;"",IF(COUNTIF(A156:A$996,"&lt;&gt;")=0,COUNTA(B155:B$996),IFERROR(MATCH(TRUE(),INDEX((A156:A$996&lt;&gt;""),0),0),COUNTA(B155:B$996))),"")</f>
        <v/>
      </c>
      <c r="L155" s="20"/>
    </row>
    <row r="156" customFormat="false" ht="13.8" hidden="false" customHeight="false" outlineLevel="0" collapsed="false">
      <c r="A156" s="16"/>
      <c r="B156" s="16"/>
      <c r="C156" s="17"/>
      <c r="D156" s="17"/>
      <c r="E156" s="17"/>
      <c r="F156" s="18"/>
      <c r="G156" s="19" t="str">
        <f aca="true">IF(F156="", "", DATEDIF(F156, TODAY(), "Y"))</f>
        <v/>
      </c>
      <c r="H156" s="18"/>
      <c r="I156" s="18"/>
      <c r="J156" s="19" t="str">
        <f aca="true">IF(ISBLANK(H156), "", I156-TODAY())</f>
        <v/>
      </c>
      <c r="K156" s="19" t="str">
        <f aca="false" t="array" ref="K156:K156">IF(A156&lt;&gt;"",IF(COUNTIF(A157:A$996,"&lt;&gt;")=0,COUNTA(B156:B$996),IFERROR(MATCH(TRUE(),INDEX((A157:A$996&lt;&gt;""),0),0),COUNTA(B156:B$996))),"")</f>
        <v/>
      </c>
      <c r="L156" s="20"/>
    </row>
    <row r="157" customFormat="false" ht="13.8" hidden="false" customHeight="false" outlineLevel="0" collapsed="false">
      <c r="A157" s="16"/>
      <c r="B157" s="16"/>
      <c r="C157" s="17"/>
      <c r="D157" s="17"/>
      <c r="E157" s="17"/>
      <c r="F157" s="18"/>
      <c r="G157" s="19" t="str">
        <f aca="true">IF(F157="", "", DATEDIF(F157, TODAY(), "Y"))</f>
        <v/>
      </c>
      <c r="H157" s="18"/>
      <c r="I157" s="18"/>
      <c r="J157" s="19" t="str">
        <f aca="true">IF(ISBLANK(H157), "", I157-TODAY())</f>
        <v/>
      </c>
      <c r="K157" s="19" t="str">
        <f aca="false" t="array" ref="K157:K157">IF(A157&lt;&gt;"",IF(COUNTIF(A158:A$996,"&lt;&gt;")=0,COUNTA(B157:B$996),IFERROR(MATCH(TRUE(),INDEX((A158:A$996&lt;&gt;""),0),0),COUNTA(B157:B$996))),"")</f>
        <v/>
      </c>
      <c r="L157" s="20"/>
    </row>
    <row r="158" customFormat="false" ht="13.8" hidden="false" customHeight="false" outlineLevel="0" collapsed="false">
      <c r="A158" s="16"/>
      <c r="B158" s="16"/>
      <c r="C158" s="17"/>
      <c r="D158" s="17"/>
      <c r="E158" s="17"/>
      <c r="F158" s="18"/>
      <c r="G158" s="19" t="str">
        <f aca="true">IF(F158="", "", DATEDIF(F158, TODAY(), "Y"))</f>
        <v/>
      </c>
      <c r="H158" s="18"/>
      <c r="I158" s="18"/>
      <c r="J158" s="19" t="str">
        <f aca="true">IF(ISBLANK(H158), "", I158-TODAY())</f>
        <v/>
      </c>
      <c r="K158" s="19" t="str">
        <f aca="false" t="array" ref="K158:K158">IF(A158&lt;&gt;"",IF(COUNTIF(A159:A$996,"&lt;&gt;")=0,COUNTA(B158:B$996),IFERROR(MATCH(TRUE(),INDEX((A159:A$996&lt;&gt;""),0),0),COUNTA(B158:B$996))),"")</f>
        <v/>
      </c>
      <c r="L158" s="20"/>
    </row>
    <row r="159" customFormat="false" ht="13.8" hidden="false" customHeight="false" outlineLevel="0" collapsed="false">
      <c r="A159" s="16"/>
      <c r="B159" s="16"/>
      <c r="C159" s="17"/>
      <c r="D159" s="17"/>
      <c r="E159" s="17"/>
      <c r="F159" s="18"/>
      <c r="G159" s="19" t="str">
        <f aca="true">IF(F159="", "", DATEDIF(F159, TODAY(), "Y"))</f>
        <v/>
      </c>
      <c r="H159" s="18"/>
      <c r="I159" s="18"/>
      <c r="J159" s="19" t="str">
        <f aca="true">IF(ISBLANK(H159), "", I159-TODAY())</f>
        <v/>
      </c>
      <c r="K159" s="19" t="str">
        <f aca="false" t="array" ref="K159:K159">IF(A159&lt;&gt;"",IF(COUNTIF(A160:A$996,"&lt;&gt;")=0,COUNTA(B159:B$996),IFERROR(MATCH(TRUE(),INDEX((A160:A$996&lt;&gt;""),0),0),COUNTA(B159:B$996))),"")</f>
        <v/>
      </c>
      <c r="L159" s="20"/>
    </row>
    <row r="160" customFormat="false" ht="13.8" hidden="false" customHeight="false" outlineLevel="0" collapsed="false">
      <c r="A160" s="16"/>
      <c r="B160" s="16"/>
      <c r="C160" s="17"/>
      <c r="D160" s="17"/>
      <c r="E160" s="17"/>
      <c r="F160" s="18"/>
      <c r="G160" s="19" t="str">
        <f aca="true">IF(F160="", "", DATEDIF(F160, TODAY(), "Y"))</f>
        <v/>
      </c>
      <c r="H160" s="18"/>
      <c r="I160" s="18"/>
      <c r="J160" s="19" t="str">
        <f aca="true">IF(ISBLANK(H160), "", I160-TODAY())</f>
        <v/>
      </c>
      <c r="K160" s="19" t="str">
        <f aca="false" t="array" ref="K160:K160">IF(A160&lt;&gt;"",IF(COUNTIF(A161:A$996,"&lt;&gt;")=0,COUNTA(B160:B$996),IFERROR(MATCH(TRUE(),INDEX((A161:A$996&lt;&gt;""),0),0),COUNTA(B160:B$996))),"")</f>
        <v/>
      </c>
      <c r="L160" s="20"/>
    </row>
    <row r="161" customFormat="false" ht="13.8" hidden="false" customHeight="false" outlineLevel="0" collapsed="false">
      <c r="A161" s="16"/>
      <c r="B161" s="16"/>
      <c r="C161" s="17"/>
      <c r="D161" s="17"/>
      <c r="E161" s="17"/>
      <c r="F161" s="18"/>
      <c r="G161" s="19" t="str">
        <f aca="true">IF(F161="", "", DATEDIF(F161, TODAY(), "Y"))</f>
        <v/>
      </c>
      <c r="H161" s="18"/>
      <c r="I161" s="18"/>
      <c r="J161" s="19" t="str">
        <f aca="true">IF(ISBLANK(H161), "", I161-TODAY())</f>
        <v/>
      </c>
      <c r="K161" s="19" t="str">
        <f aca="false" t="array" ref="K161:K161">IF(A161&lt;&gt;"",IF(COUNTIF(A162:A$996,"&lt;&gt;")=0,COUNTA(B161:B$996),IFERROR(MATCH(TRUE(),INDEX((A162:A$996&lt;&gt;""),0),0),COUNTA(B161:B$996))),"")</f>
        <v/>
      </c>
      <c r="L161" s="20"/>
    </row>
    <row r="162" customFormat="false" ht="13.8" hidden="false" customHeight="false" outlineLevel="0" collapsed="false">
      <c r="A162" s="16"/>
      <c r="B162" s="16"/>
      <c r="C162" s="17"/>
      <c r="D162" s="17"/>
      <c r="E162" s="17"/>
      <c r="F162" s="18"/>
      <c r="G162" s="19" t="str">
        <f aca="true">IF(F162="", "", DATEDIF(F162, TODAY(), "Y"))</f>
        <v/>
      </c>
      <c r="H162" s="18"/>
      <c r="I162" s="18"/>
      <c r="J162" s="19" t="str">
        <f aca="true">IF(ISBLANK(H162), "", I162-TODAY())</f>
        <v/>
      </c>
      <c r="K162" s="19" t="str">
        <f aca="false" t="array" ref="K162:K162">IF(A162&lt;&gt;"",IF(COUNTIF(A163:A$996,"&lt;&gt;")=0,COUNTA(B162:B$996),IFERROR(MATCH(TRUE(),INDEX((A163:A$996&lt;&gt;""),0),0),COUNTA(B162:B$996))),"")</f>
        <v/>
      </c>
      <c r="L162" s="20"/>
    </row>
    <row r="163" customFormat="false" ht="13.8" hidden="false" customHeight="false" outlineLevel="0" collapsed="false">
      <c r="A163" s="16"/>
      <c r="B163" s="16"/>
      <c r="C163" s="17"/>
      <c r="D163" s="17"/>
      <c r="E163" s="17"/>
      <c r="F163" s="18"/>
      <c r="G163" s="19" t="str">
        <f aca="true">IF(F163="", "", DATEDIF(F163, TODAY(), "Y"))</f>
        <v/>
      </c>
      <c r="H163" s="18"/>
      <c r="I163" s="18"/>
      <c r="J163" s="19" t="str">
        <f aca="true">IF(ISBLANK(H163), "", I163-TODAY())</f>
        <v/>
      </c>
      <c r="K163" s="19" t="str">
        <f aca="false" t="array" ref="K163:K163">IF(A163&lt;&gt;"",IF(COUNTIF(A164:A$996,"&lt;&gt;")=0,COUNTA(B163:B$996),IFERROR(MATCH(TRUE(),INDEX((A164:A$996&lt;&gt;""),0),0),COUNTA(B163:B$996))),"")</f>
        <v/>
      </c>
      <c r="L163" s="20"/>
    </row>
    <row r="164" customFormat="false" ht="13.8" hidden="false" customHeight="false" outlineLevel="0" collapsed="false">
      <c r="A164" s="16"/>
      <c r="B164" s="16"/>
      <c r="C164" s="17"/>
      <c r="D164" s="17"/>
      <c r="E164" s="17"/>
      <c r="F164" s="18"/>
      <c r="G164" s="19" t="str">
        <f aca="true">IF(F164="", "", DATEDIF(F164, TODAY(), "Y"))</f>
        <v/>
      </c>
      <c r="H164" s="18"/>
      <c r="I164" s="18"/>
      <c r="J164" s="19" t="str">
        <f aca="true">IF(ISBLANK(H164), "", I164-TODAY())</f>
        <v/>
      </c>
      <c r="K164" s="19" t="str">
        <f aca="false" t="array" ref="K164:K164">IF(A164&lt;&gt;"",IF(COUNTIF(A165:A$996,"&lt;&gt;")=0,COUNTA(B164:B$996),IFERROR(MATCH(TRUE(),INDEX((A165:A$996&lt;&gt;""),0),0),COUNTA(B164:B$996))),"")</f>
        <v/>
      </c>
      <c r="L164" s="20"/>
    </row>
    <row r="165" customFormat="false" ht="13.8" hidden="false" customHeight="false" outlineLevel="0" collapsed="false">
      <c r="A165" s="16"/>
      <c r="B165" s="16"/>
      <c r="C165" s="17"/>
      <c r="D165" s="17"/>
      <c r="E165" s="17"/>
      <c r="F165" s="18"/>
      <c r="G165" s="19" t="str">
        <f aca="true">IF(F165="", "", DATEDIF(F165, TODAY(), "Y"))</f>
        <v/>
      </c>
      <c r="H165" s="18"/>
      <c r="I165" s="18"/>
      <c r="J165" s="19" t="str">
        <f aca="true">IF(ISBLANK(H165), "", I165-TODAY())</f>
        <v/>
      </c>
      <c r="K165" s="19" t="str">
        <f aca="false" t="array" ref="K165:K165">IF(A165&lt;&gt;"",IF(COUNTIF(A166:A$996,"&lt;&gt;")=0,COUNTA(B165:B$996),IFERROR(MATCH(TRUE(),INDEX((A166:A$996&lt;&gt;""),0),0),COUNTA(B165:B$996))),"")</f>
        <v/>
      </c>
      <c r="L165" s="20"/>
    </row>
    <row r="166" customFormat="false" ht="13.8" hidden="false" customHeight="false" outlineLevel="0" collapsed="false">
      <c r="A166" s="16"/>
      <c r="B166" s="16"/>
      <c r="C166" s="17"/>
      <c r="D166" s="17"/>
      <c r="E166" s="17"/>
      <c r="F166" s="18"/>
      <c r="G166" s="19" t="str">
        <f aca="true">IF(F166="", "", DATEDIF(F166, TODAY(), "Y"))</f>
        <v/>
      </c>
      <c r="H166" s="18"/>
      <c r="I166" s="18"/>
      <c r="J166" s="19" t="str">
        <f aca="true">IF(ISBLANK(H166), "", I166-TODAY())</f>
        <v/>
      </c>
      <c r="K166" s="19" t="str">
        <f aca="false" t="array" ref="K166:K166">IF(A166&lt;&gt;"",IF(COUNTIF(A167:A$996,"&lt;&gt;")=0,COUNTA(B166:B$996),IFERROR(MATCH(TRUE(),INDEX((A167:A$996&lt;&gt;""),0),0),COUNTA(B166:B$996))),"")</f>
        <v/>
      </c>
      <c r="L166" s="20"/>
    </row>
    <row r="167" customFormat="false" ht="13.8" hidden="false" customHeight="false" outlineLevel="0" collapsed="false">
      <c r="A167" s="16"/>
      <c r="B167" s="16"/>
      <c r="C167" s="17"/>
      <c r="D167" s="17"/>
      <c r="E167" s="17"/>
      <c r="F167" s="18"/>
      <c r="G167" s="19" t="str">
        <f aca="true">IF(F167="", "", DATEDIF(F167, TODAY(), "Y"))</f>
        <v/>
      </c>
      <c r="H167" s="18"/>
      <c r="I167" s="18"/>
      <c r="J167" s="19" t="str">
        <f aca="true">IF(ISBLANK(H167), "", I167-TODAY())</f>
        <v/>
      </c>
      <c r="K167" s="19" t="str">
        <f aca="false" t="array" ref="K167:K167">IF(A167&lt;&gt;"",IF(COUNTIF(A168:A$996,"&lt;&gt;")=0,COUNTA(B167:B$996),IFERROR(MATCH(TRUE(),INDEX((A168:A$996&lt;&gt;""),0),0),COUNTA(B167:B$996))),"")</f>
        <v/>
      </c>
      <c r="L167" s="20"/>
    </row>
    <row r="168" customFormat="false" ht="13.8" hidden="false" customHeight="false" outlineLevel="0" collapsed="false">
      <c r="A168" s="16"/>
      <c r="B168" s="16"/>
      <c r="C168" s="17"/>
      <c r="D168" s="17"/>
      <c r="E168" s="17"/>
      <c r="F168" s="18"/>
      <c r="G168" s="19" t="str">
        <f aca="true">IF(F168="", "", DATEDIF(F168, TODAY(), "Y"))</f>
        <v/>
      </c>
      <c r="H168" s="18"/>
      <c r="I168" s="18"/>
      <c r="J168" s="19" t="str">
        <f aca="true">IF(ISBLANK(H168), "", I168-TODAY())</f>
        <v/>
      </c>
      <c r="K168" s="19" t="str">
        <f aca="false" t="array" ref="K168:K168">IF(A168&lt;&gt;"",IF(COUNTIF(A169:A$996,"&lt;&gt;")=0,COUNTA(B168:B$996),IFERROR(MATCH(TRUE(),INDEX((A169:A$996&lt;&gt;""),0),0),COUNTA(B168:B$996))),"")</f>
        <v/>
      </c>
      <c r="L168" s="20"/>
    </row>
    <row r="169" customFormat="false" ht="13.8" hidden="false" customHeight="false" outlineLevel="0" collapsed="false">
      <c r="A169" s="16"/>
      <c r="B169" s="16"/>
      <c r="C169" s="17"/>
      <c r="D169" s="17"/>
      <c r="E169" s="17"/>
      <c r="F169" s="18"/>
      <c r="G169" s="19" t="str">
        <f aca="true">IF(F169="", "", DATEDIF(F169, TODAY(), "Y"))</f>
        <v/>
      </c>
      <c r="H169" s="18"/>
      <c r="I169" s="18"/>
      <c r="J169" s="19" t="str">
        <f aca="true">IF(ISBLANK(H169), "", I169-TODAY())</f>
        <v/>
      </c>
      <c r="K169" s="19" t="str">
        <f aca="false" t="array" ref="K169:K169">IF(A169&lt;&gt;"",IF(COUNTIF(A170:A$996,"&lt;&gt;")=0,COUNTA(B169:B$996),IFERROR(MATCH(TRUE(),INDEX((A170:A$996&lt;&gt;""),0),0),COUNTA(B169:B$996))),"")</f>
        <v/>
      </c>
      <c r="L169" s="20"/>
    </row>
    <row r="170" customFormat="false" ht="13.8" hidden="false" customHeight="false" outlineLevel="0" collapsed="false">
      <c r="A170" s="16"/>
      <c r="B170" s="16"/>
      <c r="C170" s="17"/>
      <c r="D170" s="17"/>
      <c r="E170" s="17"/>
      <c r="F170" s="18"/>
      <c r="G170" s="19" t="str">
        <f aca="true">IF(F170="", "", DATEDIF(F170, TODAY(), "Y"))</f>
        <v/>
      </c>
      <c r="H170" s="18"/>
      <c r="I170" s="18"/>
      <c r="J170" s="19" t="str">
        <f aca="true">IF(ISBLANK(H170), "", I170-TODAY())</f>
        <v/>
      </c>
      <c r="K170" s="19" t="str">
        <f aca="false" t="array" ref="K170:K170">IF(A170&lt;&gt;"",IF(COUNTIF(A171:A$996,"&lt;&gt;")=0,COUNTA(B170:B$996),IFERROR(MATCH(TRUE(),INDEX((A171:A$996&lt;&gt;""),0),0),COUNTA(B170:B$996))),"")</f>
        <v/>
      </c>
      <c r="L170" s="20"/>
    </row>
    <row r="171" customFormat="false" ht="13.8" hidden="false" customHeight="false" outlineLevel="0" collapsed="false">
      <c r="A171" s="16"/>
      <c r="B171" s="16"/>
      <c r="C171" s="17"/>
      <c r="D171" s="17"/>
      <c r="E171" s="17"/>
      <c r="F171" s="18"/>
      <c r="G171" s="19" t="str">
        <f aca="true">IF(F171="", "", DATEDIF(F171, TODAY(), "Y"))</f>
        <v/>
      </c>
      <c r="H171" s="18"/>
      <c r="I171" s="18"/>
      <c r="J171" s="19" t="str">
        <f aca="true">IF(ISBLANK(H171), "", I171-TODAY())</f>
        <v/>
      </c>
      <c r="K171" s="19" t="str">
        <f aca="false" t="array" ref="K171:K171">IF(A171&lt;&gt;"",IF(COUNTIF(A172:A$996,"&lt;&gt;")=0,COUNTA(B171:B$996),IFERROR(MATCH(TRUE(),INDEX((A172:A$996&lt;&gt;""),0),0),COUNTA(B171:B$996))),"")</f>
        <v/>
      </c>
      <c r="L171" s="20"/>
    </row>
    <row r="172" customFormat="false" ht="13.8" hidden="false" customHeight="false" outlineLevel="0" collapsed="false">
      <c r="A172" s="16"/>
      <c r="B172" s="16"/>
      <c r="C172" s="17"/>
      <c r="D172" s="17"/>
      <c r="E172" s="17"/>
      <c r="F172" s="18"/>
      <c r="G172" s="19" t="str">
        <f aca="true">IF(F172="", "", DATEDIF(F172, TODAY(), "Y"))</f>
        <v/>
      </c>
      <c r="H172" s="18"/>
      <c r="I172" s="18"/>
      <c r="J172" s="19" t="str">
        <f aca="true">IF(ISBLANK(H172), "", I172-TODAY())</f>
        <v/>
      </c>
      <c r="K172" s="19" t="str">
        <f aca="false" t="array" ref="K172:K172">IF(A172&lt;&gt;"",IF(COUNTIF(A173:A$996,"&lt;&gt;")=0,COUNTA(B172:B$996),IFERROR(MATCH(TRUE(),INDEX((A173:A$996&lt;&gt;""),0),0),COUNTA(B172:B$996))),"")</f>
        <v/>
      </c>
      <c r="L172" s="20"/>
    </row>
    <row r="173" customFormat="false" ht="13.8" hidden="false" customHeight="false" outlineLevel="0" collapsed="false">
      <c r="A173" s="16"/>
      <c r="B173" s="16"/>
      <c r="C173" s="17"/>
      <c r="D173" s="17"/>
      <c r="E173" s="17"/>
      <c r="F173" s="18"/>
      <c r="G173" s="19" t="str">
        <f aca="true">IF(F173="", "", DATEDIF(F173, TODAY(), "Y"))</f>
        <v/>
      </c>
      <c r="H173" s="18"/>
      <c r="I173" s="18"/>
      <c r="J173" s="19" t="str">
        <f aca="true">IF(ISBLANK(H173), "", I173-TODAY())</f>
        <v/>
      </c>
      <c r="K173" s="19" t="str">
        <f aca="false" t="array" ref="K173:K173">IF(A173&lt;&gt;"",IF(COUNTIF(A174:A$996,"&lt;&gt;")=0,COUNTA(B173:B$996),IFERROR(MATCH(TRUE(),INDEX((A174:A$996&lt;&gt;""),0),0),COUNTA(B173:B$996))),"")</f>
        <v/>
      </c>
      <c r="L173" s="20"/>
    </row>
    <row r="174" customFormat="false" ht="13.8" hidden="false" customHeight="false" outlineLevel="0" collapsed="false">
      <c r="A174" s="16"/>
      <c r="B174" s="16"/>
      <c r="C174" s="17"/>
      <c r="D174" s="17"/>
      <c r="E174" s="17"/>
      <c r="F174" s="18"/>
      <c r="G174" s="19" t="str">
        <f aca="true">IF(F174="", "", DATEDIF(F174, TODAY(), "Y"))</f>
        <v/>
      </c>
      <c r="H174" s="18"/>
      <c r="I174" s="18"/>
      <c r="J174" s="19" t="str">
        <f aca="true">IF(ISBLANK(H174), "", I174-TODAY())</f>
        <v/>
      </c>
      <c r="K174" s="19" t="str">
        <f aca="false" t="array" ref="K174:K174">IF(A174&lt;&gt;"",IF(COUNTIF(A175:A$996,"&lt;&gt;")=0,COUNTA(B174:B$996),IFERROR(MATCH(TRUE(),INDEX((A175:A$996&lt;&gt;""),0),0),COUNTA(B174:B$996))),"")</f>
        <v/>
      </c>
      <c r="L174" s="20"/>
    </row>
    <row r="175" customFormat="false" ht="13.8" hidden="false" customHeight="false" outlineLevel="0" collapsed="false">
      <c r="A175" s="16"/>
      <c r="B175" s="16"/>
      <c r="C175" s="17"/>
      <c r="D175" s="17"/>
      <c r="E175" s="17"/>
      <c r="F175" s="18"/>
      <c r="G175" s="19" t="str">
        <f aca="true">IF(F175="", "", DATEDIF(F175, TODAY(), "Y"))</f>
        <v/>
      </c>
      <c r="H175" s="18"/>
      <c r="I175" s="18"/>
      <c r="J175" s="19" t="str">
        <f aca="true">IF(ISBLANK(H175), "", I175-TODAY())</f>
        <v/>
      </c>
      <c r="K175" s="19" t="str">
        <f aca="false" t="array" ref="K175:K175">IF(A175&lt;&gt;"",IF(COUNTIF(A176:A$996,"&lt;&gt;")=0,COUNTA(B175:B$996),IFERROR(MATCH(TRUE(),INDEX((A176:A$996&lt;&gt;""),0),0),COUNTA(B175:B$996))),"")</f>
        <v/>
      </c>
      <c r="L175" s="20"/>
    </row>
    <row r="176" customFormat="false" ht="13.8" hidden="false" customHeight="false" outlineLevel="0" collapsed="false">
      <c r="A176" s="16"/>
      <c r="B176" s="16"/>
      <c r="C176" s="17"/>
      <c r="D176" s="17"/>
      <c r="E176" s="17"/>
      <c r="F176" s="18"/>
      <c r="G176" s="19" t="str">
        <f aca="true">IF(F176="", "", DATEDIF(F176, TODAY(), "Y"))</f>
        <v/>
      </c>
      <c r="H176" s="18"/>
      <c r="I176" s="18"/>
      <c r="J176" s="19" t="str">
        <f aca="true">IF(ISBLANK(H176), "", I176-TODAY())</f>
        <v/>
      </c>
      <c r="K176" s="19" t="str">
        <f aca="false" t="array" ref="K176:K176">IF(A176&lt;&gt;"",IF(COUNTIF(A177:A$996,"&lt;&gt;")=0,COUNTA(B176:B$996),IFERROR(MATCH(TRUE(),INDEX((A177:A$996&lt;&gt;""),0),0),COUNTA(B176:B$996))),"")</f>
        <v/>
      </c>
      <c r="L176" s="20"/>
    </row>
    <row r="177" customFormat="false" ht="13.8" hidden="false" customHeight="false" outlineLevel="0" collapsed="false">
      <c r="A177" s="16"/>
      <c r="B177" s="16"/>
      <c r="C177" s="17"/>
      <c r="D177" s="17"/>
      <c r="E177" s="17"/>
      <c r="F177" s="18"/>
      <c r="G177" s="19" t="str">
        <f aca="true">IF(F177="", "", DATEDIF(F177, TODAY(), "Y"))</f>
        <v/>
      </c>
      <c r="H177" s="18"/>
      <c r="I177" s="18"/>
      <c r="J177" s="19" t="str">
        <f aca="true">IF(ISBLANK(H177), "", I177-TODAY())</f>
        <v/>
      </c>
      <c r="K177" s="19" t="str">
        <f aca="false" t="array" ref="K177:K177">IF(A177&lt;&gt;"",IF(COUNTIF(A178:A$996,"&lt;&gt;")=0,COUNTA(B177:B$996),IFERROR(MATCH(TRUE(),INDEX((A178:A$996&lt;&gt;""),0),0),COUNTA(B177:B$996))),"")</f>
        <v/>
      </c>
      <c r="L177" s="20"/>
    </row>
    <row r="178" customFormat="false" ht="13.8" hidden="false" customHeight="false" outlineLevel="0" collapsed="false">
      <c r="A178" s="16"/>
      <c r="B178" s="16"/>
      <c r="C178" s="17"/>
      <c r="D178" s="17"/>
      <c r="E178" s="17"/>
      <c r="F178" s="18"/>
      <c r="G178" s="19" t="str">
        <f aca="true">IF(F178="", "", DATEDIF(F178, TODAY(), "Y"))</f>
        <v/>
      </c>
      <c r="H178" s="18"/>
      <c r="I178" s="18"/>
      <c r="J178" s="19" t="str">
        <f aca="true">IF(ISBLANK(H178), "", I178-TODAY())</f>
        <v/>
      </c>
      <c r="K178" s="19" t="str">
        <f aca="false" t="array" ref="K178:K178">IF(A178&lt;&gt;"",IF(COUNTIF(A179:A$996,"&lt;&gt;")=0,COUNTA(B178:B$996),IFERROR(MATCH(TRUE(),INDEX((A179:A$996&lt;&gt;""),0),0),COUNTA(B178:B$996))),"")</f>
        <v/>
      </c>
      <c r="L178" s="20"/>
    </row>
    <row r="179" customFormat="false" ht="13.8" hidden="false" customHeight="false" outlineLevel="0" collapsed="false">
      <c r="A179" s="16"/>
      <c r="B179" s="16"/>
      <c r="C179" s="17"/>
      <c r="D179" s="17"/>
      <c r="E179" s="17"/>
      <c r="F179" s="18"/>
      <c r="G179" s="19" t="str">
        <f aca="true">IF(F179="", "", DATEDIF(F179, TODAY(), "Y"))</f>
        <v/>
      </c>
      <c r="H179" s="18"/>
      <c r="I179" s="18"/>
      <c r="J179" s="19" t="str">
        <f aca="true">IF(ISBLANK(H179), "", I179-TODAY())</f>
        <v/>
      </c>
      <c r="K179" s="19" t="str">
        <f aca="false" t="array" ref="K179:K179">IF(A179&lt;&gt;"",IF(COUNTIF(A180:A$996,"&lt;&gt;")=0,COUNTA(B179:B$996),IFERROR(MATCH(TRUE(),INDEX((A180:A$996&lt;&gt;""),0),0),COUNTA(B179:B$996))),"")</f>
        <v/>
      </c>
      <c r="L179" s="20"/>
    </row>
    <row r="180" customFormat="false" ht="13.8" hidden="false" customHeight="false" outlineLevel="0" collapsed="false">
      <c r="A180" s="16"/>
      <c r="B180" s="16"/>
      <c r="C180" s="17"/>
      <c r="D180" s="17"/>
      <c r="E180" s="17"/>
      <c r="F180" s="18"/>
      <c r="G180" s="19" t="str">
        <f aca="true">IF(F180="", "", DATEDIF(F180, TODAY(), "Y"))</f>
        <v/>
      </c>
      <c r="H180" s="18"/>
      <c r="I180" s="18"/>
      <c r="J180" s="19" t="str">
        <f aca="true">IF(ISBLANK(H180), "", I180-TODAY())</f>
        <v/>
      </c>
      <c r="K180" s="19" t="str">
        <f aca="false" t="array" ref="K180:K180">IF(A180&lt;&gt;"",IF(COUNTIF(A181:A$996,"&lt;&gt;")=0,COUNTA(B180:B$996),IFERROR(MATCH(TRUE(),INDEX((A181:A$996&lt;&gt;""),0),0),COUNTA(B180:B$996))),"")</f>
        <v/>
      </c>
      <c r="L180" s="20"/>
    </row>
    <row r="181" customFormat="false" ht="13.8" hidden="false" customHeight="false" outlineLevel="0" collapsed="false">
      <c r="A181" s="16"/>
      <c r="B181" s="16"/>
      <c r="C181" s="17"/>
      <c r="D181" s="17"/>
      <c r="E181" s="17"/>
      <c r="F181" s="18"/>
      <c r="G181" s="19" t="str">
        <f aca="true">IF(F181="", "", DATEDIF(F181, TODAY(), "Y"))</f>
        <v/>
      </c>
      <c r="H181" s="18"/>
      <c r="I181" s="18"/>
      <c r="J181" s="19" t="str">
        <f aca="true">IF(ISBLANK(H181), "", I181-TODAY())</f>
        <v/>
      </c>
      <c r="K181" s="19" t="str">
        <f aca="false" t="array" ref="K181:K181">IF(A181&lt;&gt;"",IF(COUNTIF(A182:A$996,"&lt;&gt;")=0,COUNTA(B181:B$996),IFERROR(MATCH(TRUE(),INDEX((A182:A$996&lt;&gt;""),0),0),COUNTA(B181:B$996))),"")</f>
        <v/>
      </c>
      <c r="L181" s="20"/>
    </row>
    <row r="182" customFormat="false" ht="13.8" hidden="false" customHeight="false" outlineLevel="0" collapsed="false">
      <c r="A182" s="16"/>
      <c r="B182" s="16"/>
      <c r="C182" s="17"/>
      <c r="D182" s="17"/>
      <c r="E182" s="17"/>
      <c r="F182" s="18"/>
      <c r="G182" s="19" t="str">
        <f aca="true">IF(F182="", "", DATEDIF(F182, TODAY(), "Y"))</f>
        <v/>
      </c>
      <c r="H182" s="18"/>
      <c r="I182" s="18"/>
      <c r="J182" s="19" t="str">
        <f aca="true">IF(ISBLANK(H182), "", I182-TODAY())</f>
        <v/>
      </c>
      <c r="K182" s="19" t="str">
        <f aca="false" t="array" ref="K182:K182">IF(A182&lt;&gt;"",IF(COUNTIF(A183:A$996,"&lt;&gt;")=0,COUNTA(B182:B$996),IFERROR(MATCH(TRUE(),INDEX((A183:A$996&lt;&gt;""),0),0),COUNTA(B182:B$996))),"")</f>
        <v/>
      </c>
      <c r="L182" s="20"/>
    </row>
    <row r="183" customFormat="false" ht="13.8" hidden="false" customHeight="false" outlineLevel="0" collapsed="false">
      <c r="A183" s="16"/>
      <c r="B183" s="16"/>
      <c r="C183" s="17"/>
      <c r="D183" s="17"/>
      <c r="E183" s="17"/>
      <c r="F183" s="18"/>
      <c r="G183" s="19" t="str">
        <f aca="true">IF(F183="", "", DATEDIF(F183, TODAY(), "Y"))</f>
        <v/>
      </c>
      <c r="H183" s="18"/>
      <c r="I183" s="18"/>
      <c r="J183" s="19" t="str">
        <f aca="true">IF(ISBLANK(H183), "", I183-TODAY())</f>
        <v/>
      </c>
      <c r="K183" s="19" t="str">
        <f aca="false" t="array" ref="K183:K183">IF(A183&lt;&gt;"",IF(COUNTIF(A184:A$996,"&lt;&gt;")=0,COUNTA(B183:B$996),IFERROR(MATCH(TRUE(),INDEX((A184:A$996&lt;&gt;""),0),0),COUNTA(B183:B$996))),"")</f>
        <v/>
      </c>
      <c r="L183" s="20"/>
    </row>
    <row r="184" customFormat="false" ht="13.8" hidden="false" customHeight="false" outlineLevel="0" collapsed="false">
      <c r="A184" s="16"/>
      <c r="B184" s="16"/>
      <c r="C184" s="17"/>
      <c r="D184" s="17"/>
      <c r="E184" s="17"/>
      <c r="F184" s="18"/>
      <c r="G184" s="19" t="str">
        <f aca="true">IF(F184="", "", DATEDIF(F184, TODAY(), "Y"))</f>
        <v/>
      </c>
      <c r="H184" s="18"/>
      <c r="I184" s="18"/>
      <c r="J184" s="19" t="str">
        <f aca="true">IF(ISBLANK(H184), "", I184-TODAY())</f>
        <v/>
      </c>
      <c r="K184" s="19" t="str">
        <f aca="false" t="array" ref="K184:K184">IF(A184&lt;&gt;"",IF(COUNTIF(A185:A$996,"&lt;&gt;")=0,COUNTA(B184:B$996),IFERROR(MATCH(TRUE(),INDEX((A185:A$996&lt;&gt;""),0),0),COUNTA(B184:B$996))),"")</f>
        <v/>
      </c>
      <c r="L184" s="20"/>
    </row>
    <row r="185" customFormat="false" ht="13.8" hidden="false" customHeight="false" outlineLevel="0" collapsed="false">
      <c r="A185" s="16"/>
      <c r="B185" s="16"/>
      <c r="C185" s="17"/>
      <c r="D185" s="17"/>
      <c r="E185" s="17"/>
      <c r="F185" s="18"/>
      <c r="G185" s="19" t="str">
        <f aca="true">IF(F185="", "", DATEDIF(F185, TODAY(), "Y"))</f>
        <v/>
      </c>
      <c r="H185" s="18"/>
      <c r="I185" s="18"/>
      <c r="J185" s="19" t="str">
        <f aca="true">IF(ISBLANK(H185), "", I185-TODAY())</f>
        <v/>
      </c>
      <c r="K185" s="19" t="str">
        <f aca="false" t="array" ref="K185:K185">IF(A185&lt;&gt;"",IF(COUNTIF(A186:A$996,"&lt;&gt;")=0,COUNTA(B185:B$996),IFERROR(MATCH(TRUE(),INDEX((A186:A$996&lt;&gt;""),0),0),COUNTA(B185:B$996))),"")</f>
        <v/>
      </c>
      <c r="L185" s="20"/>
    </row>
    <row r="186" customFormat="false" ht="13.8" hidden="false" customHeight="false" outlineLevel="0" collapsed="false">
      <c r="A186" s="16"/>
      <c r="B186" s="16"/>
      <c r="C186" s="17"/>
      <c r="D186" s="17"/>
      <c r="E186" s="17"/>
      <c r="F186" s="18"/>
      <c r="G186" s="19" t="str">
        <f aca="true">IF(F186="", "", DATEDIF(F186, TODAY(), "Y"))</f>
        <v/>
      </c>
      <c r="H186" s="18"/>
      <c r="I186" s="18"/>
      <c r="J186" s="19" t="str">
        <f aca="true">IF(ISBLANK(H186), "", I186-TODAY())</f>
        <v/>
      </c>
      <c r="K186" s="19" t="str">
        <f aca="false" t="array" ref="K186:K186">IF(A186&lt;&gt;"",IF(COUNTIF(A187:A$996,"&lt;&gt;")=0,COUNTA(B186:B$996),IFERROR(MATCH(TRUE(),INDEX((A187:A$996&lt;&gt;""),0),0),COUNTA(B186:B$996))),"")</f>
        <v/>
      </c>
      <c r="L186" s="20"/>
    </row>
    <row r="187" customFormat="false" ht="13.8" hidden="false" customHeight="false" outlineLevel="0" collapsed="false">
      <c r="A187" s="16"/>
      <c r="B187" s="16"/>
      <c r="C187" s="17"/>
      <c r="D187" s="17"/>
      <c r="E187" s="17"/>
      <c r="F187" s="18"/>
      <c r="G187" s="19" t="str">
        <f aca="true">IF(F187="", "", DATEDIF(F187, TODAY(), "Y"))</f>
        <v/>
      </c>
      <c r="H187" s="18"/>
      <c r="I187" s="18"/>
      <c r="J187" s="19" t="str">
        <f aca="true">IF(ISBLANK(H187), "", I187-TODAY())</f>
        <v/>
      </c>
      <c r="K187" s="19" t="str">
        <f aca="false" t="array" ref="K187:K187">IF(A187&lt;&gt;"",IF(COUNTIF(A188:A$996,"&lt;&gt;")=0,COUNTA(B187:B$996),IFERROR(MATCH(TRUE(),INDEX((A188:A$996&lt;&gt;""),0),0),COUNTA(B187:B$996))),"")</f>
        <v/>
      </c>
      <c r="L187" s="20"/>
    </row>
    <row r="188" customFormat="false" ht="13.8" hidden="false" customHeight="false" outlineLevel="0" collapsed="false">
      <c r="A188" s="16"/>
      <c r="B188" s="16"/>
      <c r="C188" s="17"/>
      <c r="D188" s="17"/>
      <c r="E188" s="17"/>
      <c r="F188" s="18"/>
      <c r="G188" s="19" t="str">
        <f aca="true">IF(F188="", "", DATEDIF(F188, TODAY(), "Y"))</f>
        <v/>
      </c>
      <c r="H188" s="18"/>
      <c r="I188" s="18"/>
      <c r="J188" s="19" t="str">
        <f aca="true">IF(ISBLANK(H188), "", I188-TODAY())</f>
        <v/>
      </c>
      <c r="K188" s="19" t="str">
        <f aca="false" t="array" ref="K188:K188">IF(A188&lt;&gt;"",IF(COUNTIF(A189:A$996,"&lt;&gt;")=0,COUNTA(B188:B$996),IFERROR(MATCH(TRUE(),INDEX((A189:A$996&lt;&gt;""),0),0),COUNTA(B188:B$996))),"")</f>
        <v/>
      </c>
      <c r="L188" s="20"/>
    </row>
    <row r="189" customFormat="false" ht="13.8" hidden="false" customHeight="false" outlineLevel="0" collapsed="false">
      <c r="A189" s="16"/>
      <c r="B189" s="16"/>
      <c r="C189" s="17"/>
      <c r="D189" s="17"/>
      <c r="E189" s="17"/>
      <c r="F189" s="18"/>
      <c r="G189" s="19" t="str">
        <f aca="true">IF(F189="", "", DATEDIF(F189, TODAY(), "Y"))</f>
        <v/>
      </c>
      <c r="H189" s="18"/>
      <c r="I189" s="18"/>
      <c r="J189" s="19" t="str">
        <f aca="true">IF(ISBLANK(H189), "", I189-TODAY())</f>
        <v/>
      </c>
      <c r="K189" s="19" t="str">
        <f aca="false" t="array" ref="K189:K189">IF(A189&lt;&gt;"",IF(COUNTIF(A190:A$996,"&lt;&gt;")=0,COUNTA(B189:B$996),IFERROR(MATCH(TRUE(),INDEX((A190:A$996&lt;&gt;""),0),0),COUNTA(B189:B$996))),"")</f>
        <v/>
      </c>
      <c r="L189" s="20"/>
    </row>
    <row r="190" customFormat="false" ht="13.8" hidden="false" customHeight="false" outlineLevel="0" collapsed="false">
      <c r="A190" s="16"/>
      <c r="B190" s="16"/>
      <c r="C190" s="17"/>
      <c r="D190" s="17"/>
      <c r="E190" s="17"/>
      <c r="F190" s="18"/>
      <c r="G190" s="19" t="str">
        <f aca="true">IF(F190="", "", DATEDIF(F190, TODAY(), "Y"))</f>
        <v/>
      </c>
      <c r="H190" s="18"/>
      <c r="I190" s="18"/>
      <c r="J190" s="19" t="str">
        <f aca="true">IF(ISBLANK(H190), "", I190-TODAY())</f>
        <v/>
      </c>
      <c r="K190" s="19" t="str">
        <f aca="false" t="array" ref="K190:K190">IF(A190&lt;&gt;"",IF(COUNTIF(A191:A$996,"&lt;&gt;")=0,COUNTA(B190:B$996),IFERROR(MATCH(TRUE(),INDEX((A191:A$996&lt;&gt;""),0),0),COUNTA(B190:B$996))),"")</f>
        <v/>
      </c>
      <c r="L190" s="20"/>
    </row>
    <row r="191" customFormat="false" ht="13.8" hidden="false" customHeight="false" outlineLevel="0" collapsed="false">
      <c r="A191" s="16"/>
      <c r="B191" s="16"/>
      <c r="C191" s="17"/>
      <c r="D191" s="17"/>
      <c r="E191" s="17"/>
      <c r="F191" s="18"/>
      <c r="G191" s="19" t="str">
        <f aca="true">IF(F191="", "", DATEDIF(F191, TODAY(), "Y"))</f>
        <v/>
      </c>
      <c r="H191" s="18"/>
      <c r="I191" s="18"/>
      <c r="J191" s="19" t="str">
        <f aca="true">IF(ISBLANK(H191), "", I191-TODAY())</f>
        <v/>
      </c>
      <c r="K191" s="19" t="str">
        <f aca="false" t="array" ref="K191:K191">IF(A191&lt;&gt;"",IF(COUNTIF(A192:A$996,"&lt;&gt;")=0,COUNTA(B191:B$996),IFERROR(MATCH(TRUE(),INDEX((A192:A$996&lt;&gt;""),0),0),COUNTA(B191:B$996))),"")</f>
        <v/>
      </c>
      <c r="L191" s="20"/>
    </row>
    <row r="192" customFormat="false" ht="13.8" hidden="false" customHeight="false" outlineLevel="0" collapsed="false">
      <c r="A192" s="16"/>
      <c r="B192" s="16"/>
      <c r="C192" s="17"/>
      <c r="D192" s="17"/>
      <c r="E192" s="17"/>
      <c r="F192" s="18"/>
      <c r="G192" s="19" t="str">
        <f aca="true">IF(F192="", "", DATEDIF(F192, TODAY(), "Y"))</f>
        <v/>
      </c>
      <c r="H192" s="18"/>
      <c r="I192" s="18"/>
      <c r="J192" s="19" t="str">
        <f aca="true">IF(ISBLANK(H192), "", I192-TODAY())</f>
        <v/>
      </c>
      <c r="K192" s="19" t="str">
        <f aca="false" t="array" ref="K192:K192">IF(A192&lt;&gt;"",IF(COUNTIF(A193:A$996,"&lt;&gt;")=0,COUNTA(B192:B$996),IFERROR(MATCH(TRUE(),INDEX((A193:A$996&lt;&gt;""),0),0),COUNTA(B192:B$996))),"")</f>
        <v/>
      </c>
      <c r="L192" s="20"/>
    </row>
    <row r="193" customFormat="false" ht="13.8" hidden="false" customHeight="false" outlineLevel="0" collapsed="false">
      <c r="A193" s="16"/>
      <c r="B193" s="16"/>
      <c r="C193" s="17"/>
      <c r="D193" s="17"/>
      <c r="E193" s="17"/>
      <c r="F193" s="18"/>
      <c r="G193" s="19" t="str">
        <f aca="true">IF(F193="", "", DATEDIF(F193, TODAY(), "Y"))</f>
        <v/>
      </c>
      <c r="H193" s="18"/>
      <c r="I193" s="18"/>
      <c r="J193" s="19" t="str">
        <f aca="true">IF(ISBLANK(H193), "", I193-TODAY())</f>
        <v/>
      </c>
      <c r="K193" s="19" t="str">
        <f aca="false" t="array" ref="K193:K193">IF(A193&lt;&gt;"",IF(COUNTIF(A194:A$996,"&lt;&gt;")=0,COUNTA(B193:B$996),IFERROR(MATCH(TRUE(),INDEX((A194:A$996&lt;&gt;""),0),0),COUNTA(B193:B$996))),"")</f>
        <v/>
      </c>
      <c r="L193" s="20"/>
    </row>
    <row r="194" customFormat="false" ht="13.8" hidden="false" customHeight="false" outlineLevel="0" collapsed="false">
      <c r="A194" s="16"/>
      <c r="B194" s="16"/>
      <c r="C194" s="17"/>
      <c r="D194" s="17"/>
      <c r="E194" s="17"/>
      <c r="F194" s="18"/>
      <c r="G194" s="19" t="str">
        <f aca="true">IF(F194="", "", DATEDIF(F194, TODAY(), "Y"))</f>
        <v/>
      </c>
      <c r="H194" s="18"/>
      <c r="I194" s="18"/>
      <c r="J194" s="19" t="str">
        <f aca="true">IF(ISBLANK(H194), "", I194-TODAY())</f>
        <v/>
      </c>
      <c r="K194" s="19" t="str">
        <f aca="false" t="array" ref="K194:K194">IF(A194&lt;&gt;"",IF(COUNTIF(A195:A$996,"&lt;&gt;")=0,COUNTA(B194:B$996),IFERROR(MATCH(TRUE(),INDEX((A195:A$996&lt;&gt;""),0),0),COUNTA(B194:B$996))),"")</f>
        <v/>
      </c>
      <c r="L194" s="20"/>
    </row>
    <row r="195" customFormat="false" ht="13.8" hidden="false" customHeight="false" outlineLevel="0" collapsed="false">
      <c r="A195" s="16"/>
      <c r="B195" s="16"/>
      <c r="C195" s="17"/>
      <c r="D195" s="17"/>
      <c r="E195" s="17"/>
      <c r="F195" s="18"/>
      <c r="G195" s="19" t="str">
        <f aca="true">IF(F195="", "", DATEDIF(F195, TODAY(), "Y"))</f>
        <v/>
      </c>
      <c r="H195" s="18"/>
      <c r="I195" s="18"/>
      <c r="J195" s="19" t="str">
        <f aca="true">IF(ISBLANK(H195), "", I195-TODAY())</f>
        <v/>
      </c>
      <c r="K195" s="19" t="str">
        <f aca="false" t="array" ref="K195:K195">IF(A195&lt;&gt;"",IF(COUNTIF(A196:A$996,"&lt;&gt;")=0,COUNTA(B195:B$996),IFERROR(MATCH(TRUE(),INDEX((A196:A$996&lt;&gt;""),0),0),COUNTA(B195:B$996))),"")</f>
        <v/>
      </c>
      <c r="L195" s="20"/>
    </row>
    <row r="196" customFormat="false" ht="13.8" hidden="false" customHeight="false" outlineLevel="0" collapsed="false">
      <c r="A196" s="16"/>
      <c r="B196" s="16"/>
      <c r="C196" s="17"/>
      <c r="D196" s="17"/>
      <c r="E196" s="17"/>
      <c r="F196" s="18"/>
      <c r="G196" s="19" t="str">
        <f aca="true">IF(F196="", "", DATEDIF(F196, TODAY(), "Y"))</f>
        <v/>
      </c>
      <c r="H196" s="18"/>
      <c r="I196" s="18"/>
      <c r="J196" s="19" t="str">
        <f aca="true">IF(ISBLANK(H196), "", I196-TODAY())</f>
        <v/>
      </c>
      <c r="K196" s="19" t="str">
        <f aca="false" t="array" ref="K196:K196">IF(A196&lt;&gt;"",IF(COUNTIF(A197:A$996,"&lt;&gt;")=0,COUNTA(B196:B$996),IFERROR(MATCH(TRUE(),INDEX((A197:A$996&lt;&gt;""),0),0),COUNTA(B196:B$996))),"")</f>
        <v/>
      </c>
      <c r="L196" s="20"/>
    </row>
    <row r="197" customFormat="false" ht="13.8" hidden="false" customHeight="false" outlineLevel="0" collapsed="false">
      <c r="A197" s="16"/>
      <c r="B197" s="16"/>
      <c r="C197" s="17"/>
      <c r="D197" s="17"/>
      <c r="E197" s="17"/>
      <c r="F197" s="18"/>
      <c r="G197" s="19" t="str">
        <f aca="true">IF(F197="", "", DATEDIF(F197, TODAY(), "Y"))</f>
        <v/>
      </c>
      <c r="H197" s="18"/>
      <c r="I197" s="18"/>
      <c r="J197" s="19" t="str">
        <f aca="true">IF(ISBLANK(H197), "", I197-TODAY())</f>
        <v/>
      </c>
      <c r="K197" s="19" t="str">
        <f aca="false" t="array" ref="K197:K197">IF(A197&lt;&gt;"",IF(COUNTIF(A198:A$996,"&lt;&gt;")=0,COUNTA(B197:B$996),IFERROR(MATCH(TRUE(),INDEX((A198:A$996&lt;&gt;""),0),0),COUNTA(B197:B$996))),"")</f>
        <v/>
      </c>
      <c r="L197" s="20"/>
    </row>
    <row r="198" customFormat="false" ht="13.8" hidden="false" customHeight="false" outlineLevel="0" collapsed="false">
      <c r="A198" s="16"/>
      <c r="B198" s="16"/>
      <c r="C198" s="17"/>
      <c r="D198" s="17"/>
      <c r="E198" s="17"/>
      <c r="F198" s="18"/>
      <c r="G198" s="19" t="str">
        <f aca="true">IF(F198="", "", DATEDIF(F198, TODAY(), "Y"))</f>
        <v/>
      </c>
      <c r="H198" s="18"/>
      <c r="I198" s="18"/>
      <c r="J198" s="19" t="str">
        <f aca="true">IF(ISBLANK(H198), "", I198-TODAY())</f>
        <v/>
      </c>
      <c r="K198" s="19" t="str">
        <f aca="false" t="array" ref="K198:K198">IF(A198&lt;&gt;"",IF(COUNTIF(A199:A$996,"&lt;&gt;")=0,COUNTA(B198:B$996),IFERROR(MATCH(TRUE(),INDEX((A199:A$996&lt;&gt;""),0),0),COUNTA(B198:B$996))),"")</f>
        <v/>
      </c>
      <c r="L198" s="20"/>
    </row>
    <row r="199" customFormat="false" ht="13.8" hidden="false" customHeight="false" outlineLevel="0" collapsed="false">
      <c r="A199" s="16"/>
      <c r="B199" s="16"/>
      <c r="C199" s="17"/>
      <c r="D199" s="17"/>
      <c r="E199" s="17"/>
      <c r="F199" s="18"/>
      <c r="G199" s="19" t="str">
        <f aca="true">IF(F199="", "", DATEDIF(F199, TODAY(), "Y"))</f>
        <v/>
      </c>
      <c r="H199" s="18"/>
      <c r="I199" s="18"/>
      <c r="J199" s="19" t="str">
        <f aca="true">IF(ISBLANK(H199), "", I199-TODAY())</f>
        <v/>
      </c>
      <c r="K199" s="19" t="str">
        <f aca="false" t="array" ref="K199:K199">IF(A199&lt;&gt;"",IF(COUNTIF(A200:A$996,"&lt;&gt;")=0,COUNTA(B199:B$996),IFERROR(MATCH(TRUE(),INDEX((A200:A$996&lt;&gt;""),0),0),COUNTA(B199:B$996))),"")</f>
        <v/>
      </c>
      <c r="L199" s="20"/>
    </row>
    <row r="200" customFormat="false" ht="13.8" hidden="false" customHeight="false" outlineLevel="0" collapsed="false">
      <c r="A200" s="16"/>
      <c r="B200" s="16"/>
      <c r="C200" s="17"/>
      <c r="D200" s="17"/>
      <c r="E200" s="17"/>
      <c r="F200" s="18"/>
      <c r="G200" s="19" t="str">
        <f aca="true">IF(F200="", "", DATEDIF(F200, TODAY(), "Y"))</f>
        <v/>
      </c>
      <c r="H200" s="18"/>
      <c r="I200" s="18"/>
      <c r="J200" s="19" t="str">
        <f aca="true">IF(ISBLANK(H200), "", I200-TODAY())</f>
        <v/>
      </c>
      <c r="K200" s="19" t="str">
        <f aca="false" t="array" ref="K200:K200">IF(A200&lt;&gt;"",IF(COUNTIF(A201:A$996,"&lt;&gt;")=0,COUNTA(B200:B$996),IFERROR(MATCH(TRUE(),INDEX((A201:A$996&lt;&gt;""),0),0),COUNTA(B200:B$996))),"")</f>
        <v/>
      </c>
      <c r="L200" s="20"/>
    </row>
    <row r="201" customFormat="false" ht="13.8" hidden="false" customHeight="false" outlineLevel="0" collapsed="false">
      <c r="A201" s="16"/>
      <c r="B201" s="16"/>
      <c r="C201" s="17"/>
      <c r="D201" s="17"/>
      <c r="E201" s="17"/>
      <c r="F201" s="18"/>
      <c r="G201" s="19" t="str">
        <f aca="true">IF(F201="", "", DATEDIF(F201, TODAY(), "Y"))</f>
        <v/>
      </c>
      <c r="H201" s="18"/>
      <c r="I201" s="18"/>
      <c r="J201" s="19" t="str">
        <f aca="true">IF(ISBLANK(H201), "", I201-TODAY())</f>
        <v/>
      </c>
      <c r="K201" s="19" t="str">
        <f aca="false" t="array" ref="K201:K201">IF(A201&lt;&gt;"",IF(COUNTIF(A202:A$996,"&lt;&gt;")=0,COUNTA(B201:B$996),IFERROR(MATCH(TRUE(),INDEX((A202:A$996&lt;&gt;""),0),0),COUNTA(B201:B$996))),"")</f>
        <v/>
      </c>
      <c r="L201" s="20"/>
    </row>
    <row r="202" customFormat="false" ht="13.8" hidden="false" customHeight="false" outlineLevel="0" collapsed="false">
      <c r="A202" s="16"/>
      <c r="B202" s="16"/>
      <c r="C202" s="17"/>
      <c r="D202" s="17"/>
      <c r="E202" s="17"/>
      <c r="F202" s="18"/>
      <c r="G202" s="19" t="str">
        <f aca="true">IF(F202="", "", DATEDIF(F202, TODAY(), "Y"))</f>
        <v/>
      </c>
      <c r="H202" s="18"/>
      <c r="I202" s="18"/>
      <c r="J202" s="19" t="str">
        <f aca="true">IF(ISBLANK(H202), "", I202-TODAY())</f>
        <v/>
      </c>
      <c r="K202" s="19" t="str">
        <f aca="false" t="array" ref="K202:K202">IF(A202&lt;&gt;"",IF(COUNTIF(A203:A$996,"&lt;&gt;")=0,COUNTA(B202:B$996),IFERROR(MATCH(TRUE(),INDEX((A203:A$996&lt;&gt;""),0),0),COUNTA(B202:B$996))),"")</f>
        <v/>
      </c>
      <c r="L202" s="20"/>
    </row>
    <row r="203" customFormat="false" ht="13.8" hidden="false" customHeight="false" outlineLevel="0" collapsed="false">
      <c r="A203" s="16"/>
      <c r="B203" s="16"/>
      <c r="C203" s="17"/>
      <c r="D203" s="17"/>
      <c r="E203" s="17"/>
      <c r="F203" s="18"/>
      <c r="G203" s="19" t="str">
        <f aca="true">IF(F203="", "", DATEDIF(F203, TODAY(), "Y"))</f>
        <v/>
      </c>
      <c r="H203" s="18"/>
      <c r="I203" s="18"/>
      <c r="J203" s="19" t="str">
        <f aca="true">IF(ISBLANK(H203), "", I203-TODAY())</f>
        <v/>
      </c>
      <c r="K203" s="19" t="str">
        <f aca="false" t="array" ref="K203:K203">IF(A203&lt;&gt;"",IF(COUNTIF(A204:A$996,"&lt;&gt;")=0,COUNTA(B203:B$996),IFERROR(MATCH(TRUE(),INDEX((A204:A$996&lt;&gt;""),0),0),COUNTA(B203:B$996))),"")</f>
        <v/>
      </c>
      <c r="L203" s="20"/>
    </row>
    <row r="204" customFormat="false" ht="13.8" hidden="false" customHeight="false" outlineLevel="0" collapsed="false">
      <c r="A204" s="16"/>
      <c r="B204" s="16"/>
      <c r="C204" s="17"/>
      <c r="D204" s="17"/>
      <c r="E204" s="17"/>
      <c r="F204" s="18"/>
      <c r="G204" s="19" t="str">
        <f aca="true">IF(F204="", "", DATEDIF(F204, TODAY(), "Y"))</f>
        <v/>
      </c>
      <c r="H204" s="18"/>
      <c r="I204" s="18"/>
      <c r="J204" s="19" t="str">
        <f aca="true">IF(ISBLANK(H204), "", I204-TODAY())</f>
        <v/>
      </c>
      <c r="K204" s="19" t="str">
        <f aca="false" t="array" ref="K204:K204">IF(A204&lt;&gt;"",IF(COUNTIF(A205:A$996,"&lt;&gt;")=0,COUNTA(B204:B$996),IFERROR(MATCH(TRUE(),INDEX((A205:A$996&lt;&gt;""),0),0),COUNTA(B204:B$996))),"")</f>
        <v/>
      </c>
      <c r="L204" s="20"/>
    </row>
    <row r="205" customFormat="false" ht="13.8" hidden="false" customHeight="false" outlineLevel="0" collapsed="false">
      <c r="A205" s="16"/>
      <c r="B205" s="16"/>
      <c r="C205" s="17"/>
      <c r="D205" s="17"/>
      <c r="E205" s="17"/>
      <c r="F205" s="18"/>
      <c r="G205" s="19" t="str">
        <f aca="true">IF(F205="", "", DATEDIF(F205, TODAY(), "Y"))</f>
        <v/>
      </c>
      <c r="H205" s="18"/>
      <c r="I205" s="18"/>
      <c r="J205" s="19" t="str">
        <f aca="true">IF(ISBLANK(H205), "", I205-TODAY())</f>
        <v/>
      </c>
      <c r="K205" s="19" t="str">
        <f aca="false" t="array" ref="K205:K205">IF(A205&lt;&gt;"",IF(COUNTIF(A206:A$996,"&lt;&gt;")=0,COUNTA(B205:B$996),IFERROR(MATCH(TRUE(),INDEX((A206:A$996&lt;&gt;""),0),0),COUNTA(B205:B$996))),"")</f>
        <v/>
      </c>
      <c r="L205" s="20"/>
    </row>
    <row r="206" customFormat="false" ht="13.8" hidden="false" customHeight="false" outlineLevel="0" collapsed="false">
      <c r="A206" s="16"/>
      <c r="B206" s="16"/>
      <c r="C206" s="17"/>
      <c r="D206" s="17"/>
      <c r="E206" s="17"/>
      <c r="F206" s="18"/>
      <c r="G206" s="19" t="str">
        <f aca="true">IF(F206="", "", DATEDIF(F206, TODAY(), "Y"))</f>
        <v/>
      </c>
      <c r="H206" s="18"/>
      <c r="I206" s="18"/>
      <c r="J206" s="19" t="str">
        <f aca="true">IF(ISBLANK(H206), "", I206-TODAY())</f>
        <v/>
      </c>
      <c r="K206" s="19" t="str">
        <f aca="false" t="array" ref="K206:K206">IF(A206&lt;&gt;"",IF(COUNTIF(A207:A$996,"&lt;&gt;")=0,COUNTA(B206:B$996),IFERROR(MATCH(TRUE(),INDEX((A207:A$996&lt;&gt;""),0),0),COUNTA(B206:B$996))),"")</f>
        <v/>
      </c>
      <c r="L206" s="20"/>
    </row>
    <row r="207" customFormat="false" ht="13.8" hidden="false" customHeight="false" outlineLevel="0" collapsed="false">
      <c r="A207" s="16"/>
      <c r="B207" s="16"/>
      <c r="C207" s="17"/>
      <c r="D207" s="17"/>
      <c r="E207" s="17"/>
      <c r="F207" s="18"/>
      <c r="G207" s="19" t="str">
        <f aca="true">IF(F207="", "", DATEDIF(F207, TODAY(), "Y"))</f>
        <v/>
      </c>
      <c r="H207" s="18"/>
      <c r="I207" s="18"/>
      <c r="J207" s="19" t="str">
        <f aca="true">IF(ISBLANK(H207), "", I207-TODAY())</f>
        <v/>
      </c>
      <c r="K207" s="19" t="str">
        <f aca="false" t="array" ref="K207:K207">IF(A207&lt;&gt;"",IF(COUNTIF(A208:A$996,"&lt;&gt;")=0,COUNTA(B207:B$996),IFERROR(MATCH(TRUE(),INDEX((A208:A$996&lt;&gt;""),0),0),COUNTA(B207:B$996))),"")</f>
        <v/>
      </c>
      <c r="L207" s="20"/>
    </row>
    <row r="208" customFormat="false" ht="13.8" hidden="false" customHeight="false" outlineLevel="0" collapsed="false">
      <c r="A208" s="16"/>
      <c r="B208" s="16"/>
      <c r="C208" s="17"/>
      <c r="D208" s="17"/>
      <c r="E208" s="17"/>
      <c r="F208" s="18"/>
      <c r="G208" s="19" t="str">
        <f aca="true">IF(F208="", "", DATEDIF(F208, TODAY(), "Y"))</f>
        <v/>
      </c>
      <c r="H208" s="18"/>
      <c r="I208" s="18"/>
      <c r="J208" s="19" t="str">
        <f aca="true">IF(ISBLANK(H208), "", I208-TODAY())</f>
        <v/>
      </c>
      <c r="K208" s="19" t="str">
        <f aca="false" t="array" ref="K208:K208">IF(A208&lt;&gt;"",IF(COUNTIF(A209:A$996,"&lt;&gt;")=0,COUNTA(B208:B$996),IFERROR(MATCH(TRUE(),INDEX((A209:A$996&lt;&gt;""),0),0),COUNTA(B208:B$996))),"")</f>
        <v/>
      </c>
      <c r="L208" s="20"/>
    </row>
    <row r="209" customFormat="false" ht="13.8" hidden="false" customHeight="false" outlineLevel="0" collapsed="false">
      <c r="A209" s="16"/>
      <c r="B209" s="16"/>
      <c r="C209" s="17"/>
      <c r="D209" s="17"/>
      <c r="E209" s="17"/>
      <c r="F209" s="18"/>
      <c r="G209" s="19" t="str">
        <f aca="true">IF(F209="", "", DATEDIF(F209, TODAY(), "Y"))</f>
        <v/>
      </c>
      <c r="H209" s="18"/>
      <c r="I209" s="18"/>
      <c r="J209" s="19" t="str">
        <f aca="true">IF(ISBLANK(H209), "", I209-TODAY())</f>
        <v/>
      </c>
      <c r="K209" s="19" t="str">
        <f aca="false" t="array" ref="K209:K209">IF(A209&lt;&gt;"",IF(COUNTIF(A210:A$996,"&lt;&gt;")=0,COUNTA(B209:B$996),IFERROR(MATCH(TRUE(),INDEX((A210:A$996&lt;&gt;""),0),0),COUNTA(B209:B$996))),"")</f>
        <v/>
      </c>
      <c r="L209" s="20"/>
    </row>
    <row r="210" customFormat="false" ht="13.8" hidden="false" customHeight="false" outlineLevel="0" collapsed="false">
      <c r="A210" s="16"/>
      <c r="B210" s="16"/>
      <c r="C210" s="17"/>
      <c r="D210" s="17"/>
      <c r="E210" s="17"/>
      <c r="F210" s="18"/>
      <c r="G210" s="19" t="str">
        <f aca="true">IF(F210="", "", DATEDIF(F210, TODAY(), "Y"))</f>
        <v/>
      </c>
      <c r="H210" s="18"/>
      <c r="I210" s="18"/>
      <c r="J210" s="19" t="str">
        <f aca="true">IF(ISBLANK(H210), "", I210-TODAY())</f>
        <v/>
      </c>
      <c r="K210" s="19" t="str">
        <f aca="false" t="array" ref="K210:K210">IF(A210&lt;&gt;"",IF(COUNTIF(A211:A$996,"&lt;&gt;")=0,COUNTA(B210:B$996),IFERROR(MATCH(TRUE(),INDEX((A211:A$996&lt;&gt;""),0),0),COUNTA(B210:B$996))),"")</f>
        <v/>
      </c>
      <c r="L210" s="20"/>
    </row>
    <row r="211" customFormat="false" ht="13.8" hidden="false" customHeight="false" outlineLevel="0" collapsed="false">
      <c r="A211" s="16"/>
      <c r="B211" s="16"/>
      <c r="C211" s="17"/>
      <c r="D211" s="17"/>
      <c r="E211" s="17"/>
      <c r="F211" s="18"/>
      <c r="G211" s="19" t="str">
        <f aca="true">IF(F211="", "", DATEDIF(F211, TODAY(), "Y"))</f>
        <v/>
      </c>
      <c r="H211" s="18"/>
      <c r="I211" s="18"/>
      <c r="J211" s="19" t="str">
        <f aca="true">IF(ISBLANK(H211), "", I211-TODAY())</f>
        <v/>
      </c>
      <c r="K211" s="19" t="str">
        <f aca="false" t="array" ref="K211:K211">IF(A211&lt;&gt;"",IF(COUNTIF(A212:A$996,"&lt;&gt;")=0,COUNTA(B211:B$996),IFERROR(MATCH(TRUE(),INDEX((A212:A$996&lt;&gt;""),0),0),COUNTA(B211:B$996))),"")</f>
        <v/>
      </c>
      <c r="L211" s="20"/>
    </row>
    <row r="212" customFormat="false" ht="13.8" hidden="false" customHeight="false" outlineLevel="0" collapsed="false">
      <c r="A212" s="16"/>
      <c r="B212" s="16"/>
      <c r="C212" s="17"/>
      <c r="D212" s="17"/>
      <c r="E212" s="17"/>
      <c r="F212" s="18"/>
      <c r="G212" s="19" t="str">
        <f aca="true">IF(F212="", "", DATEDIF(F212, TODAY(), "Y"))</f>
        <v/>
      </c>
      <c r="H212" s="18"/>
      <c r="I212" s="18"/>
      <c r="J212" s="19" t="str">
        <f aca="true">IF(ISBLANK(H212), "", I212-TODAY())</f>
        <v/>
      </c>
      <c r="K212" s="19" t="str">
        <f aca="false" t="array" ref="K212:K212">IF(A212&lt;&gt;"",IF(COUNTIF(A213:A$996,"&lt;&gt;")=0,COUNTA(B212:B$996),IFERROR(MATCH(TRUE(),INDEX((A213:A$996&lt;&gt;""),0),0),COUNTA(B212:B$996))),"")</f>
        <v/>
      </c>
      <c r="L212" s="20"/>
    </row>
    <row r="213" customFormat="false" ht="13.8" hidden="false" customHeight="false" outlineLevel="0" collapsed="false">
      <c r="A213" s="16"/>
      <c r="B213" s="16"/>
      <c r="C213" s="17"/>
      <c r="D213" s="17"/>
      <c r="E213" s="17"/>
      <c r="F213" s="18"/>
      <c r="G213" s="19" t="str">
        <f aca="true">IF(F213="", "", DATEDIF(F213, TODAY(), "Y"))</f>
        <v/>
      </c>
      <c r="H213" s="18"/>
      <c r="I213" s="18"/>
      <c r="J213" s="19" t="str">
        <f aca="true">IF(ISBLANK(H213), "", I213-TODAY())</f>
        <v/>
      </c>
      <c r="K213" s="19" t="str">
        <f aca="false" t="array" ref="K213:K213">IF(A213&lt;&gt;"",IF(COUNTIF(A214:A$996,"&lt;&gt;")=0,COUNTA(B213:B$996),IFERROR(MATCH(TRUE(),INDEX((A214:A$996&lt;&gt;""),0),0),COUNTA(B213:B$996))),"")</f>
        <v/>
      </c>
      <c r="L213" s="20"/>
    </row>
    <row r="214" customFormat="false" ht="13.8" hidden="false" customHeight="false" outlineLevel="0" collapsed="false">
      <c r="A214" s="16"/>
      <c r="B214" s="16"/>
      <c r="C214" s="17"/>
      <c r="D214" s="17"/>
      <c r="E214" s="17"/>
      <c r="F214" s="18"/>
      <c r="G214" s="19" t="str">
        <f aca="true">IF(F214="", "", DATEDIF(F214, TODAY(), "Y"))</f>
        <v/>
      </c>
      <c r="H214" s="18"/>
      <c r="I214" s="18"/>
      <c r="J214" s="19" t="str">
        <f aca="true">IF(ISBLANK(H214), "", I214-TODAY())</f>
        <v/>
      </c>
      <c r="K214" s="19" t="str">
        <f aca="false" t="array" ref="K214:K214">IF(A214&lt;&gt;"",IF(COUNTIF(A215:A$996,"&lt;&gt;")=0,COUNTA(B214:B$996),IFERROR(MATCH(TRUE(),INDEX((A215:A$996&lt;&gt;""),0),0),COUNTA(B214:B$996))),"")</f>
        <v/>
      </c>
      <c r="L214" s="20"/>
    </row>
    <row r="215" customFormat="false" ht="13.8" hidden="false" customHeight="false" outlineLevel="0" collapsed="false">
      <c r="A215" s="16"/>
      <c r="B215" s="16"/>
      <c r="C215" s="17"/>
      <c r="D215" s="17"/>
      <c r="E215" s="17"/>
      <c r="F215" s="18"/>
      <c r="G215" s="19" t="str">
        <f aca="true">IF(F215="", "", DATEDIF(F215, TODAY(), "Y"))</f>
        <v/>
      </c>
      <c r="H215" s="18"/>
      <c r="I215" s="18"/>
      <c r="J215" s="19" t="str">
        <f aca="true">IF(ISBLANK(H215), "", I215-TODAY())</f>
        <v/>
      </c>
      <c r="K215" s="19" t="str">
        <f aca="false" t="array" ref="K215:K215">IF(A215&lt;&gt;"",IF(COUNTIF(A216:A$996,"&lt;&gt;")=0,COUNTA(B215:B$996),IFERROR(MATCH(TRUE(),INDEX((A216:A$996&lt;&gt;""),0),0),COUNTA(B215:B$996))),"")</f>
        <v/>
      </c>
      <c r="L215" s="20"/>
    </row>
    <row r="216" customFormat="false" ht="13.8" hidden="false" customHeight="false" outlineLevel="0" collapsed="false">
      <c r="A216" s="16"/>
      <c r="B216" s="16"/>
      <c r="C216" s="17"/>
      <c r="D216" s="17"/>
      <c r="E216" s="17"/>
      <c r="F216" s="18"/>
      <c r="G216" s="19" t="str">
        <f aca="true">IF(F216="", "", DATEDIF(F216, TODAY(), "Y"))</f>
        <v/>
      </c>
      <c r="H216" s="18"/>
      <c r="I216" s="18"/>
      <c r="J216" s="19" t="str">
        <f aca="true">IF(ISBLANK(H216), "", I216-TODAY())</f>
        <v/>
      </c>
      <c r="K216" s="19" t="str">
        <f aca="false" t="array" ref="K216:K216">IF(A216&lt;&gt;"",IF(COUNTIF(A217:A$996,"&lt;&gt;")=0,COUNTA(B216:B$996),IFERROR(MATCH(TRUE(),INDEX((A217:A$996&lt;&gt;""),0),0),COUNTA(B216:B$996))),"")</f>
        <v/>
      </c>
      <c r="L216" s="20"/>
    </row>
    <row r="217" customFormat="false" ht="13.8" hidden="false" customHeight="false" outlineLevel="0" collapsed="false">
      <c r="A217" s="16"/>
      <c r="B217" s="16"/>
      <c r="C217" s="17"/>
      <c r="D217" s="17"/>
      <c r="E217" s="17"/>
      <c r="F217" s="18"/>
      <c r="G217" s="19" t="str">
        <f aca="true">IF(F217="", "", DATEDIF(F217, TODAY(), "Y"))</f>
        <v/>
      </c>
      <c r="H217" s="18"/>
      <c r="I217" s="18"/>
      <c r="J217" s="19" t="str">
        <f aca="true">IF(ISBLANK(H217), "", I217-TODAY())</f>
        <v/>
      </c>
      <c r="K217" s="19" t="str">
        <f aca="false" t="array" ref="K217:K217">IF(A217&lt;&gt;"",IF(COUNTIF(A218:A$996,"&lt;&gt;")=0,COUNTA(B217:B$996),IFERROR(MATCH(TRUE(),INDEX((A218:A$996&lt;&gt;""),0),0),COUNTA(B217:B$996))),"")</f>
        <v/>
      </c>
      <c r="L217" s="20"/>
    </row>
    <row r="218" customFormat="false" ht="13.8" hidden="false" customHeight="false" outlineLevel="0" collapsed="false">
      <c r="A218" s="16"/>
      <c r="B218" s="16"/>
      <c r="C218" s="17"/>
      <c r="D218" s="17"/>
      <c r="E218" s="17"/>
      <c r="F218" s="18"/>
      <c r="G218" s="19" t="str">
        <f aca="true">IF(F218="", "", DATEDIF(F218, TODAY(), "Y"))</f>
        <v/>
      </c>
      <c r="H218" s="18"/>
      <c r="I218" s="18"/>
      <c r="J218" s="19" t="str">
        <f aca="true">IF(ISBLANK(H218), "", I218-TODAY())</f>
        <v/>
      </c>
      <c r="K218" s="19" t="str">
        <f aca="false" t="array" ref="K218:K218">IF(A218&lt;&gt;"",IF(COUNTIF(A219:A$996,"&lt;&gt;")=0,COUNTA(B218:B$996),IFERROR(MATCH(TRUE(),INDEX((A219:A$996&lt;&gt;""),0),0),COUNTA(B218:B$996))),"")</f>
        <v/>
      </c>
      <c r="L218" s="20"/>
    </row>
    <row r="219" customFormat="false" ht="13.8" hidden="false" customHeight="false" outlineLevel="0" collapsed="false">
      <c r="A219" s="16"/>
      <c r="B219" s="16"/>
      <c r="C219" s="17"/>
      <c r="D219" s="17"/>
      <c r="E219" s="17"/>
      <c r="F219" s="18"/>
      <c r="G219" s="19" t="str">
        <f aca="true">IF(F219="", "", DATEDIF(F219, TODAY(), "Y"))</f>
        <v/>
      </c>
      <c r="H219" s="18"/>
      <c r="I219" s="18"/>
      <c r="J219" s="19" t="str">
        <f aca="true">IF(ISBLANK(H219), "", I219-TODAY())</f>
        <v/>
      </c>
      <c r="K219" s="19" t="str">
        <f aca="false" t="array" ref="K219:K219">IF(A219&lt;&gt;"",IF(COUNTIF(A220:A$996,"&lt;&gt;")=0,COUNTA(B219:B$996),IFERROR(MATCH(TRUE(),INDEX((A220:A$996&lt;&gt;""),0),0),COUNTA(B219:B$996))),"")</f>
        <v/>
      </c>
      <c r="L219" s="20"/>
    </row>
    <row r="220" customFormat="false" ht="13.8" hidden="false" customHeight="false" outlineLevel="0" collapsed="false">
      <c r="A220" s="16"/>
      <c r="B220" s="16"/>
      <c r="C220" s="17"/>
      <c r="D220" s="17"/>
      <c r="E220" s="17"/>
      <c r="F220" s="18"/>
      <c r="G220" s="19" t="str">
        <f aca="true">IF(F220="", "", DATEDIF(F220, TODAY(), "Y"))</f>
        <v/>
      </c>
      <c r="H220" s="18"/>
      <c r="I220" s="18"/>
      <c r="J220" s="19" t="str">
        <f aca="true">IF(ISBLANK(H220), "", I220-TODAY())</f>
        <v/>
      </c>
      <c r="K220" s="19" t="str">
        <f aca="false" t="array" ref="K220:K220">IF(A220&lt;&gt;"",IF(COUNTIF(A221:A$996,"&lt;&gt;")=0,COUNTA(B220:B$996),IFERROR(MATCH(TRUE(),INDEX((A221:A$996&lt;&gt;""),0),0),COUNTA(B220:B$996))),"")</f>
        <v/>
      </c>
      <c r="L220" s="20"/>
    </row>
    <row r="221" customFormat="false" ht="13.8" hidden="false" customHeight="false" outlineLevel="0" collapsed="false">
      <c r="A221" s="16"/>
      <c r="B221" s="16"/>
      <c r="C221" s="17"/>
      <c r="D221" s="17"/>
      <c r="E221" s="17"/>
      <c r="F221" s="18"/>
      <c r="G221" s="19" t="str">
        <f aca="true">IF(F221="", "", DATEDIF(F221, TODAY(), "Y"))</f>
        <v/>
      </c>
      <c r="H221" s="18"/>
      <c r="I221" s="18"/>
      <c r="J221" s="19" t="str">
        <f aca="true">IF(ISBLANK(H221), "", I221-TODAY())</f>
        <v/>
      </c>
      <c r="K221" s="19" t="str">
        <f aca="false" t="array" ref="K221:K221">IF(A221&lt;&gt;"",IF(COUNTIF(A222:A$996,"&lt;&gt;")=0,COUNTA(B221:B$996),IFERROR(MATCH(TRUE(),INDEX((A222:A$996&lt;&gt;""),0),0),COUNTA(B221:B$996))),"")</f>
        <v/>
      </c>
      <c r="L221" s="20"/>
    </row>
    <row r="222" customFormat="false" ht="13.8" hidden="false" customHeight="false" outlineLevel="0" collapsed="false">
      <c r="A222" s="16"/>
      <c r="B222" s="16"/>
      <c r="C222" s="17"/>
      <c r="D222" s="17"/>
      <c r="E222" s="17"/>
      <c r="F222" s="18"/>
      <c r="G222" s="19" t="str">
        <f aca="true">IF(F222="", "", DATEDIF(F222, TODAY(), "Y"))</f>
        <v/>
      </c>
      <c r="H222" s="18"/>
      <c r="I222" s="18"/>
      <c r="J222" s="19" t="str">
        <f aca="true">IF(ISBLANK(H222), "", I222-TODAY())</f>
        <v/>
      </c>
      <c r="K222" s="19" t="str">
        <f aca="false" t="array" ref="K222:K222">IF(A222&lt;&gt;"",IF(COUNTIF(A223:A$996,"&lt;&gt;")=0,COUNTA(B222:B$996),IFERROR(MATCH(TRUE(),INDEX((A223:A$996&lt;&gt;""),0),0),COUNTA(B222:B$996))),"")</f>
        <v/>
      </c>
      <c r="L222" s="20"/>
    </row>
    <row r="223" customFormat="false" ht="13.8" hidden="false" customHeight="false" outlineLevel="0" collapsed="false">
      <c r="A223" s="16"/>
      <c r="B223" s="16"/>
      <c r="C223" s="17"/>
      <c r="D223" s="17"/>
      <c r="E223" s="17"/>
      <c r="F223" s="18"/>
      <c r="G223" s="19" t="str">
        <f aca="true">IF(F223="", "", DATEDIF(F223, TODAY(), "Y"))</f>
        <v/>
      </c>
      <c r="H223" s="18"/>
      <c r="I223" s="18"/>
      <c r="J223" s="19" t="str">
        <f aca="true">IF(ISBLANK(H223), "", I223-TODAY())</f>
        <v/>
      </c>
      <c r="K223" s="19" t="str">
        <f aca="false" t="array" ref="K223:K223">IF(A223&lt;&gt;"",IF(COUNTIF(A224:A$996,"&lt;&gt;")=0,COUNTA(B223:B$996),IFERROR(MATCH(TRUE(),INDEX((A224:A$996&lt;&gt;""),0),0),COUNTA(B223:B$996))),"")</f>
        <v/>
      </c>
      <c r="L223" s="20"/>
    </row>
    <row r="224" customFormat="false" ht="13.8" hidden="false" customHeight="false" outlineLevel="0" collapsed="false">
      <c r="A224" s="16"/>
      <c r="B224" s="16"/>
      <c r="C224" s="17"/>
      <c r="D224" s="17"/>
      <c r="E224" s="17"/>
      <c r="F224" s="18"/>
      <c r="G224" s="19" t="str">
        <f aca="true">IF(F224="", "", DATEDIF(F224, TODAY(), "Y"))</f>
        <v/>
      </c>
      <c r="H224" s="18"/>
      <c r="I224" s="18"/>
      <c r="J224" s="19" t="str">
        <f aca="true">IF(ISBLANK(H224), "", I224-TODAY())</f>
        <v/>
      </c>
      <c r="K224" s="19" t="str">
        <f aca="false" t="array" ref="K224:K224">IF(A224&lt;&gt;"",IF(COUNTIF(A225:A$996,"&lt;&gt;")=0,COUNTA(B224:B$996),IFERROR(MATCH(TRUE(),INDEX((A225:A$996&lt;&gt;""),0),0),COUNTA(B224:B$996))),"")</f>
        <v/>
      </c>
      <c r="L224" s="20"/>
    </row>
    <row r="225" customFormat="false" ht="13.8" hidden="false" customHeight="false" outlineLevel="0" collapsed="false">
      <c r="A225" s="16"/>
      <c r="B225" s="16"/>
      <c r="C225" s="17"/>
      <c r="D225" s="17"/>
      <c r="E225" s="17"/>
      <c r="F225" s="18"/>
      <c r="G225" s="19" t="str">
        <f aca="true">IF(F225="", "", DATEDIF(F225, TODAY(), "Y"))</f>
        <v/>
      </c>
      <c r="H225" s="18"/>
      <c r="I225" s="18"/>
      <c r="J225" s="19" t="str">
        <f aca="true">IF(ISBLANK(H225), "", I225-TODAY())</f>
        <v/>
      </c>
      <c r="K225" s="19" t="str">
        <f aca="false" t="array" ref="K225:K225">IF(A225&lt;&gt;"",IF(COUNTIF(A226:A$996,"&lt;&gt;")=0,COUNTA(B225:B$996),IFERROR(MATCH(TRUE(),INDEX((A226:A$996&lt;&gt;""),0),0),COUNTA(B225:B$996))),"")</f>
        <v/>
      </c>
      <c r="L225" s="20"/>
    </row>
    <row r="226" customFormat="false" ht="13.8" hidden="false" customHeight="false" outlineLevel="0" collapsed="false">
      <c r="A226" s="16"/>
      <c r="B226" s="16"/>
      <c r="C226" s="17"/>
      <c r="D226" s="17"/>
      <c r="E226" s="17"/>
      <c r="F226" s="18"/>
      <c r="G226" s="19" t="str">
        <f aca="true">IF(F226="", "", DATEDIF(F226, TODAY(), "Y"))</f>
        <v/>
      </c>
      <c r="H226" s="18"/>
      <c r="I226" s="18"/>
      <c r="J226" s="19" t="str">
        <f aca="true">IF(ISBLANK(H226), "", I226-TODAY())</f>
        <v/>
      </c>
      <c r="K226" s="19" t="str">
        <f aca="false" t="array" ref="K226:K226">IF(A226&lt;&gt;"",IF(COUNTIF(A227:A$996,"&lt;&gt;")=0,COUNTA(B226:B$996),IFERROR(MATCH(TRUE(),INDEX((A227:A$996&lt;&gt;""),0),0),COUNTA(B226:B$996))),"")</f>
        <v/>
      </c>
      <c r="L226" s="20"/>
    </row>
    <row r="227" customFormat="false" ht="13.8" hidden="false" customHeight="false" outlineLevel="0" collapsed="false">
      <c r="A227" s="16"/>
      <c r="B227" s="16"/>
      <c r="C227" s="17"/>
      <c r="D227" s="17"/>
      <c r="E227" s="17"/>
      <c r="F227" s="18"/>
      <c r="G227" s="19" t="str">
        <f aca="true">IF(F227="", "", DATEDIF(F227, TODAY(), "Y"))</f>
        <v/>
      </c>
      <c r="H227" s="18"/>
      <c r="I227" s="18"/>
      <c r="J227" s="19" t="str">
        <f aca="true">IF(ISBLANK(H227), "", I227-TODAY())</f>
        <v/>
      </c>
      <c r="K227" s="19" t="str">
        <f aca="false" t="array" ref="K227:K227">IF(A227&lt;&gt;"",IF(COUNTIF(A228:A$996,"&lt;&gt;")=0,COUNTA(B227:B$996),IFERROR(MATCH(TRUE(),INDEX((A228:A$996&lt;&gt;""),0),0),COUNTA(B227:B$996))),"")</f>
        <v/>
      </c>
      <c r="L227" s="20"/>
    </row>
    <row r="228" customFormat="false" ht="13.8" hidden="false" customHeight="false" outlineLevel="0" collapsed="false">
      <c r="A228" s="16"/>
      <c r="B228" s="16"/>
      <c r="C228" s="17"/>
      <c r="D228" s="17"/>
      <c r="E228" s="17"/>
      <c r="F228" s="18"/>
      <c r="G228" s="19" t="str">
        <f aca="true">IF(F228="", "", DATEDIF(F228, TODAY(), "Y"))</f>
        <v/>
      </c>
      <c r="H228" s="18"/>
      <c r="I228" s="18"/>
      <c r="J228" s="19" t="str">
        <f aca="true">IF(ISBLANK(H228), "", I228-TODAY())</f>
        <v/>
      </c>
      <c r="K228" s="19" t="str">
        <f aca="false" t="array" ref="K228:K228">IF(A228&lt;&gt;"",IF(COUNTIF(A229:A$996,"&lt;&gt;")=0,COUNTA(B228:B$996),IFERROR(MATCH(TRUE(),INDEX((A229:A$996&lt;&gt;""),0),0),COUNTA(B228:B$996))),"")</f>
        <v/>
      </c>
      <c r="L228" s="20"/>
    </row>
    <row r="229" customFormat="false" ht="13.8" hidden="false" customHeight="false" outlineLevel="0" collapsed="false">
      <c r="A229" s="16"/>
      <c r="B229" s="16"/>
      <c r="C229" s="17"/>
      <c r="D229" s="17"/>
      <c r="E229" s="17"/>
      <c r="F229" s="18"/>
      <c r="G229" s="19" t="str">
        <f aca="true">IF(F229="", "", DATEDIF(F229, TODAY(), "Y"))</f>
        <v/>
      </c>
      <c r="H229" s="18"/>
      <c r="I229" s="18"/>
      <c r="J229" s="19" t="str">
        <f aca="true">IF(ISBLANK(H229), "", I229-TODAY())</f>
        <v/>
      </c>
      <c r="K229" s="19" t="str">
        <f aca="false" t="array" ref="K229:K229">IF(A229&lt;&gt;"",IF(COUNTIF(A230:A$996,"&lt;&gt;")=0,COUNTA(B229:B$996),IFERROR(MATCH(TRUE(),INDEX((A230:A$996&lt;&gt;""),0),0),COUNTA(B229:B$996))),"")</f>
        <v/>
      </c>
      <c r="L229" s="20"/>
    </row>
    <row r="230" customFormat="false" ht="13.8" hidden="false" customHeight="false" outlineLevel="0" collapsed="false">
      <c r="A230" s="16"/>
      <c r="B230" s="16"/>
      <c r="C230" s="17"/>
      <c r="D230" s="17"/>
      <c r="E230" s="17"/>
      <c r="F230" s="18"/>
      <c r="G230" s="19" t="str">
        <f aca="true">IF(F230="", "", DATEDIF(F230, TODAY(), "Y"))</f>
        <v/>
      </c>
      <c r="H230" s="18"/>
      <c r="I230" s="18"/>
      <c r="J230" s="19" t="str">
        <f aca="true">IF(ISBLANK(H230), "", I230-TODAY())</f>
        <v/>
      </c>
      <c r="K230" s="19" t="str">
        <f aca="false" t="array" ref="K230:K230">IF(A230&lt;&gt;"",IF(COUNTIF(A231:A$996,"&lt;&gt;")=0,COUNTA(B230:B$996),IFERROR(MATCH(TRUE(),INDEX((A231:A$996&lt;&gt;""),0),0),COUNTA(B230:B$996))),"")</f>
        <v/>
      </c>
      <c r="L230" s="20"/>
    </row>
    <row r="231" customFormat="false" ht="13.8" hidden="false" customHeight="false" outlineLevel="0" collapsed="false">
      <c r="A231" s="16"/>
      <c r="B231" s="16"/>
      <c r="C231" s="17"/>
      <c r="D231" s="17"/>
      <c r="E231" s="17"/>
      <c r="F231" s="18"/>
      <c r="G231" s="19" t="str">
        <f aca="true">IF(F231="", "", DATEDIF(F231, TODAY(), "Y"))</f>
        <v/>
      </c>
      <c r="H231" s="18"/>
      <c r="I231" s="18"/>
      <c r="J231" s="19" t="str">
        <f aca="true">IF(ISBLANK(H231), "", I231-TODAY())</f>
        <v/>
      </c>
      <c r="K231" s="19" t="str">
        <f aca="false" t="array" ref="K231:K231">IF(A231&lt;&gt;"",IF(COUNTIF(A232:A$996,"&lt;&gt;")=0,COUNTA(B231:B$996),IFERROR(MATCH(TRUE(),INDEX((A232:A$996&lt;&gt;""),0),0),COUNTA(B231:B$996))),"")</f>
        <v/>
      </c>
      <c r="L231" s="20"/>
    </row>
    <row r="232" customFormat="false" ht="13.8" hidden="false" customHeight="false" outlineLevel="0" collapsed="false">
      <c r="A232" s="16"/>
      <c r="B232" s="16"/>
      <c r="C232" s="17"/>
      <c r="D232" s="17"/>
      <c r="E232" s="17"/>
      <c r="F232" s="18"/>
      <c r="G232" s="19" t="str">
        <f aca="true">IF(F232="", "", DATEDIF(F232, TODAY(), "Y"))</f>
        <v/>
      </c>
      <c r="H232" s="18"/>
      <c r="I232" s="18"/>
      <c r="J232" s="19" t="str">
        <f aca="true">IF(ISBLANK(H232), "", I232-TODAY())</f>
        <v/>
      </c>
      <c r="K232" s="19" t="str">
        <f aca="false" t="array" ref="K232:K232">IF(A232&lt;&gt;"",IF(COUNTIF(A233:A$996,"&lt;&gt;")=0,COUNTA(B232:B$996),IFERROR(MATCH(TRUE(),INDEX((A233:A$996&lt;&gt;""),0),0),COUNTA(B232:B$996))),"")</f>
        <v/>
      </c>
      <c r="L232" s="20"/>
    </row>
    <row r="233" customFormat="false" ht="13.8" hidden="false" customHeight="false" outlineLevel="0" collapsed="false">
      <c r="A233" s="16"/>
      <c r="B233" s="16"/>
      <c r="C233" s="17"/>
      <c r="D233" s="17"/>
      <c r="E233" s="17"/>
      <c r="F233" s="18"/>
      <c r="G233" s="19" t="str">
        <f aca="true">IF(F233="", "", DATEDIF(F233, TODAY(), "Y"))</f>
        <v/>
      </c>
      <c r="H233" s="18"/>
      <c r="I233" s="18"/>
      <c r="J233" s="19" t="str">
        <f aca="true">IF(ISBLANK(H233), "", I233-TODAY())</f>
        <v/>
      </c>
      <c r="K233" s="19" t="str">
        <f aca="false" t="array" ref="K233:K233">IF(A233&lt;&gt;"",IF(COUNTIF(A234:A$996,"&lt;&gt;")=0,COUNTA(B233:B$996),IFERROR(MATCH(TRUE(),INDEX((A234:A$996&lt;&gt;""),0),0),COUNTA(B233:B$996))),"")</f>
        <v/>
      </c>
      <c r="L233" s="20"/>
    </row>
    <row r="234" customFormat="false" ht="13.8" hidden="false" customHeight="false" outlineLevel="0" collapsed="false">
      <c r="A234" s="16"/>
      <c r="B234" s="16"/>
      <c r="C234" s="17"/>
      <c r="D234" s="17"/>
      <c r="E234" s="17"/>
      <c r="F234" s="18"/>
      <c r="G234" s="19" t="str">
        <f aca="true">IF(F234="", "", DATEDIF(F234, TODAY(), "Y"))</f>
        <v/>
      </c>
      <c r="H234" s="18"/>
      <c r="I234" s="18"/>
      <c r="J234" s="19" t="str">
        <f aca="true">IF(ISBLANK(H234), "", I234-TODAY())</f>
        <v/>
      </c>
      <c r="K234" s="19" t="str">
        <f aca="false" t="array" ref="K234:K234">IF(A234&lt;&gt;"",IF(COUNTIF(A235:A$996,"&lt;&gt;")=0,COUNTA(B234:B$996),IFERROR(MATCH(TRUE(),INDEX((A235:A$996&lt;&gt;""),0),0),COUNTA(B234:B$996))),"")</f>
        <v/>
      </c>
      <c r="L234" s="20"/>
    </row>
    <row r="235" customFormat="false" ht="13.8" hidden="false" customHeight="false" outlineLevel="0" collapsed="false">
      <c r="A235" s="16"/>
      <c r="B235" s="16"/>
      <c r="C235" s="17"/>
      <c r="D235" s="17"/>
      <c r="E235" s="17"/>
      <c r="F235" s="18"/>
      <c r="G235" s="19" t="str">
        <f aca="true">IF(F235="", "", DATEDIF(F235, TODAY(), "Y"))</f>
        <v/>
      </c>
      <c r="H235" s="18"/>
      <c r="I235" s="18"/>
      <c r="J235" s="19" t="str">
        <f aca="true">IF(ISBLANK(H235), "", I235-TODAY())</f>
        <v/>
      </c>
      <c r="K235" s="19" t="str">
        <f aca="false" t="array" ref="K235:K235">IF(A235&lt;&gt;"",IF(COUNTIF(A236:A$996,"&lt;&gt;")=0,COUNTA(B235:B$996),IFERROR(MATCH(TRUE(),INDEX((A236:A$996&lt;&gt;""),0),0),COUNTA(B235:B$996))),"")</f>
        <v/>
      </c>
      <c r="L235" s="20"/>
    </row>
    <row r="236" customFormat="false" ht="13.8" hidden="false" customHeight="false" outlineLevel="0" collapsed="false">
      <c r="A236" s="16"/>
      <c r="B236" s="16"/>
      <c r="C236" s="17"/>
      <c r="D236" s="17"/>
      <c r="E236" s="17"/>
      <c r="F236" s="18"/>
      <c r="G236" s="19" t="str">
        <f aca="true">IF(F236="", "", DATEDIF(F236, TODAY(), "Y"))</f>
        <v/>
      </c>
      <c r="H236" s="18"/>
      <c r="I236" s="18"/>
      <c r="J236" s="19" t="str">
        <f aca="true">IF(ISBLANK(H236), "", I236-TODAY())</f>
        <v/>
      </c>
      <c r="K236" s="19" t="str">
        <f aca="false" t="array" ref="K236:K236">IF(A236&lt;&gt;"",IF(COUNTIF(A237:A$996,"&lt;&gt;")=0,COUNTA(B236:B$996),IFERROR(MATCH(TRUE(),INDEX((A237:A$996&lt;&gt;""),0),0),COUNTA(B236:B$996))),"")</f>
        <v/>
      </c>
      <c r="L236" s="20"/>
    </row>
    <row r="237" customFormat="false" ht="13.8" hidden="false" customHeight="false" outlineLevel="0" collapsed="false">
      <c r="A237" s="16"/>
      <c r="B237" s="16"/>
      <c r="C237" s="17"/>
      <c r="D237" s="17"/>
      <c r="E237" s="17"/>
      <c r="F237" s="18"/>
      <c r="G237" s="19" t="str">
        <f aca="true">IF(F237="", "", DATEDIF(F237, TODAY(), "Y"))</f>
        <v/>
      </c>
      <c r="H237" s="18"/>
      <c r="I237" s="18"/>
      <c r="J237" s="19" t="str">
        <f aca="true">IF(ISBLANK(H237), "", I237-TODAY())</f>
        <v/>
      </c>
      <c r="K237" s="19" t="str">
        <f aca="false" t="array" ref="K237:K237">IF(A237&lt;&gt;"",IF(COUNTIF(A238:A$996,"&lt;&gt;")=0,COUNTA(B237:B$996),IFERROR(MATCH(TRUE(),INDEX((A238:A$996&lt;&gt;""),0),0),COUNTA(B237:B$996))),"")</f>
        <v/>
      </c>
      <c r="L237" s="20"/>
    </row>
    <row r="238" customFormat="false" ht="13.8" hidden="false" customHeight="false" outlineLevel="0" collapsed="false">
      <c r="A238" s="16"/>
      <c r="B238" s="16"/>
      <c r="C238" s="17"/>
      <c r="D238" s="17"/>
      <c r="E238" s="17"/>
      <c r="F238" s="18"/>
      <c r="G238" s="19" t="str">
        <f aca="true">IF(F238="", "", DATEDIF(F238, TODAY(), "Y"))</f>
        <v/>
      </c>
      <c r="H238" s="18"/>
      <c r="I238" s="18"/>
      <c r="J238" s="19" t="str">
        <f aca="true">IF(ISBLANK(H238), "", I238-TODAY())</f>
        <v/>
      </c>
      <c r="K238" s="19" t="str">
        <f aca="false" t="array" ref="K238:K238">IF(A238&lt;&gt;"",IF(COUNTIF(A239:A$996,"&lt;&gt;")=0,COUNTA(B238:B$996),IFERROR(MATCH(TRUE(),INDEX((A239:A$996&lt;&gt;""),0),0),COUNTA(B238:B$996))),"")</f>
        <v/>
      </c>
      <c r="L238" s="20"/>
    </row>
    <row r="239" customFormat="false" ht="13.8" hidden="false" customHeight="false" outlineLevel="0" collapsed="false">
      <c r="A239" s="16"/>
      <c r="B239" s="16"/>
      <c r="C239" s="17"/>
      <c r="D239" s="17"/>
      <c r="E239" s="17"/>
      <c r="F239" s="18"/>
      <c r="G239" s="19" t="str">
        <f aca="true">IF(F239="", "", DATEDIF(F239, TODAY(), "Y"))</f>
        <v/>
      </c>
      <c r="H239" s="18"/>
      <c r="I239" s="18"/>
      <c r="J239" s="19" t="str">
        <f aca="true">IF(ISBLANK(H239), "", I239-TODAY())</f>
        <v/>
      </c>
      <c r="K239" s="19" t="str">
        <f aca="false" t="array" ref="K239:K239">IF(A239&lt;&gt;"",IF(COUNTIF(A240:A$996,"&lt;&gt;")=0,COUNTA(B239:B$996),IFERROR(MATCH(TRUE(),INDEX((A240:A$996&lt;&gt;""),0),0),COUNTA(B239:B$996))),"")</f>
        <v/>
      </c>
      <c r="L239" s="20"/>
    </row>
    <row r="240" customFormat="false" ht="13.8" hidden="false" customHeight="false" outlineLevel="0" collapsed="false">
      <c r="A240" s="16"/>
      <c r="B240" s="16"/>
      <c r="C240" s="17"/>
      <c r="D240" s="17"/>
      <c r="E240" s="17"/>
      <c r="F240" s="18"/>
      <c r="G240" s="19" t="str">
        <f aca="true">IF(F240="", "", DATEDIF(F240, TODAY(), "Y"))</f>
        <v/>
      </c>
      <c r="H240" s="18"/>
      <c r="I240" s="18"/>
      <c r="J240" s="19" t="str">
        <f aca="true">IF(ISBLANK(H240), "", I240-TODAY())</f>
        <v/>
      </c>
      <c r="K240" s="19" t="str">
        <f aca="false" t="array" ref="K240:K240">IF(A240&lt;&gt;"",IF(COUNTIF(A241:A$996,"&lt;&gt;")=0,COUNTA(B240:B$996),IFERROR(MATCH(TRUE(),INDEX((A241:A$996&lt;&gt;""),0),0),COUNTA(B240:B$996))),"")</f>
        <v/>
      </c>
      <c r="L240" s="20"/>
    </row>
    <row r="241" customFormat="false" ht="13.8" hidden="false" customHeight="false" outlineLevel="0" collapsed="false">
      <c r="A241" s="16"/>
      <c r="B241" s="16"/>
      <c r="C241" s="17"/>
      <c r="D241" s="17"/>
      <c r="E241" s="17"/>
      <c r="F241" s="18"/>
      <c r="G241" s="19" t="str">
        <f aca="true">IF(F241="", "", DATEDIF(F241, TODAY(), "Y"))</f>
        <v/>
      </c>
      <c r="H241" s="18"/>
      <c r="I241" s="18"/>
      <c r="J241" s="19" t="str">
        <f aca="true">IF(ISBLANK(H241), "", I241-TODAY())</f>
        <v/>
      </c>
      <c r="K241" s="19" t="str">
        <f aca="false" t="array" ref="K241:K241">IF(A241&lt;&gt;"",IF(COUNTIF(A242:A$996,"&lt;&gt;")=0,COUNTA(B241:B$996),IFERROR(MATCH(TRUE(),INDEX((A242:A$996&lt;&gt;""),0),0),COUNTA(B241:B$996))),"")</f>
        <v/>
      </c>
      <c r="L241" s="20"/>
    </row>
    <row r="242" customFormat="false" ht="13.8" hidden="false" customHeight="false" outlineLevel="0" collapsed="false">
      <c r="A242" s="16"/>
      <c r="B242" s="16"/>
      <c r="C242" s="17"/>
      <c r="D242" s="17"/>
      <c r="E242" s="17"/>
      <c r="F242" s="18"/>
      <c r="G242" s="19" t="str">
        <f aca="true">IF(F242="", "", DATEDIF(F242, TODAY(), "Y"))</f>
        <v/>
      </c>
      <c r="H242" s="18"/>
      <c r="I242" s="18"/>
      <c r="J242" s="19" t="str">
        <f aca="true">IF(ISBLANK(H242), "", I242-TODAY())</f>
        <v/>
      </c>
      <c r="K242" s="19" t="str">
        <f aca="false" t="array" ref="K242:K242">IF(A242&lt;&gt;"",IF(COUNTIF(A243:A$996,"&lt;&gt;")=0,COUNTA(B242:B$996),IFERROR(MATCH(TRUE(),INDEX((A243:A$996&lt;&gt;""),0),0),COUNTA(B242:B$996))),"")</f>
        <v/>
      </c>
      <c r="L242" s="20"/>
    </row>
    <row r="243" customFormat="false" ht="13.8" hidden="false" customHeight="false" outlineLevel="0" collapsed="false">
      <c r="A243" s="16"/>
      <c r="B243" s="16"/>
      <c r="C243" s="17"/>
      <c r="D243" s="17"/>
      <c r="E243" s="17"/>
      <c r="F243" s="18"/>
      <c r="G243" s="19" t="str">
        <f aca="true">IF(F243="", "", DATEDIF(F243, TODAY(), "Y"))</f>
        <v/>
      </c>
      <c r="H243" s="18"/>
      <c r="I243" s="18"/>
      <c r="J243" s="19" t="str">
        <f aca="true">IF(ISBLANK(H243), "", I243-TODAY())</f>
        <v/>
      </c>
      <c r="K243" s="19" t="str">
        <f aca="false" t="array" ref="K243:K243">IF(A243&lt;&gt;"",IF(COUNTIF(A244:A$996,"&lt;&gt;")=0,COUNTA(B243:B$996),IFERROR(MATCH(TRUE(),INDEX((A244:A$996&lt;&gt;""),0),0),COUNTA(B243:B$996))),"")</f>
        <v/>
      </c>
      <c r="L243" s="20"/>
    </row>
    <row r="244" customFormat="false" ht="13.8" hidden="false" customHeight="false" outlineLevel="0" collapsed="false">
      <c r="A244" s="16"/>
      <c r="B244" s="16"/>
      <c r="C244" s="17"/>
      <c r="D244" s="17"/>
      <c r="E244" s="17"/>
      <c r="F244" s="18"/>
      <c r="G244" s="19" t="str">
        <f aca="true">IF(F244="", "", DATEDIF(F244, TODAY(), "Y"))</f>
        <v/>
      </c>
      <c r="H244" s="18"/>
      <c r="I244" s="18"/>
      <c r="J244" s="19" t="str">
        <f aca="true">IF(ISBLANK(H244), "", I244-TODAY())</f>
        <v/>
      </c>
      <c r="K244" s="19" t="str">
        <f aca="false" t="array" ref="K244:K244">IF(A244&lt;&gt;"",IF(COUNTIF(A245:A$996,"&lt;&gt;")=0,COUNTA(B244:B$996),IFERROR(MATCH(TRUE(),INDEX((A245:A$996&lt;&gt;""),0),0),COUNTA(B244:B$996))),"")</f>
        <v/>
      </c>
      <c r="L244" s="20"/>
    </row>
    <row r="245" customFormat="false" ht="13.8" hidden="false" customHeight="false" outlineLevel="0" collapsed="false">
      <c r="A245" s="16"/>
      <c r="B245" s="16"/>
      <c r="C245" s="17"/>
      <c r="D245" s="17"/>
      <c r="E245" s="17"/>
      <c r="F245" s="18"/>
      <c r="G245" s="19" t="str">
        <f aca="true">IF(F245="", "", DATEDIF(F245, TODAY(), "Y"))</f>
        <v/>
      </c>
      <c r="H245" s="18"/>
      <c r="I245" s="18"/>
      <c r="J245" s="19" t="str">
        <f aca="true">IF(ISBLANK(H245), "", I245-TODAY())</f>
        <v/>
      </c>
      <c r="K245" s="19" t="str">
        <f aca="false" t="array" ref="K245:K245">IF(A245&lt;&gt;"",IF(COUNTIF(A246:A$996,"&lt;&gt;")=0,COUNTA(B245:B$996),IFERROR(MATCH(TRUE(),INDEX((A246:A$996&lt;&gt;""),0),0),COUNTA(B245:B$996))),"")</f>
        <v/>
      </c>
      <c r="L245" s="20"/>
    </row>
    <row r="246" customFormat="false" ht="13.8" hidden="false" customHeight="false" outlineLevel="0" collapsed="false">
      <c r="A246" s="16"/>
      <c r="B246" s="16"/>
      <c r="C246" s="17"/>
      <c r="D246" s="17"/>
      <c r="E246" s="17"/>
      <c r="F246" s="18"/>
      <c r="G246" s="19" t="str">
        <f aca="true">IF(F246="", "", DATEDIF(F246, TODAY(), "Y"))</f>
        <v/>
      </c>
      <c r="H246" s="18"/>
      <c r="I246" s="18"/>
      <c r="J246" s="19" t="str">
        <f aca="true">IF(ISBLANK(H246), "", I246-TODAY())</f>
        <v/>
      </c>
      <c r="K246" s="19" t="str">
        <f aca="false" t="array" ref="K246:K246">IF(A246&lt;&gt;"",IF(COUNTIF(A247:A$996,"&lt;&gt;")=0,COUNTA(B246:B$996),IFERROR(MATCH(TRUE(),INDEX((A247:A$996&lt;&gt;""),0),0),COUNTA(B246:B$996))),"")</f>
        <v/>
      </c>
      <c r="L246" s="20"/>
    </row>
    <row r="247" customFormat="false" ht="13.8" hidden="false" customHeight="false" outlineLevel="0" collapsed="false">
      <c r="A247" s="16"/>
      <c r="B247" s="16"/>
      <c r="C247" s="17"/>
      <c r="D247" s="17"/>
      <c r="E247" s="17"/>
      <c r="F247" s="18"/>
      <c r="G247" s="19" t="str">
        <f aca="true">IF(F247="", "", DATEDIF(F247, TODAY(), "Y"))</f>
        <v/>
      </c>
      <c r="H247" s="18"/>
      <c r="I247" s="18"/>
      <c r="J247" s="19" t="str">
        <f aca="true">IF(ISBLANK(H247), "", I247-TODAY())</f>
        <v/>
      </c>
      <c r="K247" s="19" t="str">
        <f aca="false" t="array" ref="K247:K247">IF(A247&lt;&gt;"",IF(COUNTIF(A248:A$996,"&lt;&gt;")=0,COUNTA(B247:B$996),IFERROR(MATCH(TRUE(),INDEX((A248:A$996&lt;&gt;""),0),0),COUNTA(B247:B$996))),"")</f>
        <v/>
      </c>
      <c r="L247" s="20"/>
    </row>
    <row r="248" customFormat="false" ht="13.8" hidden="false" customHeight="false" outlineLevel="0" collapsed="false">
      <c r="A248" s="16"/>
      <c r="B248" s="16"/>
      <c r="C248" s="17"/>
      <c r="D248" s="17"/>
      <c r="E248" s="17"/>
      <c r="F248" s="18"/>
      <c r="G248" s="19" t="str">
        <f aca="true">IF(F248="", "", DATEDIF(F248, TODAY(), "Y"))</f>
        <v/>
      </c>
      <c r="H248" s="18"/>
      <c r="I248" s="18"/>
      <c r="J248" s="19" t="str">
        <f aca="true">IF(ISBLANK(H248), "", I248-TODAY())</f>
        <v/>
      </c>
      <c r="K248" s="19" t="str">
        <f aca="false" t="array" ref="K248:K248">IF(A248&lt;&gt;"",IF(COUNTIF(A249:A$996,"&lt;&gt;")=0,COUNTA(B248:B$996),IFERROR(MATCH(TRUE(),INDEX((A249:A$996&lt;&gt;""),0),0),COUNTA(B248:B$996))),"")</f>
        <v/>
      </c>
      <c r="L248" s="20"/>
    </row>
    <row r="249" customFormat="false" ht="13.8" hidden="false" customHeight="false" outlineLevel="0" collapsed="false">
      <c r="A249" s="16"/>
      <c r="B249" s="16"/>
      <c r="C249" s="17"/>
      <c r="D249" s="17"/>
      <c r="E249" s="17"/>
      <c r="F249" s="18"/>
      <c r="G249" s="19" t="str">
        <f aca="true">IF(F249="", "", DATEDIF(F249, TODAY(), "Y"))</f>
        <v/>
      </c>
      <c r="H249" s="18"/>
      <c r="I249" s="18"/>
      <c r="J249" s="19" t="str">
        <f aca="true">IF(ISBLANK(H249), "", I249-TODAY())</f>
        <v/>
      </c>
      <c r="K249" s="19" t="str">
        <f aca="false" t="array" ref="K249:K249">IF(A249&lt;&gt;"",IF(COUNTIF(A250:A$996,"&lt;&gt;")=0,COUNTA(B249:B$996),IFERROR(MATCH(TRUE(),INDEX((A250:A$996&lt;&gt;""),0),0),COUNTA(B249:B$996))),"")</f>
        <v/>
      </c>
      <c r="L249" s="20"/>
    </row>
    <row r="250" customFormat="false" ht="13.8" hidden="false" customHeight="false" outlineLevel="0" collapsed="false">
      <c r="A250" s="16"/>
      <c r="B250" s="16"/>
      <c r="C250" s="17"/>
      <c r="D250" s="17"/>
      <c r="E250" s="17"/>
      <c r="F250" s="18"/>
      <c r="G250" s="19" t="str">
        <f aca="true">IF(F250="", "", DATEDIF(F250, TODAY(), "Y"))</f>
        <v/>
      </c>
      <c r="H250" s="18"/>
      <c r="I250" s="18"/>
      <c r="J250" s="19" t="str">
        <f aca="true">IF(ISBLANK(H250), "", I250-TODAY())</f>
        <v/>
      </c>
      <c r="K250" s="19" t="str">
        <f aca="false" t="array" ref="K250:K250">IF(A250&lt;&gt;"",IF(COUNTIF(A251:A$996,"&lt;&gt;")=0,COUNTA(B250:B$996),IFERROR(MATCH(TRUE(),INDEX((A251:A$996&lt;&gt;""),0),0),COUNTA(B250:B$996))),"")</f>
        <v/>
      </c>
      <c r="L250" s="20"/>
    </row>
    <row r="251" customFormat="false" ht="13.8" hidden="false" customHeight="false" outlineLevel="0" collapsed="false">
      <c r="A251" s="16"/>
      <c r="B251" s="16"/>
      <c r="C251" s="17"/>
      <c r="D251" s="17"/>
      <c r="E251" s="17"/>
      <c r="F251" s="18"/>
      <c r="G251" s="19" t="str">
        <f aca="true">IF(F251="", "", DATEDIF(F251, TODAY(), "Y"))</f>
        <v/>
      </c>
      <c r="H251" s="18"/>
      <c r="I251" s="18"/>
      <c r="J251" s="19" t="str">
        <f aca="true">IF(ISBLANK(H251), "", I251-TODAY())</f>
        <v/>
      </c>
      <c r="K251" s="19" t="str">
        <f aca="false" t="array" ref="K251:K251">IF(A251&lt;&gt;"",IF(COUNTIF(A252:A$996,"&lt;&gt;")=0,COUNTA(B251:B$996),IFERROR(MATCH(TRUE(),INDEX((A252:A$996&lt;&gt;""),0),0),COUNTA(B251:B$996))),"")</f>
        <v/>
      </c>
      <c r="L251" s="20"/>
    </row>
    <row r="252" customFormat="false" ht="13.8" hidden="false" customHeight="false" outlineLevel="0" collapsed="false">
      <c r="A252" s="16"/>
      <c r="B252" s="16"/>
      <c r="C252" s="17"/>
      <c r="D252" s="17"/>
      <c r="E252" s="17"/>
      <c r="F252" s="18"/>
      <c r="G252" s="19" t="str">
        <f aca="true">IF(F252="", "", DATEDIF(F252, TODAY(), "Y"))</f>
        <v/>
      </c>
      <c r="H252" s="18"/>
      <c r="I252" s="18"/>
      <c r="J252" s="19" t="str">
        <f aca="true">IF(ISBLANK(H252), "", I252-TODAY())</f>
        <v/>
      </c>
      <c r="K252" s="19" t="str">
        <f aca="false" t="array" ref="K252:K252">IF(A252&lt;&gt;"",IF(COUNTIF(A253:A$996,"&lt;&gt;")=0,COUNTA(B252:B$996),IFERROR(MATCH(TRUE(),INDEX((A253:A$996&lt;&gt;""),0),0),COUNTA(B252:B$996))),"")</f>
        <v/>
      </c>
      <c r="L252" s="20"/>
    </row>
    <row r="253" customFormat="false" ht="13.8" hidden="false" customHeight="false" outlineLevel="0" collapsed="false">
      <c r="A253" s="16"/>
      <c r="B253" s="16"/>
      <c r="C253" s="17"/>
      <c r="D253" s="17"/>
      <c r="E253" s="17"/>
      <c r="F253" s="18"/>
      <c r="G253" s="19" t="str">
        <f aca="true">IF(F253="", "", DATEDIF(F253, TODAY(), "Y"))</f>
        <v/>
      </c>
      <c r="H253" s="18"/>
      <c r="I253" s="18"/>
      <c r="J253" s="19" t="str">
        <f aca="true">IF(ISBLANK(H253), "", I253-TODAY())</f>
        <v/>
      </c>
      <c r="K253" s="19" t="str">
        <f aca="false" t="array" ref="K253:K253">IF(A253&lt;&gt;"",IF(COUNTIF(A254:A$996,"&lt;&gt;")=0,COUNTA(B253:B$996),IFERROR(MATCH(TRUE(),INDEX((A254:A$996&lt;&gt;""),0),0),COUNTA(B253:B$996))),"")</f>
        <v/>
      </c>
      <c r="L253" s="20"/>
    </row>
    <row r="254" customFormat="false" ht="13.8" hidden="false" customHeight="false" outlineLevel="0" collapsed="false">
      <c r="A254" s="16"/>
      <c r="B254" s="16"/>
      <c r="C254" s="17"/>
      <c r="D254" s="17"/>
      <c r="E254" s="17"/>
      <c r="F254" s="18"/>
      <c r="G254" s="19" t="str">
        <f aca="true">IF(F254="", "", DATEDIF(F254, TODAY(), "Y"))</f>
        <v/>
      </c>
      <c r="H254" s="18"/>
      <c r="I254" s="18"/>
      <c r="J254" s="19" t="str">
        <f aca="true">IF(ISBLANK(H254), "", I254-TODAY())</f>
        <v/>
      </c>
      <c r="K254" s="19" t="str">
        <f aca="false" t="array" ref="K254:K254">IF(A254&lt;&gt;"",IF(COUNTIF(A255:A$996,"&lt;&gt;")=0,COUNTA(B254:B$996),IFERROR(MATCH(TRUE(),INDEX((A255:A$996&lt;&gt;""),0),0),COUNTA(B254:B$996))),"")</f>
        <v/>
      </c>
      <c r="L254" s="20"/>
    </row>
    <row r="255" customFormat="false" ht="13.8" hidden="false" customHeight="false" outlineLevel="0" collapsed="false">
      <c r="A255" s="16"/>
      <c r="B255" s="16"/>
      <c r="C255" s="17"/>
      <c r="D255" s="17"/>
      <c r="E255" s="17"/>
      <c r="F255" s="18"/>
      <c r="G255" s="19" t="str">
        <f aca="true">IF(F255="", "", DATEDIF(F255, TODAY(), "Y"))</f>
        <v/>
      </c>
      <c r="H255" s="18"/>
      <c r="I255" s="18"/>
      <c r="J255" s="19" t="str">
        <f aca="true">IF(ISBLANK(H255), "", I255-TODAY())</f>
        <v/>
      </c>
      <c r="K255" s="19" t="str">
        <f aca="false" t="array" ref="K255:K255">IF(A255&lt;&gt;"",IF(COUNTIF(A256:A$996,"&lt;&gt;")=0,COUNTA(B255:B$996),IFERROR(MATCH(TRUE(),INDEX((A256:A$996&lt;&gt;""),0),0),COUNTA(B255:B$996))),"")</f>
        <v/>
      </c>
      <c r="L255" s="20"/>
    </row>
    <row r="256" customFormat="false" ht="13.8" hidden="false" customHeight="false" outlineLevel="0" collapsed="false">
      <c r="A256" s="16"/>
      <c r="B256" s="16"/>
      <c r="C256" s="17"/>
      <c r="D256" s="17"/>
      <c r="E256" s="17"/>
      <c r="F256" s="18"/>
      <c r="G256" s="19" t="str">
        <f aca="true">IF(F256="", "", DATEDIF(F256, TODAY(), "Y"))</f>
        <v/>
      </c>
      <c r="H256" s="18"/>
      <c r="I256" s="18"/>
      <c r="J256" s="19" t="str">
        <f aca="true">IF(ISBLANK(H256), "", I256-TODAY())</f>
        <v/>
      </c>
      <c r="K256" s="19" t="str">
        <f aca="false" t="array" ref="K256:K256">IF(A256&lt;&gt;"",IF(COUNTIF(A257:A$996,"&lt;&gt;")=0,COUNTA(B256:B$996),IFERROR(MATCH(TRUE(),INDEX((A257:A$996&lt;&gt;""),0),0),COUNTA(B256:B$996))),"")</f>
        <v/>
      </c>
      <c r="L256" s="20"/>
    </row>
    <row r="257" customFormat="false" ht="13.8" hidden="false" customHeight="false" outlineLevel="0" collapsed="false">
      <c r="A257" s="16"/>
      <c r="B257" s="16"/>
      <c r="C257" s="17"/>
      <c r="D257" s="17"/>
      <c r="E257" s="17"/>
      <c r="F257" s="18"/>
      <c r="G257" s="19" t="str">
        <f aca="true">IF(F257="", "", DATEDIF(F257, TODAY(), "Y"))</f>
        <v/>
      </c>
      <c r="H257" s="18"/>
      <c r="I257" s="18"/>
      <c r="J257" s="19" t="str">
        <f aca="true">IF(ISBLANK(H257), "", I257-TODAY())</f>
        <v/>
      </c>
      <c r="K257" s="19" t="str">
        <f aca="false" t="array" ref="K257:K257">IF(A257&lt;&gt;"",IF(COUNTIF(A258:A$996,"&lt;&gt;")=0,COUNTA(B257:B$996),IFERROR(MATCH(TRUE(),INDEX((A258:A$996&lt;&gt;""),0),0),COUNTA(B257:B$996))),"")</f>
        <v/>
      </c>
      <c r="L257" s="20"/>
    </row>
    <row r="258" customFormat="false" ht="13.8" hidden="false" customHeight="false" outlineLevel="0" collapsed="false">
      <c r="A258" s="16"/>
      <c r="B258" s="16"/>
      <c r="C258" s="17"/>
      <c r="D258" s="17"/>
      <c r="E258" s="17"/>
      <c r="F258" s="18"/>
      <c r="G258" s="19" t="str">
        <f aca="true">IF(F258="", "", DATEDIF(F258, TODAY(), "Y"))</f>
        <v/>
      </c>
      <c r="H258" s="18"/>
      <c r="I258" s="18"/>
      <c r="J258" s="19" t="str">
        <f aca="true">IF(ISBLANK(H258), "", I258-TODAY())</f>
        <v/>
      </c>
      <c r="K258" s="19" t="str">
        <f aca="false" t="array" ref="K258:K258">IF(A258&lt;&gt;"",IF(COUNTIF(A259:A$996,"&lt;&gt;")=0,COUNTA(B258:B$996),IFERROR(MATCH(TRUE(),INDEX((A259:A$996&lt;&gt;""),0),0),COUNTA(B258:B$996))),"")</f>
        <v/>
      </c>
      <c r="L258" s="20"/>
    </row>
    <row r="259" customFormat="false" ht="13.8" hidden="false" customHeight="false" outlineLevel="0" collapsed="false">
      <c r="A259" s="16"/>
      <c r="B259" s="16"/>
      <c r="C259" s="17"/>
      <c r="D259" s="17"/>
      <c r="E259" s="17"/>
      <c r="F259" s="18"/>
      <c r="G259" s="19" t="str">
        <f aca="true">IF(F259="", "", DATEDIF(F259, TODAY(), "Y"))</f>
        <v/>
      </c>
      <c r="H259" s="18"/>
      <c r="I259" s="18"/>
      <c r="J259" s="19" t="str">
        <f aca="true">IF(ISBLANK(H259), "", I259-TODAY())</f>
        <v/>
      </c>
      <c r="K259" s="19" t="str">
        <f aca="false" t="array" ref="K259:K259">IF(A259&lt;&gt;"",IF(COUNTIF(A260:A$996,"&lt;&gt;")=0,COUNTA(B259:B$996),IFERROR(MATCH(TRUE(),INDEX((A260:A$996&lt;&gt;""),0),0),COUNTA(B259:B$996))),"")</f>
        <v/>
      </c>
      <c r="L259" s="20"/>
    </row>
    <row r="260" customFormat="false" ht="13.8" hidden="false" customHeight="false" outlineLevel="0" collapsed="false">
      <c r="A260" s="16"/>
      <c r="B260" s="16"/>
      <c r="C260" s="17"/>
      <c r="D260" s="17"/>
      <c r="E260" s="17"/>
      <c r="F260" s="18"/>
      <c r="G260" s="19" t="str">
        <f aca="true">IF(F260="", "", DATEDIF(F260, TODAY(), "Y"))</f>
        <v/>
      </c>
      <c r="H260" s="18"/>
      <c r="I260" s="18"/>
      <c r="J260" s="19" t="str">
        <f aca="true">IF(ISBLANK(H260), "", I260-TODAY())</f>
        <v/>
      </c>
      <c r="K260" s="19" t="str">
        <f aca="false" t="array" ref="K260:K260">IF(A260&lt;&gt;"",IF(COUNTIF(A261:A$996,"&lt;&gt;")=0,COUNTA(B260:B$996),IFERROR(MATCH(TRUE(),INDEX((A261:A$996&lt;&gt;""),0),0),COUNTA(B260:B$996))),"")</f>
        <v/>
      </c>
      <c r="L260" s="20"/>
    </row>
    <row r="261" customFormat="false" ht="13.8" hidden="false" customHeight="false" outlineLevel="0" collapsed="false">
      <c r="A261" s="16"/>
      <c r="B261" s="16"/>
      <c r="C261" s="17"/>
      <c r="D261" s="17"/>
      <c r="E261" s="17"/>
      <c r="F261" s="18"/>
      <c r="G261" s="19" t="str">
        <f aca="true">IF(F261="", "", DATEDIF(F261, TODAY(), "Y"))</f>
        <v/>
      </c>
      <c r="H261" s="18"/>
      <c r="I261" s="18"/>
      <c r="J261" s="19" t="str">
        <f aca="true">IF(ISBLANK(H261), "", I261-TODAY())</f>
        <v/>
      </c>
      <c r="K261" s="19" t="str">
        <f aca="false" t="array" ref="K261:K261">IF(A261&lt;&gt;"",IF(COUNTIF(A262:A$996,"&lt;&gt;")=0,COUNTA(B261:B$996),IFERROR(MATCH(TRUE(),INDEX((A262:A$996&lt;&gt;""),0),0),COUNTA(B261:B$996))),"")</f>
        <v/>
      </c>
      <c r="L261" s="20"/>
    </row>
    <row r="262" customFormat="false" ht="13.8" hidden="false" customHeight="false" outlineLevel="0" collapsed="false">
      <c r="A262" s="16"/>
      <c r="B262" s="16"/>
      <c r="C262" s="17"/>
      <c r="D262" s="17"/>
      <c r="E262" s="17"/>
      <c r="F262" s="18"/>
      <c r="G262" s="19" t="str">
        <f aca="true">IF(F262="", "", DATEDIF(F262, TODAY(), "Y"))</f>
        <v/>
      </c>
      <c r="H262" s="18"/>
      <c r="I262" s="18"/>
      <c r="J262" s="19" t="str">
        <f aca="true">IF(ISBLANK(H262), "", I262-TODAY())</f>
        <v/>
      </c>
      <c r="K262" s="19" t="str">
        <f aca="false" t="array" ref="K262:K262">IF(A262&lt;&gt;"",IF(COUNTIF(A263:A$996,"&lt;&gt;")=0,COUNTA(B262:B$996),IFERROR(MATCH(TRUE(),INDEX((A263:A$996&lt;&gt;""),0),0),COUNTA(B262:B$996))),"")</f>
        <v/>
      </c>
      <c r="L262" s="20"/>
    </row>
    <row r="263" customFormat="false" ht="13.8" hidden="false" customHeight="false" outlineLevel="0" collapsed="false">
      <c r="A263" s="16"/>
      <c r="B263" s="16"/>
      <c r="C263" s="17"/>
      <c r="D263" s="17"/>
      <c r="E263" s="17"/>
      <c r="F263" s="18"/>
      <c r="G263" s="19" t="str">
        <f aca="true">IF(F263="", "", DATEDIF(F263, TODAY(), "Y"))</f>
        <v/>
      </c>
      <c r="H263" s="18"/>
      <c r="I263" s="18"/>
      <c r="J263" s="19" t="str">
        <f aca="true">IF(ISBLANK(H263), "", I263-TODAY())</f>
        <v/>
      </c>
      <c r="K263" s="19" t="str">
        <f aca="false" t="array" ref="K263:K263">IF(A263&lt;&gt;"",IF(COUNTIF(A264:A$996,"&lt;&gt;")=0,COUNTA(B263:B$996),IFERROR(MATCH(TRUE(),INDEX((A264:A$996&lt;&gt;""),0),0),COUNTA(B263:B$996))),"")</f>
        <v/>
      </c>
      <c r="L263" s="20"/>
    </row>
    <row r="264" customFormat="false" ht="13.8" hidden="false" customHeight="false" outlineLevel="0" collapsed="false">
      <c r="A264" s="16"/>
      <c r="B264" s="16"/>
      <c r="C264" s="17"/>
      <c r="D264" s="17"/>
      <c r="E264" s="17"/>
      <c r="F264" s="18"/>
      <c r="G264" s="19" t="str">
        <f aca="true">IF(F264="", "", DATEDIF(F264, TODAY(), "Y"))</f>
        <v/>
      </c>
      <c r="H264" s="18"/>
      <c r="I264" s="18"/>
      <c r="J264" s="19" t="str">
        <f aca="true">IF(ISBLANK(H264), "", I264-TODAY())</f>
        <v/>
      </c>
      <c r="K264" s="19" t="str">
        <f aca="false" t="array" ref="K264:K264">IF(A264&lt;&gt;"",IF(COUNTIF(A265:A$996,"&lt;&gt;")=0,COUNTA(B264:B$996),IFERROR(MATCH(TRUE(),INDEX((A265:A$996&lt;&gt;""),0),0),COUNTA(B264:B$996))),"")</f>
        <v/>
      </c>
      <c r="L264" s="20"/>
    </row>
    <row r="265" customFormat="false" ht="13.8" hidden="false" customHeight="false" outlineLevel="0" collapsed="false">
      <c r="A265" s="16"/>
      <c r="B265" s="16"/>
      <c r="C265" s="17"/>
      <c r="D265" s="17"/>
      <c r="E265" s="17"/>
      <c r="F265" s="18"/>
      <c r="G265" s="19" t="str">
        <f aca="true">IF(F265="", "", DATEDIF(F265, TODAY(), "Y"))</f>
        <v/>
      </c>
      <c r="H265" s="18"/>
      <c r="I265" s="18"/>
      <c r="J265" s="19" t="str">
        <f aca="true">IF(ISBLANK(H265), "", I265-TODAY())</f>
        <v/>
      </c>
      <c r="K265" s="19" t="str">
        <f aca="false" t="array" ref="K265:K265">IF(A265&lt;&gt;"",IF(COUNTIF(A266:A$996,"&lt;&gt;")=0,COUNTA(B265:B$996),IFERROR(MATCH(TRUE(),INDEX((A266:A$996&lt;&gt;""),0),0),COUNTA(B265:B$996))),"")</f>
        <v/>
      </c>
      <c r="L265" s="20"/>
    </row>
    <row r="266" customFormat="false" ht="13.8" hidden="false" customHeight="false" outlineLevel="0" collapsed="false">
      <c r="A266" s="16"/>
      <c r="B266" s="16"/>
      <c r="C266" s="17"/>
      <c r="D266" s="17"/>
      <c r="E266" s="17"/>
      <c r="F266" s="18"/>
      <c r="G266" s="19" t="str">
        <f aca="true">IF(F266="", "", DATEDIF(F266, TODAY(), "Y"))</f>
        <v/>
      </c>
      <c r="H266" s="18"/>
      <c r="I266" s="18"/>
      <c r="J266" s="19" t="str">
        <f aca="true">IF(ISBLANK(H266), "", I266-TODAY())</f>
        <v/>
      </c>
      <c r="K266" s="19" t="str">
        <f aca="false" t="array" ref="K266:K266">IF(A266&lt;&gt;"",IF(COUNTIF(A267:A$996,"&lt;&gt;")=0,COUNTA(B266:B$996),IFERROR(MATCH(TRUE(),INDEX((A267:A$996&lt;&gt;""),0),0),COUNTA(B266:B$996))),"")</f>
        <v/>
      </c>
      <c r="L266" s="20"/>
    </row>
    <row r="267" customFormat="false" ht="13.8" hidden="false" customHeight="false" outlineLevel="0" collapsed="false">
      <c r="A267" s="16"/>
      <c r="B267" s="16"/>
      <c r="C267" s="17"/>
      <c r="D267" s="17"/>
      <c r="E267" s="17"/>
      <c r="F267" s="18"/>
      <c r="G267" s="19" t="str">
        <f aca="true">IF(F267="", "", DATEDIF(F267, TODAY(), "Y"))</f>
        <v/>
      </c>
      <c r="H267" s="18"/>
      <c r="I267" s="18"/>
      <c r="J267" s="19" t="str">
        <f aca="true">IF(ISBLANK(H267), "", I267-TODAY())</f>
        <v/>
      </c>
      <c r="K267" s="19" t="str">
        <f aca="false" t="array" ref="K267:K267">IF(A267&lt;&gt;"",IF(COUNTIF(A268:A$996,"&lt;&gt;")=0,COUNTA(B267:B$996),IFERROR(MATCH(TRUE(),INDEX((A268:A$996&lt;&gt;""),0),0),COUNTA(B267:B$996))),"")</f>
        <v/>
      </c>
      <c r="L267" s="20"/>
    </row>
    <row r="268" customFormat="false" ht="13.8" hidden="false" customHeight="false" outlineLevel="0" collapsed="false">
      <c r="A268" s="16"/>
      <c r="B268" s="16"/>
      <c r="C268" s="17"/>
      <c r="D268" s="17"/>
      <c r="E268" s="17"/>
      <c r="F268" s="18"/>
      <c r="G268" s="19" t="str">
        <f aca="true">IF(F268="", "", DATEDIF(F268, TODAY(), "Y"))</f>
        <v/>
      </c>
      <c r="H268" s="18"/>
      <c r="I268" s="18"/>
      <c r="J268" s="19" t="str">
        <f aca="true">IF(ISBLANK(H268), "", I268-TODAY())</f>
        <v/>
      </c>
      <c r="K268" s="19" t="str">
        <f aca="false" t="array" ref="K268:K268">IF(A268&lt;&gt;"",IF(COUNTIF(A269:A$996,"&lt;&gt;")=0,COUNTA(B268:B$996),IFERROR(MATCH(TRUE(),INDEX((A269:A$996&lt;&gt;""),0),0),COUNTA(B268:B$996))),"")</f>
        <v/>
      </c>
      <c r="L268" s="20"/>
    </row>
    <row r="269" customFormat="false" ht="13.8" hidden="false" customHeight="false" outlineLevel="0" collapsed="false">
      <c r="A269" s="16"/>
      <c r="B269" s="16"/>
      <c r="C269" s="17"/>
      <c r="D269" s="17"/>
      <c r="E269" s="17"/>
      <c r="F269" s="18"/>
      <c r="G269" s="19" t="str">
        <f aca="true">IF(F269="", "", DATEDIF(F269, TODAY(), "Y"))</f>
        <v/>
      </c>
      <c r="H269" s="18"/>
      <c r="I269" s="18"/>
      <c r="J269" s="19" t="str">
        <f aca="true">IF(ISBLANK(H269), "", I269-TODAY())</f>
        <v/>
      </c>
      <c r="K269" s="19" t="str">
        <f aca="false" t="array" ref="K269:K269">IF(A269&lt;&gt;"",IF(COUNTIF(A270:A$996,"&lt;&gt;")=0,COUNTA(B269:B$996),IFERROR(MATCH(TRUE(),INDEX((A270:A$996&lt;&gt;""),0),0),COUNTA(B269:B$996))),"")</f>
        <v/>
      </c>
      <c r="L269" s="20"/>
    </row>
    <row r="270" customFormat="false" ht="13.8" hidden="false" customHeight="false" outlineLevel="0" collapsed="false">
      <c r="A270" s="16"/>
      <c r="B270" s="16"/>
      <c r="C270" s="17"/>
      <c r="D270" s="17"/>
      <c r="E270" s="17"/>
      <c r="F270" s="18"/>
      <c r="G270" s="19" t="str">
        <f aca="true">IF(F270="", "", DATEDIF(F270, TODAY(), "Y"))</f>
        <v/>
      </c>
      <c r="H270" s="18"/>
      <c r="I270" s="18"/>
      <c r="J270" s="19" t="str">
        <f aca="true">IF(ISBLANK(H270), "", I270-TODAY())</f>
        <v/>
      </c>
      <c r="K270" s="19" t="str">
        <f aca="false" t="array" ref="K270:K270">IF(A270&lt;&gt;"",IF(COUNTIF(A271:A$996,"&lt;&gt;")=0,COUNTA(B270:B$996),IFERROR(MATCH(TRUE(),INDEX((A271:A$996&lt;&gt;""),0),0),COUNTA(B270:B$996))),"")</f>
        <v/>
      </c>
      <c r="L270" s="20"/>
    </row>
    <row r="271" customFormat="false" ht="13.8" hidden="false" customHeight="false" outlineLevel="0" collapsed="false">
      <c r="A271" s="16"/>
      <c r="B271" s="16"/>
      <c r="C271" s="17"/>
      <c r="D271" s="17"/>
      <c r="E271" s="17"/>
      <c r="F271" s="18"/>
      <c r="G271" s="19" t="str">
        <f aca="true">IF(F271="", "", DATEDIF(F271, TODAY(), "Y"))</f>
        <v/>
      </c>
      <c r="H271" s="18"/>
      <c r="I271" s="18"/>
      <c r="J271" s="19" t="str">
        <f aca="true">IF(ISBLANK(H271), "", I271-TODAY())</f>
        <v/>
      </c>
      <c r="K271" s="19" t="str">
        <f aca="false" t="array" ref="K271:K271">IF(A271&lt;&gt;"",IF(COUNTIF(A272:A$996,"&lt;&gt;")=0,COUNTA(B271:B$996),IFERROR(MATCH(TRUE(),INDEX((A272:A$996&lt;&gt;""),0),0),COUNTA(B271:B$996))),"")</f>
        <v/>
      </c>
      <c r="L271" s="20"/>
    </row>
    <row r="272" customFormat="false" ht="13.8" hidden="false" customHeight="false" outlineLevel="0" collapsed="false">
      <c r="A272" s="16"/>
      <c r="B272" s="16"/>
      <c r="C272" s="17"/>
      <c r="D272" s="17"/>
      <c r="E272" s="17"/>
      <c r="F272" s="18"/>
      <c r="G272" s="19" t="str">
        <f aca="true">IF(F272="", "", DATEDIF(F272, TODAY(), "Y"))</f>
        <v/>
      </c>
      <c r="H272" s="18"/>
      <c r="I272" s="18"/>
      <c r="J272" s="19" t="str">
        <f aca="true">IF(ISBLANK(H272), "", I272-TODAY())</f>
        <v/>
      </c>
      <c r="K272" s="19" t="str">
        <f aca="false" t="array" ref="K272:K272">IF(A272&lt;&gt;"",IF(COUNTIF(A273:A$996,"&lt;&gt;")=0,COUNTA(B272:B$996),IFERROR(MATCH(TRUE(),INDEX((A273:A$996&lt;&gt;""),0),0),COUNTA(B272:B$996))),"")</f>
        <v/>
      </c>
      <c r="L272" s="20"/>
    </row>
    <row r="273" customFormat="false" ht="13.8" hidden="false" customHeight="false" outlineLevel="0" collapsed="false">
      <c r="A273" s="16"/>
      <c r="B273" s="16"/>
      <c r="C273" s="17"/>
      <c r="D273" s="17"/>
      <c r="E273" s="17"/>
      <c r="F273" s="18"/>
      <c r="G273" s="19" t="str">
        <f aca="true">IF(F273="", "", DATEDIF(F273, TODAY(), "Y"))</f>
        <v/>
      </c>
      <c r="H273" s="18"/>
      <c r="I273" s="18"/>
      <c r="J273" s="19" t="str">
        <f aca="true">IF(ISBLANK(H273), "", I273-TODAY())</f>
        <v/>
      </c>
      <c r="K273" s="19" t="str">
        <f aca="false" t="array" ref="K273:K273">IF(A273&lt;&gt;"",IF(COUNTIF(A274:A$996,"&lt;&gt;")=0,COUNTA(B273:B$996),IFERROR(MATCH(TRUE(),INDEX((A274:A$996&lt;&gt;""),0),0),COUNTA(B273:B$996))),"")</f>
        <v/>
      </c>
      <c r="L273" s="20"/>
    </row>
    <row r="274" customFormat="false" ht="13.8" hidden="false" customHeight="false" outlineLevel="0" collapsed="false">
      <c r="A274" s="16"/>
      <c r="B274" s="16"/>
      <c r="C274" s="17"/>
      <c r="D274" s="17"/>
      <c r="E274" s="17"/>
      <c r="F274" s="18"/>
      <c r="G274" s="19" t="str">
        <f aca="true">IF(F274="", "", DATEDIF(F274, TODAY(), "Y"))</f>
        <v/>
      </c>
      <c r="H274" s="18"/>
      <c r="I274" s="18"/>
      <c r="J274" s="19" t="str">
        <f aca="true">IF(ISBLANK(H274), "", I274-TODAY())</f>
        <v/>
      </c>
      <c r="K274" s="19" t="str">
        <f aca="false" t="array" ref="K274:K274">IF(A274&lt;&gt;"",IF(COUNTIF(A275:A$996,"&lt;&gt;")=0,COUNTA(B274:B$996),IFERROR(MATCH(TRUE(),INDEX((A275:A$996&lt;&gt;""),0),0),COUNTA(B274:B$996))),"")</f>
        <v/>
      </c>
      <c r="L274" s="20"/>
    </row>
    <row r="275" customFormat="false" ht="13.8" hidden="false" customHeight="false" outlineLevel="0" collapsed="false">
      <c r="A275" s="16"/>
      <c r="B275" s="16"/>
      <c r="C275" s="17"/>
      <c r="D275" s="17"/>
      <c r="E275" s="17"/>
      <c r="F275" s="18"/>
      <c r="G275" s="19" t="str">
        <f aca="true">IF(F275="", "", DATEDIF(F275, TODAY(), "Y"))</f>
        <v/>
      </c>
      <c r="H275" s="18"/>
      <c r="I275" s="18"/>
      <c r="J275" s="19" t="str">
        <f aca="true">IF(ISBLANK(H275), "", I275-TODAY())</f>
        <v/>
      </c>
      <c r="K275" s="19" t="str">
        <f aca="false" t="array" ref="K275:K275">IF(A275&lt;&gt;"",IF(COUNTIF(A276:A$996,"&lt;&gt;")=0,COUNTA(B275:B$996),IFERROR(MATCH(TRUE(),INDEX((A276:A$996&lt;&gt;""),0),0),COUNTA(B275:B$996))),"")</f>
        <v/>
      </c>
      <c r="L275" s="20"/>
    </row>
    <row r="276" customFormat="false" ht="13.8" hidden="false" customHeight="false" outlineLevel="0" collapsed="false">
      <c r="A276" s="16"/>
      <c r="B276" s="16"/>
      <c r="C276" s="17"/>
      <c r="D276" s="17"/>
      <c r="E276" s="17"/>
      <c r="F276" s="18"/>
      <c r="G276" s="19" t="str">
        <f aca="true">IF(F276="", "", DATEDIF(F276, TODAY(), "Y"))</f>
        <v/>
      </c>
      <c r="H276" s="18"/>
      <c r="I276" s="18"/>
      <c r="J276" s="19" t="str">
        <f aca="true">IF(ISBLANK(H276), "", I276-TODAY())</f>
        <v/>
      </c>
      <c r="K276" s="19" t="str">
        <f aca="false" t="array" ref="K276:K276">IF(A276&lt;&gt;"",IF(COUNTIF(A277:A$996,"&lt;&gt;")=0,COUNTA(B276:B$996),IFERROR(MATCH(TRUE(),INDEX((A277:A$996&lt;&gt;""),0),0),COUNTA(B276:B$996))),"")</f>
        <v/>
      </c>
      <c r="L276" s="20"/>
    </row>
    <row r="277" customFormat="false" ht="13.8" hidden="false" customHeight="false" outlineLevel="0" collapsed="false">
      <c r="A277" s="16"/>
      <c r="B277" s="16"/>
      <c r="C277" s="17"/>
      <c r="D277" s="17"/>
      <c r="E277" s="17"/>
      <c r="F277" s="18"/>
      <c r="G277" s="19" t="str">
        <f aca="true">IF(F277="", "", DATEDIF(F277, TODAY(), "Y"))</f>
        <v/>
      </c>
      <c r="H277" s="18"/>
      <c r="I277" s="18"/>
      <c r="J277" s="19" t="str">
        <f aca="true">IF(ISBLANK(H277), "", I277-TODAY())</f>
        <v/>
      </c>
      <c r="K277" s="19" t="str">
        <f aca="false" t="array" ref="K277:K277">IF(A277&lt;&gt;"",IF(COUNTIF(A278:A$996,"&lt;&gt;")=0,COUNTA(B277:B$996),IFERROR(MATCH(TRUE(),INDEX((A278:A$996&lt;&gt;""),0),0),COUNTA(B277:B$996))),"")</f>
        <v/>
      </c>
      <c r="L277" s="20"/>
    </row>
    <row r="278" customFormat="false" ht="13.8" hidden="false" customHeight="false" outlineLevel="0" collapsed="false">
      <c r="A278" s="16"/>
      <c r="B278" s="16"/>
      <c r="C278" s="17"/>
      <c r="D278" s="17"/>
      <c r="E278" s="17"/>
      <c r="F278" s="18"/>
      <c r="G278" s="19" t="str">
        <f aca="true">IF(F278="", "", DATEDIF(F278, TODAY(), "Y"))</f>
        <v/>
      </c>
      <c r="H278" s="18"/>
      <c r="I278" s="18"/>
      <c r="J278" s="19" t="str">
        <f aca="true">IF(ISBLANK(H278), "", I278-TODAY())</f>
        <v/>
      </c>
      <c r="K278" s="19" t="str">
        <f aca="false" t="array" ref="K278:K278">IF(A278&lt;&gt;"",IF(COUNTIF(A279:A$996,"&lt;&gt;")=0,COUNTA(B278:B$996),IFERROR(MATCH(TRUE(),INDEX((A279:A$996&lt;&gt;""),0),0),COUNTA(B278:B$996))),"")</f>
        <v/>
      </c>
      <c r="L278" s="20"/>
    </row>
    <row r="279" customFormat="false" ht="13.8" hidden="false" customHeight="false" outlineLevel="0" collapsed="false">
      <c r="A279" s="16"/>
      <c r="B279" s="16"/>
      <c r="C279" s="17"/>
      <c r="D279" s="17"/>
      <c r="E279" s="17"/>
      <c r="F279" s="18"/>
      <c r="G279" s="19" t="str">
        <f aca="true">IF(F279="", "", DATEDIF(F279, TODAY(), "Y"))</f>
        <v/>
      </c>
      <c r="H279" s="18"/>
      <c r="I279" s="18"/>
      <c r="J279" s="19" t="str">
        <f aca="true">IF(ISBLANK(H279), "", I279-TODAY())</f>
        <v/>
      </c>
      <c r="K279" s="19" t="str">
        <f aca="false" t="array" ref="K279:K279">IF(A279&lt;&gt;"",IF(COUNTIF(A280:A$996,"&lt;&gt;")=0,COUNTA(B279:B$996),IFERROR(MATCH(TRUE(),INDEX((A280:A$996&lt;&gt;""),0),0),COUNTA(B279:B$996))),"")</f>
        <v/>
      </c>
      <c r="L279" s="20"/>
    </row>
    <row r="280" customFormat="false" ht="13.8" hidden="false" customHeight="false" outlineLevel="0" collapsed="false">
      <c r="A280" s="16"/>
      <c r="B280" s="16"/>
      <c r="C280" s="17"/>
      <c r="D280" s="17"/>
      <c r="E280" s="17"/>
      <c r="F280" s="18"/>
      <c r="G280" s="19" t="str">
        <f aca="true">IF(F280="", "", DATEDIF(F280, TODAY(), "Y"))</f>
        <v/>
      </c>
      <c r="H280" s="18"/>
      <c r="I280" s="18"/>
      <c r="J280" s="19" t="str">
        <f aca="true">IF(ISBLANK(H280), "", I280-TODAY())</f>
        <v/>
      </c>
      <c r="K280" s="19" t="str">
        <f aca="false" t="array" ref="K280:K280">IF(A280&lt;&gt;"",IF(COUNTIF(A281:A$996,"&lt;&gt;")=0,COUNTA(B280:B$996),IFERROR(MATCH(TRUE(),INDEX((A281:A$996&lt;&gt;""),0),0),COUNTA(B280:B$996))),"")</f>
        <v/>
      </c>
      <c r="L280" s="20"/>
    </row>
    <row r="281" customFormat="false" ht="13.8" hidden="false" customHeight="false" outlineLevel="0" collapsed="false">
      <c r="A281" s="16"/>
      <c r="B281" s="16"/>
      <c r="C281" s="17"/>
      <c r="D281" s="17"/>
      <c r="E281" s="17"/>
      <c r="F281" s="18"/>
      <c r="G281" s="19" t="str">
        <f aca="true">IF(F281="", "", DATEDIF(F281, TODAY(), "Y"))</f>
        <v/>
      </c>
      <c r="H281" s="18"/>
      <c r="I281" s="18"/>
      <c r="J281" s="19" t="str">
        <f aca="true">IF(ISBLANK(H281), "", I281-TODAY())</f>
        <v/>
      </c>
      <c r="K281" s="19" t="str">
        <f aca="false" t="array" ref="K281:K281">IF(A281&lt;&gt;"",IF(COUNTIF(A282:A$996,"&lt;&gt;")=0,COUNTA(B281:B$996),IFERROR(MATCH(TRUE(),INDEX((A282:A$996&lt;&gt;""),0),0),COUNTA(B281:B$996))),"")</f>
        <v/>
      </c>
      <c r="L281" s="20"/>
    </row>
    <row r="282" customFormat="false" ht="13.8" hidden="false" customHeight="false" outlineLevel="0" collapsed="false">
      <c r="A282" s="16"/>
      <c r="B282" s="16"/>
      <c r="C282" s="17"/>
      <c r="D282" s="17"/>
      <c r="E282" s="17"/>
      <c r="F282" s="18"/>
      <c r="G282" s="19" t="str">
        <f aca="true">IF(F282="", "", DATEDIF(F282, TODAY(), "Y"))</f>
        <v/>
      </c>
      <c r="H282" s="18"/>
      <c r="I282" s="18"/>
      <c r="J282" s="19" t="str">
        <f aca="true">IF(ISBLANK(H282), "", I282-TODAY())</f>
        <v/>
      </c>
      <c r="K282" s="19" t="str">
        <f aca="false" t="array" ref="K282:K282">IF(A282&lt;&gt;"",IF(COUNTIF(A283:A$996,"&lt;&gt;")=0,COUNTA(B282:B$996),IFERROR(MATCH(TRUE(),INDEX((A283:A$996&lt;&gt;""),0),0),COUNTA(B282:B$996))),"")</f>
        <v/>
      </c>
      <c r="L282" s="20"/>
    </row>
    <row r="283" customFormat="false" ht="13.8" hidden="false" customHeight="false" outlineLevel="0" collapsed="false">
      <c r="A283" s="16"/>
      <c r="B283" s="16"/>
      <c r="C283" s="17"/>
      <c r="D283" s="17"/>
      <c r="E283" s="17"/>
      <c r="F283" s="18"/>
      <c r="G283" s="19" t="str">
        <f aca="true">IF(F283="", "", DATEDIF(F283, TODAY(), "Y"))</f>
        <v/>
      </c>
      <c r="H283" s="18"/>
      <c r="I283" s="18"/>
      <c r="J283" s="19" t="str">
        <f aca="true">IF(ISBLANK(H283), "", I283-TODAY())</f>
        <v/>
      </c>
      <c r="K283" s="19" t="str">
        <f aca="false" t="array" ref="K283:K283">IF(A283&lt;&gt;"",IF(COUNTIF(A284:A$996,"&lt;&gt;")=0,COUNTA(B283:B$996),IFERROR(MATCH(TRUE(),INDEX((A284:A$996&lt;&gt;""),0),0),COUNTA(B283:B$996))),"")</f>
        <v/>
      </c>
      <c r="L283" s="20"/>
    </row>
    <row r="284" customFormat="false" ht="13.8" hidden="false" customHeight="false" outlineLevel="0" collapsed="false">
      <c r="A284" s="16"/>
      <c r="B284" s="16"/>
      <c r="C284" s="17"/>
      <c r="D284" s="17"/>
      <c r="E284" s="17"/>
      <c r="F284" s="18"/>
      <c r="G284" s="19" t="str">
        <f aca="true">IF(F284="", "", DATEDIF(F284, TODAY(), "Y"))</f>
        <v/>
      </c>
      <c r="H284" s="18"/>
      <c r="I284" s="18"/>
      <c r="J284" s="19" t="str">
        <f aca="true">IF(ISBLANK(H284), "", I284-TODAY())</f>
        <v/>
      </c>
      <c r="K284" s="19" t="str">
        <f aca="false" t="array" ref="K284:K284">IF(A284&lt;&gt;"",IF(COUNTIF(A285:A$996,"&lt;&gt;")=0,COUNTA(B284:B$996),IFERROR(MATCH(TRUE(),INDEX((A285:A$996&lt;&gt;""),0),0),COUNTA(B284:B$996))),"")</f>
        <v/>
      </c>
      <c r="L284" s="20"/>
    </row>
    <row r="285" customFormat="false" ht="13.8" hidden="false" customHeight="false" outlineLevel="0" collapsed="false">
      <c r="A285" s="16"/>
      <c r="B285" s="16"/>
      <c r="C285" s="17"/>
      <c r="D285" s="17"/>
      <c r="E285" s="17"/>
      <c r="F285" s="18"/>
      <c r="G285" s="19" t="str">
        <f aca="true">IF(F285="", "", DATEDIF(F285, TODAY(), "Y"))</f>
        <v/>
      </c>
      <c r="H285" s="18"/>
      <c r="I285" s="18"/>
      <c r="J285" s="19" t="str">
        <f aca="true">IF(ISBLANK(H285), "", I285-TODAY())</f>
        <v/>
      </c>
      <c r="K285" s="19" t="str">
        <f aca="false" t="array" ref="K285:K285">IF(A285&lt;&gt;"",IF(COUNTIF(A286:A$996,"&lt;&gt;")=0,COUNTA(B285:B$996),IFERROR(MATCH(TRUE(),INDEX((A286:A$996&lt;&gt;""),0),0),COUNTA(B285:B$996))),"")</f>
        <v/>
      </c>
      <c r="L285" s="20"/>
    </row>
    <row r="286" customFormat="false" ht="13.8" hidden="false" customHeight="false" outlineLevel="0" collapsed="false">
      <c r="A286" s="16"/>
      <c r="B286" s="16"/>
      <c r="C286" s="17"/>
      <c r="D286" s="17"/>
      <c r="E286" s="17"/>
      <c r="F286" s="18"/>
      <c r="G286" s="19" t="str">
        <f aca="true">IF(F286="", "", DATEDIF(F286, TODAY(), "Y"))</f>
        <v/>
      </c>
      <c r="H286" s="18"/>
      <c r="I286" s="18"/>
      <c r="J286" s="19" t="str">
        <f aca="true">IF(ISBLANK(H286), "", I286-TODAY())</f>
        <v/>
      </c>
      <c r="K286" s="19" t="str">
        <f aca="false" t="array" ref="K286:K286">IF(A286&lt;&gt;"",IF(COUNTIF(A287:A$996,"&lt;&gt;")=0,COUNTA(B286:B$996),IFERROR(MATCH(TRUE(),INDEX((A287:A$996&lt;&gt;""),0),0),COUNTA(B286:B$996))),"")</f>
        <v/>
      </c>
      <c r="L286" s="20"/>
    </row>
    <row r="287" customFormat="false" ht="13.8" hidden="false" customHeight="false" outlineLevel="0" collapsed="false">
      <c r="A287" s="16"/>
      <c r="B287" s="16"/>
      <c r="C287" s="17"/>
      <c r="D287" s="17"/>
      <c r="E287" s="17"/>
      <c r="F287" s="18"/>
      <c r="G287" s="19" t="str">
        <f aca="true">IF(F287="", "", DATEDIF(F287, TODAY(), "Y"))</f>
        <v/>
      </c>
      <c r="H287" s="18"/>
      <c r="I287" s="18"/>
      <c r="J287" s="19" t="str">
        <f aca="true">IF(ISBLANK(H287), "", I287-TODAY())</f>
        <v/>
      </c>
      <c r="K287" s="19" t="str">
        <f aca="false" t="array" ref="K287:K287">IF(A287&lt;&gt;"",IF(COUNTIF(A288:A$996,"&lt;&gt;")=0,COUNTA(B287:B$996),IFERROR(MATCH(TRUE(),INDEX((A288:A$996&lt;&gt;""),0),0),COUNTA(B287:B$996))),"")</f>
        <v/>
      </c>
      <c r="L287" s="20"/>
    </row>
    <row r="288" customFormat="false" ht="13.8" hidden="false" customHeight="false" outlineLevel="0" collapsed="false">
      <c r="A288" s="16"/>
      <c r="B288" s="16"/>
      <c r="C288" s="17"/>
      <c r="D288" s="17"/>
      <c r="E288" s="17"/>
      <c r="F288" s="18"/>
      <c r="G288" s="19" t="str">
        <f aca="true">IF(F288="", "", DATEDIF(F288, TODAY(), "Y"))</f>
        <v/>
      </c>
      <c r="H288" s="18"/>
      <c r="I288" s="18"/>
      <c r="J288" s="19" t="str">
        <f aca="true">IF(ISBLANK(H288), "", I288-TODAY())</f>
        <v/>
      </c>
      <c r="K288" s="19" t="str">
        <f aca="false" t="array" ref="K288:K288">IF(A288&lt;&gt;"",IF(COUNTIF(A289:A$996,"&lt;&gt;")=0,COUNTA(B288:B$996),IFERROR(MATCH(TRUE(),INDEX((A289:A$996&lt;&gt;""),0),0),COUNTA(B288:B$996))),"")</f>
        <v/>
      </c>
      <c r="L288" s="20"/>
    </row>
    <row r="289" customFormat="false" ht="13.8" hidden="false" customHeight="false" outlineLevel="0" collapsed="false">
      <c r="A289" s="16"/>
      <c r="B289" s="16"/>
      <c r="C289" s="17"/>
      <c r="D289" s="17"/>
      <c r="E289" s="17"/>
      <c r="F289" s="18"/>
      <c r="G289" s="19" t="str">
        <f aca="true">IF(F289="", "", DATEDIF(F289, TODAY(), "Y"))</f>
        <v/>
      </c>
      <c r="H289" s="18"/>
      <c r="I289" s="18"/>
      <c r="J289" s="19" t="str">
        <f aca="true">IF(ISBLANK(H289), "", I289-TODAY())</f>
        <v/>
      </c>
      <c r="K289" s="19" t="str">
        <f aca="false" t="array" ref="K289:K289">IF(A289&lt;&gt;"",IF(COUNTIF(A290:A$996,"&lt;&gt;")=0,COUNTA(B289:B$996),IFERROR(MATCH(TRUE(),INDEX((A290:A$996&lt;&gt;""),0),0),COUNTA(B289:B$996))),"")</f>
        <v/>
      </c>
      <c r="L289" s="20"/>
    </row>
    <row r="290" customFormat="false" ht="13.8" hidden="false" customHeight="false" outlineLevel="0" collapsed="false">
      <c r="A290" s="16"/>
      <c r="B290" s="16"/>
      <c r="C290" s="17"/>
      <c r="D290" s="17"/>
      <c r="E290" s="17"/>
      <c r="F290" s="18"/>
      <c r="G290" s="19" t="str">
        <f aca="true">IF(F290="", "", DATEDIF(F290, TODAY(), "Y"))</f>
        <v/>
      </c>
      <c r="H290" s="18"/>
      <c r="I290" s="18"/>
      <c r="J290" s="19" t="str">
        <f aca="true">IF(ISBLANK(H290), "", I290-TODAY())</f>
        <v/>
      </c>
      <c r="K290" s="19" t="str">
        <f aca="false" t="array" ref="K290:K290">IF(A290&lt;&gt;"",IF(COUNTIF(A291:A$996,"&lt;&gt;")=0,COUNTA(B290:B$996),IFERROR(MATCH(TRUE(),INDEX((A291:A$996&lt;&gt;""),0),0),COUNTA(B290:B$996))),"")</f>
        <v/>
      </c>
      <c r="L290" s="20"/>
    </row>
    <row r="291" customFormat="false" ht="13.8" hidden="false" customHeight="false" outlineLevel="0" collapsed="false">
      <c r="A291" s="16"/>
      <c r="B291" s="16"/>
      <c r="C291" s="17"/>
      <c r="D291" s="17"/>
      <c r="E291" s="17"/>
      <c r="F291" s="18"/>
      <c r="G291" s="19" t="str">
        <f aca="true">IF(F291="", "", DATEDIF(F291, TODAY(), "Y"))</f>
        <v/>
      </c>
      <c r="H291" s="18"/>
      <c r="I291" s="18"/>
      <c r="J291" s="19" t="str">
        <f aca="true">IF(ISBLANK(H291), "", I291-TODAY())</f>
        <v/>
      </c>
      <c r="K291" s="19" t="str">
        <f aca="false" t="array" ref="K291:K291">IF(A291&lt;&gt;"",IF(COUNTIF(A292:A$996,"&lt;&gt;")=0,COUNTA(B291:B$996),IFERROR(MATCH(TRUE(),INDEX((A292:A$996&lt;&gt;""),0),0),COUNTA(B291:B$996))),"")</f>
        <v/>
      </c>
      <c r="L291" s="20"/>
    </row>
    <row r="292" customFormat="false" ht="13.8" hidden="false" customHeight="false" outlineLevel="0" collapsed="false">
      <c r="A292" s="16"/>
      <c r="B292" s="16"/>
      <c r="C292" s="17"/>
      <c r="D292" s="17"/>
      <c r="E292" s="17"/>
      <c r="F292" s="18"/>
      <c r="G292" s="19" t="str">
        <f aca="true">IF(F292="", "", DATEDIF(F292, TODAY(), "Y"))</f>
        <v/>
      </c>
      <c r="H292" s="18"/>
      <c r="I292" s="18"/>
      <c r="J292" s="19" t="str">
        <f aca="true">IF(ISBLANK(H292), "", I292-TODAY())</f>
        <v/>
      </c>
      <c r="K292" s="19" t="str">
        <f aca="false" t="array" ref="K292:K292">IF(A292&lt;&gt;"",IF(COUNTIF(A293:A$996,"&lt;&gt;")=0,COUNTA(B292:B$996),IFERROR(MATCH(TRUE(),INDEX((A293:A$996&lt;&gt;""),0),0),COUNTA(B292:B$996))),"")</f>
        <v/>
      </c>
      <c r="L292" s="20"/>
    </row>
    <row r="293" customFormat="false" ht="13.8" hidden="false" customHeight="false" outlineLevel="0" collapsed="false">
      <c r="A293" s="16"/>
      <c r="B293" s="16"/>
      <c r="C293" s="17"/>
      <c r="D293" s="17"/>
      <c r="E293" s="17"/>
      <c r="F293" s="18"/>
      <c r="G293" s="19" t="str">
        <f aca="true">IF(F293="", "", DATEDIF(F293, TODAY(), "Y"))</f>
        <v/>
      </c>
      <c r="H293" s="18"/>
      <c r="I293" s="18"/>
      <c r="J293" s="19" t="str">
        <f aca="true">IF(ISBLANK(H293), "", I293-TODAY())</f>
        <v/>
      </c>
      <c r="K293" s="19" t="str">
        <f aca="false" t="array" ref="K293:K293">IF(A293&lt;&gt;"",IF(COUNTIF(A294:A$996,"&lt;&gt;")=0,COUNTA(B293:B$996),IFERROR(MATCH(TRUE(),INDEX((A294:A$996&lt;&gt;""),0),0),COUNTA(B293:B$996))),"")</f>
        <v/>
      </c>
      <c r="L293" s="20"/>
    </row>
    <row r="294" customFormat="false" ht="13.8" hidden="false" customHeight="false" outlineLevel="0" collapsed="false">
      <c r="A294" s="16"/>
      <c r="B294" s="16"/>
      <c r="C294" s="17"/>
      <c r="D294" s="17"/>
      <c r="E294" s="17"/>
      <c r="F294" s="18"/>
      <c r="G294" s="19" t="str">
        <f aca="true">IF(F294="", "", DATEDIF(F294, TODAY(), "Y"))</f>
        <v/>
      </c>
      <c r="H294" s="18"/>
      <c r="I294" s="18"/>
      <c r="J294" s="19" t="str">
        <f aca="true">IF(ISBLANK(H294), "", I294-TODAY())</f>
        <v/>
      </c>
      <c r="K294" s="19" t="str">
        <f aca="false" t="array" ref="K294:K294">IF(A294&lt;&gt;"",IF(COUNTIF(A295:A$996,"&lt;&gt;")=0,COUNTA(B294:B$996),IFERROR(MATCH(TRUE(),INDEX((A295:A$996&lt;&gt;""),0),0),COUNTA(B294:B$996))),"")</f>
        <v/>
      </c>
      <c r="L294" s="20"/>
    </row>
    <row r="295" customFormat="false" ht="13.8" hidden="false" customHeight="false" outlineLevel="0" collapsed="false">
      <c r="A295" s="16"/>
      <c r="B295" s="16"/>
      <c r="C295" s="17"/>
      <c r="D295" s="17"/>
      <c r="E295" s="17"/>
      <c r="F295" s="18"/>
      <c r="G295" s="19" t="str">
        <f aca="true">IF(F295="", "", DATEDIF(F295, TODAY(), "Y"))</f>
        <v/>
      </c>
      <c r="H295" s="18"/>
      <c r="I295" s="18"/>
      <c r="J295" s="19" t="str">
        <f aca="true">IF(ISBLANK(H295), "", I295-TODAY())</f>
        <v/>
      </c>
      <c r="K295" s="19" t="str">
        <f aca="false" t="array" ref="K295:K295">IF(A295&lt;&gt;"",IF(COUNTIF(A296:A$996,"&lt;&gt;")=0,COUNTA(B295:B$996),IFERROR(MATCH(TRUE(),INDEX((A296:A$996&lt;&gt;""),0),0),COUNTA(B295:B$996))),"")</f>
        <v/>
      </c>
      <c r="L295" s="20"/>
    </row>
    <row r="296" customFormat="false" ht="13.8" hidden="false" customHeight="false" outlineLevel="0" collapsed="false">
      <c r="A296" s="16"/>
      <c r="B296" s="16"/>
      <c r="C296" s="17"/>
      <c r="D296" s="17"/>
      <c r="E296" s="17"/>
      <c r="F296" s="18"/>
      <c r="G296" s="19" t="str">
        <f aca="true">IF(F296="", "", DATEDIF(F296, TODAY(), "Y"))</f>
        <v/>
      </c>
      <c r="H296" s="18"/>
      <c r="I296" s="18"/>
      <c r="J296" s="19" t="str">
        <f aca="true">IF(ISBLANK(H296), "", I296-TODAY())</f>
        <v/>
      </c>
      <c r="K296" s="19" t="str">
        <f aca="false" t="array" ref="K296:K296">IF(A296&lt;&gt;"",IF(COUNTIF(A297:A$996,"&lt;&gt;")=0,COUNTA(B296:B$996),IFERROR(MATCH(TRUE(),INDEX((A297:A$996&lt;&gt;""),0),0),COUNTA(B296:B$996))),"")</f>
        <v/>
      </c>
      <c r="L296" s="20"/>
    </row>
    <row r="297" customFormat="false" ht="13.8" hidden="false" customHeight="false" outlineLevel="0" collapsed="false">
      <c r="A297" s="16"/>
      <c r="B297" s="16"/>
      <c r="C297" s="17"/>
      <c r="D297" s="17"/>
      <c r="E297" s="17"/>
      <c r="F297" s="18"/>
      <c r="G297" s="19" t="str">
        <f aca="true">IF(F297="", "", DATEDIF(F297, TODAY(), "Y"))</f>
        <v/>
      </c>
      <c r="H297" s="18"/>
      <c r="I297" s="18"/>
      <c r="J297" s="19" t="str">
        <f aca="true">IF(ISBLANK(H297), "", I297-TODAY())</f>
        <v/>
      </c>
      <c r="K297" s="19" t="str">
        <f aca="false" t="array" ref="K297:K297">IF(A297&lt;&gt;"",IF(COUNTIF(A298:A$996,"&lt;&gt;")=0,COUNTA(B297:B$996),IFERROR(MATCH(TRUE(),INDEX((A298:A$996&lt;&gt;""),0),0),COUNTA(B297:B$996))),"")</f>
        <v/>
      </c>
      <c r="L297" s="20"/>
    </row>
    <row r="298" customFormat="false" ht="13.8" hidden="false" customHeight="false" outlineLevel="0" collapsed="false">
      <c r="A298" s="16"/>
      <c r="B298" s="16"/>
      <c r="C298" s="17"/>
      <c r="D298" s="17"/>
      <c r="E298" s="17"/>
      <c r="F298" s="18"/>
      <c r="G298" s="19" t="str">
        <f aca="true">IF(F298="", "", DATEDIF(F298, TODAY(), "Y"))</f>
        <v/>
      </c>
      <c r="H298" s="18"/>
      <c r="I298" s="18"/>
      <c r="J298" s="19" t="str">
        <f aca="true">IF(ISBLANK(H298), "", I298-TODAY())</f>
        <v/>
      </c>
      <c r="K298" s="19" t="str">
        <f aca="false" t="array" ref="K298:K298">IF(A298&lt;&gt;"",IF(COUNTIF(A299:A$996,"&lt;&gt;")=0,COUNTA(B298:B$996),IFERROR(MATCH(TRUE(),INDEX((A299:A$996&lt;&gt;""),0),0),COUNTA(B298:B$996))),"")</f>
        <v/>
      </c>
      <c r="L298" s="20"/>
    </row>
    <row r="299" customFormat="false" ht="13.8" hidden="false" customHeight="false" outlineLevel="0" collapsed="false">
      <c r="A299" s="16"/>
      <c r="B299" s="16"/>
      <c r="C299" s="17"/>
      <c r="D299" s="17"/>
      <c r="E299" s="17"/>
      <c r="F299" s="18"/>
      <c r="G299" s="19" t="str">
        <f aca="true">IF(F299="", "", DATEDIF(F299, TODAY(), "Y"))</f>
        <v/>
      </c>
      <c r="H299" s="18"/>
      <c r="I299" s="18"/>
      <c r="J299" s="19" t="str">
        <f aca="true">IF(ISBLANK(H299), "", I299-TODAY())</f>
        <v/>
      </c>
      <c r="K299" s="19" t="str">
        <f aca="false" t="array" ref="K299:K299">IF(A299&lt;&gt;"",IF(COUNTIF(A300:A$996,"&lt;&gt;")=0,COUNTA(B299:B$996),IFERROR(MATCH(TRUE(),INDEX((A300:A$996&lt;&gt;""),0),0),COUNTA(B299:B$996))),"")</f>
        <v/>
      </c>
      <c r="L299" s="20"/>
    </row>
    <row r="300" customFormat="false" ht="13.8" hidden="false" customHeight="false" outlineLevel="0" collapsed="false">
      <c r="A300" s="16"/>
      <c r="B300" s="16"/>
      <c r="C300" s="17"/>
      <c r="D300" s="17"/>
      <c r="E300" s="17"/>
      <c r="F300" s="18"/>
      <c r="G300" s="19" t="str">
        <f aca="true">IF(F300="", "", DATEDIF(F300, TODAY(), "Y"))</f>
        <v/>
      </c>
      <c r="H300" s="18"/>
      <c r="I300" s="18"/>
      <c r="J300" s="19" t="str">
        <f aca="true">IF(ISBLANK(H300), "", I300-TODAY())</f>
        <v/>
      </c>
      <c r="K300" s="19" t="str">
        <f aca="false" t="array" ref="K300:K300">IF(A300&lt;&gt;"",IF(COUNTIF(A301:A$996,"&lt;&gt;")=0,COUNTA(B300:B$996),IFERROR(MATCH(TRUE(),INDEX((A301:A$996&lt;&gt;""),0),0),COUNTA(B300:B$996))),"")</f>
        <v/>
      </c>
      <c r="L300" s="20"/>
    </row>
    <row r="301" customFormat="false" ht="13.8" hidden="false" customHeight="false" outlineLevel="0" collapsed="false">
      <c r="A301" s="16"/>
      <c r="B301" s="16"/>
      <c r="C301" s="17"/>
      <c r="D301" s="17"/>
      <c r="E301" s="17"/>
      <c r="F301" s="18"/>
      <c r="G301" s="19" t="str">
        <f aca="true">IF(F301="", "", DATEDIF(F301, TODAY(), "Y"))</f>
        <v/>
      </c>
      <c r="H301" s="18"/>
      <c r="I301" s="18"/>
      <c r="J301" s="19" t="str">
        <f aca="true">IF(ISBLANK(H301), "", I301-TODAY())</f>
        <v/>
      </c>
      <c r="K301" s="19" t="str">
        <f aca="false" t="array" ref="K301:K301">IF(A301&lt;&gt;"",IF(COUNTIF(A302:A$996,"&lt;&gt;")=0,COUNTA(B301:B$996),IFERROR(MATCH(TRUE(),INDEX((A302:A$996&lt;&gt;""),0),0),COUNTA(B301:B$996))),"")</f>
        <v/>
      </c>
      <c r="L301" s="20"/>
    </row>
    <row r="302" customFormat="false" ht="13.8" hidden="false" customHeight="false" outlineLevel="0" collapsed="false">
      <c r="A302" s="16"/>
      <c r="B302" s="16"/>
      <c r="C302" s="17"/>
      <c r="D302" s="17"/>
      <c r="E302" s="17"/>
      <c r="F302" s="18"/>
      <c r="G302" s="19" t="str">
        <f aca="true">IF(F302="", "", DATEDIF(F302, TODAY(), "Y"))</f>
        <v/>
      </c>
      <c r="H302" s="18"/>
      <c r="I302" s="18"/>
      <c r="J302" s="19" t="str">
        <f aca="true">IF(ISBLANK(H302), "", I302-TODAY())</f>
        <v/>
      </c>
      <c r="K302" s="19" t="str">
        <f aca="false" t="array" ref="K302:K302">IF(A302&lt;&gt;"",IF(COUNTIF(A303:A$996,"&lt;&gt;")=0,COUNTA(B302:B$996),IFERROR(MATCH(TRUE(),INDEX((A303:A$996&lt;&gt;""),0),0),COUNTA(B302:B$996))),"")</f>
        <v/>
      </c>
      <c r="L302" s="20"/>
    </row>
    <row r="303" customFormat="false" ht="13.8" hidden="false" customHeight="false" outlineLevel="0" collapsed="false">
      <c r="A303" s="16"/>
      <c r="B303" s="16"/>
      <c r="C303" s="17"/>
      <c r="D303" s="17"/>
      <c r="E303" s="17"/>
      <c r="F303" s="18"/>
      <c r="G303" s="19" t="str">
        <f aca="true">IF(F303="", "", DATEDIF(F303, TODAY(), "Y"))</f>
        <v/>
      </c>
      <c r="H303" s="18"/>
      <c r="I303" s="18"/>
      <c r="J303" s="19" t="str">
        <f aca="true">IF(ISBLANK(H303), "", I303-TODAY())</f>
        <v/>
      </c>
      <c r="K303" s="19" t="str">
        <f aca="false" t="array" ref="K303:K303">IF(A303&lt;&gt;"",IF(COUNTIF(A304:A$996,"&lt;&gt;")=0,COUNTA(B303:B$996),IFERROR(MATCH(TRUE(),INDEX((A304:A$996&lt;&gt;""),0),0),COUNTA(B303:B$996))),"")</f>
        <v/>
      </c>
      <c r="L303" s="20"/>
    </row>
    <row r="304" customFormat="false" ht="13.8" hidden="false" customHeight="false" outlineLevel="0" collapsed="false">
      <c r="A304" s="16"/>
      <c r="B304" s="16"/>
      <c r="C304" s="17"/>
      <c r="D304" s="17"/>
      <c r="E304" s="17"/>
      <c r="F304" s="18"/>
      <c r="G304" s="19" t="str">
        <f aca="true">IF(F304="", "", DATEDIF(F304, TODAY(), "Y"))</f>
        <v/>
      </c>
      <c r="H304" s="18"/>
      <c r="I304" s="18"/>
      <c r="J304" s="19" t="str">
        <f aca="true">IF(ISBLANK(H304), "", I304-TODAY())</f>
        <v/>
      </c>
      <c r="K304" s="19" t="str">
        <f aca="false" t="array" ref="K304:K304">IF(A304&lt;&gt;"",IF(COUNTIF(A305:A$996,"&lt;&gt;")=0,COUNTA(B304:B$996),IFERROR(MATCH(TRUE(),INDEX((A305:A$996&lt;&gt;""),0),0),COUNTA(B304:B$996))),"")</f>
        <v/>
      </c>
      <c r="L304" s="20"/>
    </row>
    <row r="305" customFormat="false" ht="13.8" hidden="false" customHeight="false" outlineLevel="0" collapsed="false">
      <c r="A305" s="16"/>
      <c r="B305" s="16"/>
      <c r="C305" s="17"/>
      <c r="D305" s="17"/>
      <c r="E305" s="17"/>
      <c r="F305" s="18"/>
      <c r="G305" s="19" t="str">
        <f aca="true">IF(F305="", "", DATEDIF(F305, TODAY(), "Y"))</f>
        <v/>
      </c>
      <c r="H305" s="18"/>
      <c r="I305" s="18"/>
      <c r="J305" s="19" t="str">
        <f aca="true">IF(ISBLANK(H305), "", I305-TODAY())</f>
        <v/>
      </c>
      <c r="K305" s="19" t="str">
        <f aca="false" t="array" ref="K305:K305">IF(A305&lt;&gt;"",IF(COUNTIF(A306:A$996,"&lt;&gt;")=0,COUNTA(B305:B$996),IFERROR(MATCH(TRUE(),INDEX((A306:A$996&lt;&gt;""),0),0),COUNTA(B305:B$996))),"")</f>
        <v/>
      </c>
      <c r="L305" s="20"/>
    </row>
    <row r="306" customFormat="false" ht="13.8" hidden="false" customHeight="false" outlineLevel="0" collapsed="false">
      <c r="A306" s="16"/>
      <c r="B306" s="16"/>
      <c r="C306" s="17"/>
      <c r="D306" s="17"/>
      <c r="E306" s="17"/>
      <c r="F306" s="18"/>
      <c r="G306" s="19" t="str">
        <f aca="true">IF(F306="", "", DATEDIF(F306, TODAY(), "Y"))</f>
        <v/>
      </c>
      <c r="H306" s="18"/>
      <c r="I306" s="18"/>
      <c r="J306" s="19" t="str">
        <f aca="true">IF(ISBLANK(H306), "", I306-TODAY())</f>
        <v/>
      </c>
      <c r="K306" s="19" t="str">
        <f aca="false" t="array" ref="K306:K306">IF(A306&lt;&gt;"",IF(COUNTIF(A307:A$996,"&lt;&gt;")=0,COUNTA(B306:B$996),IFERROR(MATCH(TRUE(),INDEX((A307:A$996&lt;&gt;""),0),0),COUNTA(B306:B$996))),"")</f>
        <v/>
      </c>
      <c r="L306" s="20"/>
    </row>
    <row r="307" customFormat="false" ht="13.8" hidden="false" customHeight="false" outlineLevel="0" collapsed="false">
      <c r="A307" s="16"/>
      <c r="B307" s="16"/>
      <c r="C307" s="17"/>
      <c r="D307" s="17"/>
      <c r="E307" s="17"/>
      <c r="F307" s="18"/>
      <c r="G307" s="19" t="str">
        <f aca="true">IF(F307="", "", DATEDIF(F307, TODAY(), "Y"))</f>
        <v/>
      </c>
      <c r="H307" s="18"/>
      <c r="I307" s="18"/>
      <c r="J307" s="19" t="str">
        <f aca="true">IF(ISBLANK(H307), "", I307-TODAY())</f>
        <v/>
      </c>
      <c r="K307" s="19" t="str">
        <f aca="false" t="array" ref="K307:K307">IF(A307&lt;&gt;"",IF(COUNTIF(A308:A$996,"&lt;&gt;")=0,COUNTA(B307:B$996),IFERROR(MATCH(TRUE(),INDEX((A308:A$996&lt;&gt;""),0),0),COUNTA(B307:B$996))),"")</f>
        <v/>
      </c>
      <c r="L307" s="20"/>
    </row>
    <row r="308" customFormat="false" ht="13.8" hidden="false" customHeight="false" outlineLevel="0" collapsed="false">
      <c r="A308" s="16"/>
      <c r="B308" s="16"/>
      <c r="C308" s="17"/>
      <c r="D308" s="17"/>
      <c r="E308" s="17"/>
      <c r="F308" s="18"/>
      <c r="G308" s="19" t="str">
        <f aca="true">IF(F308="", "", DATEDIF(F308, TODAY(), "Y"))</f>
        <v/>
      </c>
      <c r="H308" s="18"/>
      <c r="I308" s="18"/>
      <c r="J308" s="19" t="str">
        <f aca="true">IF(ISBLANK(H308), "", I308-TODAY())</f>
        <v/>
      </c>
      <c r="K308" s="19" t="str">
        <f aca="false" t="array" ref="K308:K308">IF(A308&lt;&gt;"",IF(COUNTIF(A309:A$996,"&lt;&gt;")=0,COUNTA(B308:B$996),IFERROR(MATCH(TRUE(),INDEX((A309:A$996&lt;&gt;""),0),0),COUNTA(B308:B$996))),"")</f>
        <v/>
      </c>
      <c r="L308" s="20"/>
    </row>
    <row r="309" customFormat="false" ht="13.8" hidden="false" customHeight="false" outlineLevel="0" collapsed="false">
      <c r="A309" s="16"/>
      <c r="B309" s="16"/>
      <c r="C309" s="17"/>
      <c r="D309" s="17"/>
      <c r="E309" s="17"/>
      <c r="F309" s="18"/>
      <c r="G309" s="19" t="str">
        <f aca="true">IF(F309="", "", DATEDIF(F309, TODAY(), "Y"))</f>
        <v/>
      </c>
      <c r="H309" s="18"/>
      <c r="I309" s="18"/>
      <c r="J309" s="19" t="str">
        <f aca="true">IF(ISBLANK(H309), "", I309-TODAY())</f>
        <v/>
      </c>
      <c r="K309" s="19" t="str">
        <f aca="false" t="array" ref="K309:K309">IF(A309&lt;&gt;"",IF(COUNTIF(A310:A$996,"&lt;&gt;")=0,COUNTA(B309:B$996),IFERROR(MATCH(TRUE(),INDEX((A310:A$996&lt;&gt;""),0),0),COUNTA(B309:B$996))),"")</f>
        <v/>
      </c>
      <c r="L309" s="20"/>
    </row>
    <row r="310" customFormat="false" ht="13.8" hidden="false" customHeight="false" outlineLevel="0" collapsed="false">
      <c r="A310" s="16"/>
      <c r="B310" s="16"/>
      <c r="C310" s="17"/>
      <c r="D310" s="17"/>
      <c r="E310" s="17"/>
      <c r="F310" s="18"/>
      <c r="G310" s="19" t="str">
        <f aca="true">IF(F310="", "", DATEDIF(F310, TODAY(), "Y"))</f>
        <v/>
      </c>
      <c r="H310" s="18"/>
      <c r="I310" s="18"/>
      <c r="J310" s="19" t="str">
        <f aca="true">IF(ISBLANK(H310), "", I310-TODAY())</f>
        <v/>
      </c>
      <c r="K310" s="19" t="str">
        <f aca="false" t="array" ref="K310:K310">IF(A310&lt;&gt;"",IF(COUNTIF(A311:A$996,"&lt;&gt;")=0,COUNTA(B310:B$996),IFERROR(MATCH(TRUE(),INDEX((A311:A$996&lt;&gt;""),0),0),COUNTA(B310:B$996))),"")</f>
        <v/>
      </c>
      <c r="L310" s="20"/>
    </row>
    <row r="311" customFormat="false" ht="13.8" hidden="false" customHeight="false" outlineLevel="0" collapsed="false">
      <c r="A311" s="16"/>
      <c r="B311" s="16"/>
      <c r="C311" s="17"/>
      <c r="D311" s="17"/>
      <c r="E311" s="17"/>
      <c r="F311" s="18"/>
      <c r="G311" s="19" t="str">
        <f aca="true">IF(F311="", "", DATEDIF(F311, TODAY(), "Y"))</f>
        <v/>
      </c>
      <c r="H311" s="18"/>
      <c r="I311" s="18"/>
      <c r="J311" s="19" t="str">
        <f aca="true">IF(ISBLANK(H311), "", I311-TODAY())</f>
        <v/>
      </c>
      <c r="K311" s="19" t="str">
        <f aca="false" t="array" ref="K311:K311">IF(A311&lt;&gt;"",IF(COUNTIF(A312:A$996,"&lt;&gt;")=0,COUNTA(B311:B$996),IFERROR(MATCH(TRUE(),INDEX((A312:A$996&lt;&gt;""),0),0),COUNTA(B311:B$996))),"")</f>
        <v/>
      </c>
      <c r="L311" s="20"/>
    </row>
    <row r="312" customFormat="false" ht="13.8" hidden="false" customHeight="false" outlineLevel="0" collapsed="false">
      <c r="A312" s="16"/>
      <c r="B312" s="16"/>
      <c r="C312" s="17"/>
      <c r="D312" s="17"/>
      <c r="E312" s="17"/>
      <c r="F312" s="18"/>
      <c r="G312" s="19" t="str">
        <f aca="true">IF(F312="", "", DATEDIF(F312, TODAY(), "Y"))</f>
        <v/>
      </c>
      <c r="H312" s="18"/>
      <c r="I312" s="18"/>
      <c r="J312" s="19" t="str">
        <f aca="true">IF(ISBLANK(H312), "", I312-TODAY())</f>
        <v/>
      </c>
      <c r="K312" s="19" t="str">
        <f aca="false" t="array" ref="K312:K312">IF(A312&lt;&gt;"",IF(COUNTIF(A313:A$996,"&lt;&gt;")=0,COUNTA(B312:B$996),IFERROR(MATCH(TRUE(),INDEX((A313:A$996&lt;&gt;""),0),0),COUNTA(B312:B$996))),"")</f>
        <v/>
      </c>
      <c r="L312" s="20"/>
    </row>
    <row r="313" customFormat="false" ht="13.8" hidden="false" customHeight="false" outlineLevel="0" collapsed="false">
      <c r="A313" s="16"/>
      <c r="B313" s="16"/>
      <c r="C313" s="17"/>
      <c r="D313" s="17"/>
      <c r="E313" s="17"/>
      <c r="F313" s="18"/>
      <c r="G313" s="19" t="str">
        <f aca="true">IF(F313="", "", DATEDIF(F313, TODAY(), "Y"))</f>
        <v/>
      </c>
      <c r="H313" s="18"/>
      <c r="I313" s="18"/>
      <c r="J313" s="19" t="str">
        <f aca="true">IF(ISBLANK(H313), "", I313-TODAY())</f>
        <v/>
      </c>
      <c r="K313" s="19" t="str">
        <f aca="false" t="array" ref="K313:K313">IF(A313&lt;&gt;"",IF(COUNTIF(A314:A$996,"&lt;&gt;")=0,COUNTA(B313:B$996),IFERROR(MATCH(TRUE(),INDEX((A314:A$996&lt;&gt;""),0),0),COUNTA(B313:B$996))),"")</f>
        <v/>
      </c>
      <c r="L313" s="20"/>
    </row>
    <row r="314" customFormat="false" ht="13.8" hidden="false" customHeight="false" outlineLevel="0" collapsed="false">
      <c r="A314" s="16"/>
      <c r="B314" s="16"/>
      <c r="C314" s="17"/>
      <c r="D314" s="17"/>
      <c r="E314" s="17"/>
      <c r="F314" s="18"/>
      <c r="G314" s="19" t="str">
        <f aca="true">IF(F314="", "", DATEDIF(F314, TODAY(), "Y"))</f>
        <v/>
      </c>
      <c r="H314" s="18"/>
      <c r="I314" s="18"/>
      <c r="J314" s="19" t="str">
        <f aca="true">IF(ISBLANK(H314), "", I314-TODAY())</f>
        <v/>
      </c>
      <c r="K314" s="19" t="str">
        <f aca="false" t="array" ref="K314:K314">IF(A314&lt;&gt;"",IF(COUNTIF(A315:A$996,"&lt;&gt;")=0,COUNTA(B314:B$996),IFERROR(MATCH(TRUE(),INDEX((A315:A$996&lt;&gt;""),0),0),COUNTA(B314:B$996))),"")</f>
        <v/>
      </c>
      <c r="L314" s="20"/>
    </row>
    <row r="315" customFormat="false" ht="13.8" hidden="false" customHeight="false" outlineLevel="0" collapsed="false">
      <c r="A315" s="16"/>
      <c r="B315" s="16"/>
      <c r="C315" s="17"/>
      <c r="D315" s="17"/>
      <c r="E315" s="17"/>
      <c r="F315" s="18"/>
      <c r="G315" s="19" t="str">
        <f aca="true">IF(F315="", "", DATEDIF(F315, TODAY(), "Y"))</f>
        <v/>
      </c>
      <c r="H315" s="18"/>
      <c r="I315" s="18"/>
      <c r="J315" s="19" t="str">
        <f aca="true">IF(ISBLANK(H315), "", I315-TODAY())</f>
        <v/>
      </c>
      <c r="K315" s="19" t="str">
        <f aca="false" t="array" ref="K315:K315">IF(A315&lt;&gt;"",IF(COUNTIF(A316:A$996,"&lt;&gt;")=0,COUNTA(B315:B$996),IFERROR(MATCH(TRUE(),INDEX((A316:A$996&lt;&gt;""),0),0),COUNTA(B315:B$996))),"")</f>
        <v/>
      </c>
      <c r="L315" s="20"/>
    </row>
    <row r="316" customFormat="false" ht="13.8" hidden="false" customHeight="false" outlineLevel="0" collapsed="false">
      <c r="A316" s="16"/>
      <c r="B316" s="16"/>
      <c r="C316" s="17"/>
      <c r="D316" s="17"/>
      <c r="E316" s="17"/>
      <c r="F316" s="18"/>
      <c r="G316" s="19" t="str">
        <f aca="true">IF(F316="", "", DATEDIF(F316, TODAY(), "Y"))</f>
        <v/>
      </c>
      <c r="H316" s="18"/>
      <c r="I316" s="18"/>
      <c r="J316" s="19" t="str">
        <f aca="true">IF(ISBLANK(H316), "", I316-TODAY())</f>
        <v/>
      </c>
      <c r="K316" s="19" t="str">
        <f aca="false" t="array" ref="K316:K316">IF(A316&lt;&gt;"",IF(COUNTIF(A317:A$996,"&lt;&gt;")=0,COUNTA(B316:B$996),IFERROR(MATCH(TRUE(),INDEX((A317:A$996&lt;&gt;""),0),0),COUNTA(B316:B$996))),"")</f>
        <v/>
      </c>
      <c r="L316" s="20"/>
    </row>
    <row r="317" customFormat="false" ht="13.8" hidden="false" customHeight="false" outlineLevel="0" collapsed="false">
      <c r="A317" s="16"/>
      <c r="B317" s="16"/>
      <c r="C317" s="17"/>
      <c r="D317" s="17"/>
      <c r="E317" s="17"/>
      <c r="F317" s="18"/>
      <c r="G317" s="19" t="str">
        <f aca="true">IF(F317="", "", DATEDIF(F317, TODAY(), "Y"))</f>
        <v/>
      </c>
      <c r="H317" s="18"/>
      <c r="I317" s="18"/>
      <c r="J317" s="19" t="str">
        <f aca="true">IF(ISBLANK(H317), "", I317-TODAY())</f>
        <v/>
      </c>
      <c r="K317" s="19" t="str">
        <f aca="false" t="array" ref="K317:K317">IF(A317&lt;&gt;"",IF(COUNTIF(A318:A$996,"&lt;&gt;")=0,COUNTA(B317:B$996),IFERROR(MATCH(TRUE(),INDEX((A318:A$996&lt;&gt;""),0),0),COUNTA(B317:B$996))),"")</f>
        <v/>
      </c>
      <c r="L317" s="20"/>
    </row>
    <row r="318" customFormat="false" ht="13.8" hidden="false" customHeight="false" outlineLevel="0" collapsed="false">
      <c r="A318" s="16"/>
      <c r="B318" s="16"/>
      <c r="C318" s="17"/>
      <c r="D318" s="17"/>
      <c r="E318" s="17"/>
      <c r="F318" s="18"/>
      <c r="G318" s="19" t="str">
        <f aca="true">IF(F318="", "", DATEDIF(F318, TODAY(), "Y"))</f>
        <v/>
      </c>
      <c r="H318" s="18"/>
      <c r="I318" s="18"/>
      <c r="J318" s="19" t="str">
        <f aca="true">IF(ISBLANK(H318), "", I318-TODAY())</f>
        <v/>
      </c>
      <c r="K318" s="19" t="str">
        <f aca="false" t="array" ref="K318:K318">IF(A318&lt;&gt;"",IF(COUNTIF(A319:A$996,"&lt;&gt;")=0,COUNTA(B318:B$996),IFERROR(MATCH(TRUE(),INDEX((A319:A$996&lt;&gt;""),0),0),COUNTA(B318:B$996))),"")</f>
        <v/>
      </c>
      <c r="L318" s="20"/>
    </row>
    <row r="319" customFormat="false" ht="13.8" hidden="false" customHeight="false" outlineLevel="0" collapsed="false">
      <c r="A319" s="16"/>
      <c r="B319" s="16"/>
      <c r="C319" s="17"/>
      <c r="D319" s="17"/>
      <c r="E319" s="17"/>
      <c r="F319" s="18"/>
      <c r="G319" s="19" t="str">
        <f aca="true">IF(F319="", "", DATEDIF(F319, TODAY(), "Y"))</f>
        <v/>
      </c>
      <c r="H319" s="18"/>
      <c r="I319" s="18"/>
      <c r="J319" s="19" t="str">
        <f aca="true">IF(ISBLANK(H319), "", I319-TODAY())</f>
        <v/>
      </c>
      <c r="K319" s="19" t="str">
        <f aca="false" t="array" ref="K319:K319">IF(A319&lt;&gt;"",IF(COUNTIF(A320:A$996,"&lt;&gt;")=0,COUNTA(B319:B$996),IFERROR(MATCH(TRUE(),INDEX((A320:A$996&lt;&gt;""),0),0),COUNTA(B319:B$996))),"")</f>
        <v/>
      </c>
      <c r="L319" s="20"/>
    </row>
    <row r="320" customFormat="false" ht="13.8" hidden="false" customHeight="false" outlineLevel="0" collapsed="false">
      <c r="A320" s="16"/>
      <c r="B320" s="16"/>
      <c r="C320" s="17"/>
      <c r="D320" s="17"/>
      <c r="E320" s="17"/>
      <c r="F320" s="18"/>
      <c r="G320" s="19" t="str">
        <f aca="true">IF(F320="", "", DATEDIF(F320, TODAY(), "Y"))</f>
        <v/>
      </c>
      <c r="H320" s="18"/>
      <c r="I320" s="18"/>
      <c r="J320" s="19" t="str">
        <f aca="true">IF(ISBLANK(H320), "", I320-TODAY())</f>
        <v/>
      </c>
      <c r="K320" s="19" t="str">
        <f aca="false" t="array" ref="K320:K320">IF(A320&lt;&gt;"",IF(COUNTIF(A321:A$996,"&lt;&gt;")=0,COUNTA(B320:B$996),IFERROR(MATCH(TRUE(),INDEX((A321:A$996&lt;&gt;""),0),0),COUNTA(B320:B$996))),"")</f>
        <v/>
      </c>
      <c r="L320" s="20"/>
    </row>
    <row r="321" customFormat="false" ht="13.8" hidden="false" customHeight="false" outlineLevel="0" collapsed="false">
      <c r="A321" s="16"/>
      <c r="B321" s="16"/>
      <c r="C321" s="17"/>
      <c r="D321" s="17"/>
      <c r="E321" s="17"/>
      <c r="F321" s="18"/>
      <c r="G321" s="19" t="str">
        <f aca="true">IF(F321="", "", DATEDIF(F321, TODAY(), "Y"))</f>
        <v/>
      </c>
      <c r="H321" s="18"/>
      <c r="I321" s="18"/>
      <c r="J321" s="19" t="str">
        <f aca="true">IF(ISBLANK(H321), "", I321-TODAY())</f>
        <v/>
      </c>
      <c r="K321" s="19" t="str">
        <f aca="false" t="array" ref="K321:K321">IF(A321&lt;&gt;"",IF(COUNTIF(A322:A$996,"&lt;&gt;")=0,COUNTA(B321:B$996),IFERROR(MATCH(TRUE(),INDEX((A322:A$996&lt;&gt;""),0),0),COUNTA(B321:B$996))),"")</f>
        <v/>
      </c>
      <c r="L321" s="20"/>
    </row>
    <row r="322" customFormat="false" ht="13.8" hidden="false" customHeight="false" outlineLevel="0" collapsed="false">
      <c r="A322" s="16"/>
      <c r="B322" s="16"/>
      <c r="C322" s="17"/>
      <c r="D322" s="17"/>
      <c r="E322" s="17"/>
      <c r="F322" s="18"/>
      <c r="G322" s="19" t="str">
        <f aca="true">IF(F322="", "", DATEDIF(F322, TODAY(), "Y"))</f>
        <v/>
      </c>
      <c r="H322" s="18"/>
      <c r="I322" s="18"/>
      <c r="J322" s="19" t="str">
        <f aca="true">IF(ISBLANK(H322), "", I322-TODAY())</f>
        <v/>
      </c>
      <c r="K322" s="19" t="str">
        <f aca="false" t="array" ref="K322:K322">IF(A322&lt;&gt;"",IF(COUNTIF(A323:A$996,"&lt;&gt;")=0,COUNTA(B322:B$996),IFERROR(MATCH(TRUE(),INDEX((A323:A$996&lt;&gt;""),0),0),COUNTA(B322:B$996))),"")</f>
        <v/>
      </c>
      <c r="L322" s="20"/>
    </row>
    <row r="323" customFormat="false" ht="13.8" hidden="false" customHeight="false" outlineLevel="0" collapsed="false">
      <c r="A323" s="16"/>
      <c r="B323" s="16"/>
      <c r="C323" s="17"/>
      <c r="D323" s="17"/>
      <c r="E323" s="17"/>
      <c r="F323" s="18"/>
      <c r="G323" s="19" t="str">
        <f aca="true">IF(F323="", "", DATEDIF(F323, TODAY(), "Y"))</f>
        <v/>
      </c>
      <c r="H323" s="18"/>
      <c r="I323" s="18"/>
      <c r="J323" s="19" t="str">
        <f aca="true">IF(ISBLANK(H323), "", I323-TODAY())</f>
        <v/>
      </c>
      <c r="K323" s="19" t="str">
        <f aca="false" t="array" ref="K323:K323">IF(A323&lt;&gt;"",IF(COUNTIF(A324:A$996,"&lt;&gt;")=0,COUNTA(B323:B$996),IFERROR(MATCH(TRUE(),INDEX((A324:A$996&lt;&gt;""),0),0),COUNTA(B323:B$996))),"")</f>
        <v/>
      </c>
      <c r="L323" s="20"/>
    </row>
    <row r="324" customFormat="false" ht="13.8" hidden="false" customHeight="false" outlineLevel="0" collapsed="false">
      <c r="A324" s="16"/>
      <c r="B324" s="16"/>
      <c r="C324" s="17"/>
      <c r="D324" s="17"/>
      <c r="E324" s="17"/>
      <c r="F324" s="18"/>
      <c r="G324" s="19" t="str">
        <f aca="true">IF(F324="", "", DATEDIF(F324, TODAY(), "Y"))</f>
        <v/>
      </c>
      <c r="H324" s="18"/>
      <c r="I324" s="18"/>
      <c r="J324" s="19" t="str">
        <f aca="true">IF(ISBLANK(H324), "", I324-TODAY())</f>
        <v/>
      </c>
      <c r="K324" s="19" t="str">
        <f aca="false" t="array" ref="K324:K324">IF(A324&lt;&gt;"",IF(COUNTIF(A325:A$996,"&lt;&gt;")=0,COUNTA(B324:B$996),IFERROR(MATCH(TRUE(),INDEX((A325:A$996&lt;&gt;""),0),0),COUNTA(B324:B$996))),"")</f>
        <v/>
      </c>
      <c r="L324" s="20"/>
    </row>
    <row r="325" customFormat="false" ht="13.8" hidden="false" customHeight="false" outlineLevel="0" collapsed="false">
      <c r="A325" s="16"/>
      <c r="B325" s="16"/>
      <c r="C325" s="17"/>
      <c r="D325" s="17"/>
      <c r="E325" s="17"/>
      <c r="F325" s="18"/>
      <c r="G325" s="19" t="str">
        <f aca="true">IF(F325="", "", DATEDIF(F325, TODAY(), "Y"))</f>
        <v/>
      </c>
      <c r="H325" s="18"/>
      <c r="I325" s="18"/>
      <c r="J325" s="19" t="str">
        <f aca="true">IF(ISBLANK(H325), "", I325-TODAY())</f>
        <v/>
      </c>
      <c r="K325" s="19" t="str">
        <f aca="false" t="array" ref="K325:K325">IF(A325&lt;&gt;"",IF(COUNTIF(A326:A$996,"&lt;&gt;")=0,COUNTA(B325:B$996),IFERROR(MATCH(TRUE(),INDEX((A326:A$996&lt;&gt;""),0),0),COUNTA(B325:B$996))),"")</f>
        <v/>
      </c>
      <c r="L325" s="20"/>
    </row>
    <row r="326" customFormat="false" ht="13.8" hidden="false" customHeight="false" outlineLevel="0" collapsed="false">
      <c r="A326" s="16"/>
      <c r="B326" s="16"/>
      <c r="C326" s="17"/>
      <c r="D326" s="17"/>
      <c r="E326" s="17"/>
      <c r="F326" s="18"/>
      <c r="G326" s="19" t="str">
        <f aca="true">IF(F326="", "", DATEDIF(F326, TODAY(), "Y"))</f>
        <v/>
      </c>
      <c r="H326" s="18"/>
      <c r="I326" s="18"/>
      <c r="J326" s="19" t="str">
        <f aca="true">IF(ISBLANK(H326), "", I326-TODAY())</f>
        <v/>
      </c>
      <c r="K326" s="19" t="str">
        <f aca="false" t="array" ref="K326:K326">IF(A326&lt;&gt;"",IF(COUNTIF(A327:A$996,"&lt;&gt;")=0,COUNTA(B326:B$996),IFERROR(MATCH(TRUE(),INDEX((A327:A$996&lt;&gt;""),0),0),COUNTA(B326:B$996))),"")</f>
        <v/>
      </c>
      <c r="L326" s="20"/>
    </row>
    <row r="327" customFormat="false" ht="13.8" hidden="false" customHeight="false" outlineLevel="0" collapsed="false">
      <c r="A327" s="16"/>
      <c r="B327" s="16"/>
      <c r="C327" s="17"/>
      <c r="D327" s="17"/>
      <c r="E327" s="17"/>
      <c r="F327" s="18"/>
      <c r="G327" s="19" t="str">
        <f aca="true">IF(F327="", "", DATEDIF(F327, TODAY(), "Y"))</f>
        <v/>
      </c>
      <c r="H327" s="18"/>
      <c r="I327" s="18"/>
      <c r="J327" s="19" t="str">
        <f aca="true">IF(ISBLANK(H327), "", I327-TODAY())</f>
        <v/>
      </c>
      <c r="K327" s="19" t="str">
        <f aca="false" t="array" ref="K327:K327">IF(A327&lt;&gt;"",IF(COUNTIF(A328:A$996,"&lt;&gt;")=0,COUNTA(B327:B$996),IFERROR(MATCH(TRUE(),INDEX((A328:A$996&lt;&gt;""),0),0),COUNTA(B327:B$996))),"")</f>
        <v/>
      </c>
      <c r="L327" s="20"/>
    </row>
    <row r="328" customFormat="false" ht="13.8" hidden="false" customHeight="false" outlineLevel="0" collapsed="false">
      <c r="A328" s="16"/>
      <c r="B328" s="16"/>
      <c r="C328" s="17"/>
      <c r="D328" s="17"/>
      <c r="E328" s="17"/>
      <c r="F328" s="18"/>
      <c r="G328" s="19" t="str">
        <f aca="true">IF(F328="", "", DATEDIF(F328, TODAY(), "Y"))</f>
        <v/>
      </c>
      <c r="H328" s="18"/>
      <c r="I328" s="18"/>
      <c r="J328" s="19" t="str">
        <f aca="true">IF(ISBLANK(H328), "", I328-TODAY())</f>
        <v/>
      </c>
      <c r="K328" s="19" t="str">
        <f aca="false" t="array" ref="K328:K328">IF(A328&lt;&gt;"",IF(COUNTIF(A329:A$996,"&lt;&gt;")=0,COUNTA(B328:B$996),IFERROR(MATCH(TRUE(),INDEX((A329:A$996&lt;&gt;""),0),0),COUNTA(B328:B$996))),"")</f>
        <v/>
      </c>
      <c r="L328" s="20"/>
    </row>
    <row r="329" customFormat="false" ht="13.8" hidden="false" customHeight="false" outlineLevel="0" collapsed="false">
      <c r="A329" s="16"/>
      <c r="B329" s="16"/>
      <c r="C329" s="17"/>
      <c r="D329" s="17"/>
      <c r="E329" s="17"/>
      <c r="F329" s="18"/>
      <c r="G329" s="19" t="str">
        <f aca="true">IF(F329="", "", DATEDIF(F329, TODAY(), "Y"))</f>
        <v/>
      </c>
      <c r="H329" s="18"/>
      <c r="I329" s="18"/>
      <c r="J329" s="19" t="str">
        <f aca="true">IF(ISBLANK(H329), "", I329-TODAY())</f>
        <v/>
      </c>
      <c r="K329" s="19" t="str">
        <f aca="false" t="array" ref="K329:K329">IF(A329&lt;&gt;"",IF(COUNTIF(A330:A$996,"&lt;&gt;")=0,COUNTA(B329:B$996),IFERROR(MATCH(TRUE(),INDEX((A330:A$996&lt;&gt;""),0),0),COUNTA(B329:B$996))),"")</f>
        <v/>
      </c>
      <c r="L329" s="20"/>
    </row>
    <row r="330" customFormat="false" ht="13.8" hidden="false" customHeight="false" outlineLevel="0" collapsed="false">
      <c r="A330" s="16"/>
      <c r="B330" s="16"/>
      <c r="C330" s="17"/>
      <c r="D330" s="17"/>
      <c r="E330" s="17"/>
      <c r="F330" s="18"/>
      <c r="G330" s="19" t="str">
        <f aca="true">IF(F330="", "", DATEDIF(F330, TODAY(), "Y"))</f>
        <v/>
      </c>
      <c r="H330" s="18"/>
      <c r="I330" s="18"/>
      <c r="J330" s="19" t="str">
        <f aca="true">IF(ISBLANK(H330), "", I330-TODAY())</f>
        <v/>
      </c>
      <c r="K330" s="19" t="str">
        <f aca="false" t="array" ref="K330:K330">IF(A330&lt;&gt;"",IF(COUNTIF(A331:A$996,"&lt;&gt;")=0,COUNTA(B330:B$996),IFERROR(MATCH(TRUE(),INDEX((A331:A$996&lt;&gt;""),0),0),COUNTA(B330:B$996))),"")</f>
        <v/>
      </c>
      <c r="L330" s="20"/>
    </row>
    <row r="331" customFormat="false" ht="13.8" hidden="false" customHeight="false" outlineLevel="0" collapsed="false">
      <c r="A331" s="16"/>
      <c r="B331" s="16"/>
      <c r="C331" s="17"/>
      <c r="D331" s="17"/>
      <c r="E331" s="17"/>
      <c r="F331" s="18"/>
      <c r="G331" s="19" t="str">
        <f aca="true">IF(F331="", "", DATEDIF(F331, TODAY(), "Y"))</f>
        <v/>
      </c>
      <c r="H331" s="18"/>
      <c r="I331" s="18"/>
      <c r="J331" s="19" t="str">
        <f aca="true">IF(ISBLANK(H331), "", I331-TODAY())</f>
        <v/>
      </c>
      <c r="K331" s="19" t="str">
        <f aca="false" t="array" ref="K331:K331">IF(A331&lt;&gt;"",IF(COUNTIF(A332:A$996,"&lt;&gt;")=0,COUNTA(B331:B$996),IFERROR(MATCH(TRUE(),INDEX((A332:A$996&lt;&gt;""),0),0),COUNTA(B331:B$996))),"")</f>
        <v/>
      </c>
      <c r="L331" s="20"/>
    </row>
    <row r="332" customFormat="false" ht="13.8" hidden="false" customHeight="false" outlineLevel="0" collapsed="false">
      <c r="A332" s="16"/>
      <c r="B332" s="16"/>
      <c r="C332" s="17"/>
      <c r="D332" s="17"/>
      <c r="E332" s="17"/>
      <c r="F332" s="18"/>
      <c r="G332" s="19" t="str">
        <f aca="true">IF(F332="", "", DATEDIF(F332, TODAY(), "Y"))</f>
        <v/>
      </c>
      <c r="H332" s="18"/>
      <c r="I332" s="18"/>
      <c r="J332" s="19" t="str">
        <f aca="true">IF(ISBLANK(H332), "", I332-TODAY())</f>
        <v/>
      </c>
      <c r="K332" s="19" t="str">
        <f aca="false" t="array" ref="K332:K332">IF(A332&lt;&gt;"",IF(COUNTIF(A333:A$996,"&lt;&gt;")=0,COUNTA(B332:B$996),IFERROR(MATCH(TRUE(),INDEX((A333:A$996&lt;&gt;""),0),0),COUNTA(B332:B$996))),"")</f>
        <v/>
      </c>
      <c r="L332" s="20"/>
    </row>
    <row r="333" customFormat="false" ht="13.8" hidden="false" customHeight="false" outlineLevel="0" collapsed="false">
      <c r="A333" s="16"/>
      <c r="B333" s="16"/>
      <c r="C333" s="17"/>
      <c r="D333" s="17"/>
      <c r="E333" s="17"/>
      <c r="F333" s="18"/>
      <c r="G333" s="19" t="str">
        <f aca="true">IF(F333="", "", DATEDIF(F333, TODAY(), "Y"))</f>
        <v/>
      </c>
      <c r="H333" s="18"/>
      <c r="I333" s="18"/>
      <c r="J333" s="19" t="str">
        <f aca="true">IF(ISBLANK(H333), "", I333-TODAY())</f>
        <v/>
      </c>
      <c r="K333" s="19" t="str">
        <f aca="false" t="array" ref="K333:K333">IF(A333&lt;&gt;"",IF(COUNTIF(A334:A$996,"&lt;&gt;")=0,COUNTA(B333:B$996),IFERROR(MATCH(TRUE(),INDEX((A334:A$996&lt;&gt;""),0),0),COUNTA(B333:B$996))),"")</f>
        <v/>
      </c>
      <c r="L333" s="20"/>
    </row>
    <row r="334" customFormat="false" ht="13.8" hidden="false" customHeight="false" outlineLevel="0" collapsed="false">
      <c r="A334" s="16"/>
      <c r="B334" s="16"/>
      <c r="C334" s="17"/>
      <c r="D334" s="17"/>
      <c r="E334" s="17"/>
      <c r="F334" s="18"/>
      <c r="G334" s="19" t="str">
        <f aca="true">IF(F334="", "", DATEDIF(F334, TODAY(), "Y"))</f>
        <v/>
      </c>
      <c r="H334" s="18"/>
      <c r="I334" s="18"/>
      <c r="J334" s="19" t="str">
        <f aca="true">IF(ISBLANK(H334), "", I334-TODAY())</f>
        <v/>
      </c>
      <c r="K334" s="19" t="str">
        <f aca="false" t="array" ref="K334:K334">IF(A334&lt;&gt;"",IF(COUNTIF(A335:A$996,"&lt;&gt;")=0,COUNTA(B334:B$996),IFERROR(MATCH(TRUE(),INDEX((A335:A$996&lt;&gt;""),0),0),COUNTA(B334:B$996))),"")</f>
        <v/>
      </c>
      <c r="L334" s="20"/>
    </row>
    <row r="335" customFormat="false" ht="13.8" hidden="false" customHeight="false" outlineLevel="0" collapsed="false">
      <c r="A335" s="16"/>
      <c r="B335" s="16"/>
      <c r="C335" s="17"/>
      <c r="D335" s="17"/>
      <c r="E335" s="17"/>
      <c r="F335" s="18"/>
      <c r="G335" s="19" t="str">
        <f aca="true">IF(F335="", "", DATEDIF(F335, TODAY(), "Y"))</f>
        <v/>
      </c>
      <c r="H335" s="18"/>
      <c r="I335" s="18"/>
      <c r="J335" s="19" t="str">
        <f aca="true">IF(ISBLANK(H335), "", I335-TODAY())</f>
        <v/>
      </c>
      <c r="K335" s="19" t="str">
        <f aca="false" t="array" ref="K335:K335">IF(A335&lt;&gt;"",IF(COUNTIF(A336:A$996,"&lt;&gt;")=0,COUNTA(B335:B$996),IFERROR(MATCH(TRUE(),INDEX((A336:A$996&lt;&gt;""),0),0),COUNTA(B335:B$996))),"")</f>
        <v/>
      </c>
      <c r="L335" s="20"/>
    </row>
    <row r="336" customFormat="false" ht="13.8" hidden="false" customHeight="false" outlineLevel="0" collapsed="false">
      <c r="A336" s="16"/>
      <c r="B336" s="16"/>
      <c r="C336" s="17"/>
      <c r="D336" s="17"/>
      <c r="E336" s="17"/>
      <c r="F336" s="18"/>
      <c r="G336" s="19" t="str">
        <f aca="true">IF(F336="", "", DATEDIF(F336, TODAY(), "Y"))</f>
        <v/>
      </c>
      <c r="H336" s="18"/>
      <c r="I336" s="18"/>
      <c r="J336" s="19" t="str">
        <f aca="true">IF(ISBLANK(H336), "", I336-TODAY())</f>
        <v/>
      </c>
      <c r="K336" s="19" t="str">
        <f aca="false" t="array" ref="K336:K336">IF(A336&lt;&gt;"",IF(COUNTIF(A337:A$996,"&lt;&gt;")=0,COUNTA(B336:B$996),IFERROR(MATCH(TRUE(),INDEX((A337:A$996&lt;&gt;""),0),0),COUNTA(B336:B$996))),"")</f>
        <v/>
      </c>
      <c r="L336" s="20"/>
    </row>
    <row r="337" customFormat="false" ht="13.8" hidden="false" customHeight="false" outlineLevel="0" collapsed="false">
      <c r="A337" s="16"/>
      <c r="B337" s="16"/>
      <c r="C337" s="17"/>
      <c r="D337" s="17"/>
      <c r="E337" s="17"/>
      <c r="F337" s="18"/>
      <c r="G337" s="19" t="str">
        <f aca="true">IF(F337="", "", DATEDIF(F337, TODAY(), "Y"))</f>
        <v/>
      </c>
      <c r="H337" s="18"/>
      <c r="I337" s="18"/>
      <c r="J337" s="19" t="str">
        <f aca="true">IF(ISBLANK(H337), "", I337-TODAY())</f>
        <v/>
      </c>
      <c r="K337" s="19" t="str">
        <f aca="false" t="array" ref="K337:K337">IF(A337&lt;&gt;"",IF(COUNTIF(A338:A$996,"&lt;&gt;")=0,COUNTA(B337:B$996),IFERROR(MATCH(TRUE(),INDEX((A338:A$996&lt;&gt;""),0),0),COUNTA(B337:B$996))),"")</f>
        <v/>
      </c>
      <c r="L337" s="20"/>
    </row>
    <row r="338" customFormat="false" ht="13.8" hidden="false" customHeight="false" outlineLevel="0" collapsed="false">
      <c r="A338" s="16"/>
      <c r="B338" s="16"/>
      <c r="C338" s="17"/>
      <c r="D338" s="17"/>
      <c r="E338" s="17"/>
      <c r="F338" s="18"/>
      <c r="G338" s="19" t="str">
        <f aca="true">IF(F338="", "", DATEDIF(F338, TODAY(), "Y"))</f>
        <v/>
      </c>
      <c r="H338" s="18"/>
      <c r="I338" s="18"/>
      <c r="J338" s="19" t="str">
        <f aca="true">IF(ISBLANK(H338), "", I338-TODAY())</f>
        <v/>
      </c>
      <c r="K338" s="19" t="str">
        <f aca="false" t="array" ref="K338:K338">IF(A338&lt;&gt;"",IF(COUNTIF(A339:A$996,"&lt;&gt;")=0,COUNTA(B338:B$996),IFERROR(MATCH(TRUE(),INDEX((A339:A$996&lt;&gt;""),0),0),COUNTA(B338:B$996))),"")</f>
        <v/>
      </c>
      <c r="L338" s="20"/>
    </row>
    <row r="339" customFormat="false" ht="13.8" hidden="false" customHeight="false" outlineLevel="0" collapsed="false">
      <c r="A339" s="16"/>
      <c r="B339" s="16"/>
      <c r="C339" s="17"/>
      <c r="D339" s="17"/>
      <c r="E339" s="17"/>
      <c r="F339" s="18"/>
      <c r="G339" s="19" t="str">
        <f aca="true">IF(F339="", "", DATEDIF(F339, TODAY(), "Y"))</f>
        <v/>
      </c>
      <c r="H339" s="18"/>
      <c r="I339" s="18"/>
      <c r="J339" s="19" t="str">
        <f aca="true">IF(ISBLANK(H339), "", I339-TODAY())</f>
        <v/>
      </c>
      <c r="K339" s="19" t="str">
        <f aca="false" t="array" ref="K339:K339">IF(A339&lt;&gt;"",IF(COUNTIF(A340:A$996,"&lt;&gt;")=0,COUNTA(B339:B$996),IFERROR(MATCH(TRUE(),INDEX((A340:A$996&lt;&gt;""),0),0),COUNTA(B339:B$996))),"")</f>
        <v/>
      </c>
      <c r="L339" s="20"/>
    </row>
    <row r="340" customFormat="false" ht="13.8" hidden="false" customHeight="false" outlineLevel="0" collapsed="false">
      <c r="A340" s="16"/>
      <c r="B340" s="16"/>
      <c r="C340" s="17"/>
      <c r="D340" s="17"/>
      <c r="E340" s="17"/>
      <c r="F340" s="18"/>
      <c r="G340" s="19" t="str">
        <f aca="true">IF(F340="", "", DATEDIF(F340, TODAY(), "Y"))</f>
        <v/>
      </c>
      <c r="H340" s="18"/>
      <c r="I340" s="18"/>
      <c r="J340" s="19" t="str">
        <f aca="true">IF(ISBLANK(H340), "", I340-TODAY())</f>
        <v/>
      </c>
      <c r="K340" s="19" t="str">
        <f aca="false" t="array" ref="K340:K340">IF(A340&lt;&gt;"",IF(COUNTIF(A341:A$996,"&lt;&gt;")=0,COUNTA(B340:B$996),IFERROR(MATCH(TRUE(),INDEX((A341:A$996&lt;&gt;""),0),0),COUNTA(B340:B$996))),"")</f>
        <v/>
      </c>
      <c r="L340" s="20"/>
    </row>
    <row r="341" customFormat="false" ht="13.8" hidden="false" customHeight="false" outlineLevel="0" collapsed="false">
      <c r="A341" s="16"/>
      <c r="B341" s="16"/>
      <c r="C341" s="17"/>
      <c r="D341" s="17"/>
      <c r="E341" s="17"/>
      <c r="F341" s="18"/>
      <c r="G341" s="19" t="str">
        <f aca="true">IF(F341="", "", DATEDIF(F341, TODAY(), "Y"))</f>
        <v/>
      </c>
      <c r="H341" s="18"/>
      <c r="I341" s="18"/>
      <c r="J341" s="19" t="str">
        <f aca="true">IF(ISBLANK(H341), "", I341-TODAY())</f>
        <v/>
      </c>
      <c r="K341" s="19" t="str">
        <f aca="false" t="array" ref="K341:K341">IF(A341&lt;&gt;"",IF(COUNTIF(A342:A$996,"&lt;&gt;")=0,COUNTA(B341:B$996),IFERROR(MATCH(TRUE(),INDEX((A342:A$996&lt;&gt;""),0),0),COUNTA(B341:B$996))),"")</f>
        <v/>
      </c>
      <c r="L341" s="20"/>
    </row>
    <row r="342" customFormat="false" ht="13.8" hidden="false" customHeight="false" outlineLevel="0" collapsed="false">
      <c r="A342" s="16"/>
      <c r="B342" s="16"/>
      <c r="C342" s="17"/>
      <c r="D342" s="17"/>
      <c r="E342" s="17"/>
      <c r="F342" s="18"/>
      <c r="G342" s="19" t="str">
        <f aca="true">IF(F342="", "", DATEDIF(F342, TODAY(), "Y"))</f>
        <v/>
      </c>
      <c r="H342" s="18"/>
      <c r="I342" s="18"/>
      <c r="J342" s="19" t="str">
        <f aca="true">IF(ISBLANK(H342), "", I342-TODAY())</f>
        <v/>
      </c>
      <c r="K342" s="19" t="str">
        <f aca="false" t="array" ref="K342:K342">IF(A342&lt;&gt;"",IF(COUNTIF(A343:A$996,"&lt;&gt;")=0,COUNTA(B342:B$996),IFERROR(MATCH(TRUE(),INDEX((A343:A$996&lt;&gt;""),0),0),COUNTA(B342:B$996))),"")</f>
        <v/>
      </c>
      <c r="L342" s="20"/>
    </row>
    <row r="343" customFormat="false" ht="13.8" hidden="false" customHeight="false" outlineLevel="0" collapsed="false">
      <c r="A343" s="16"/>
      <c r="B343" s="16"/>
      <c r="C343" s="17"/>
      <c r="D343" s="17"/>
      <c r="E343" s="17"/>
      <c r="F343" s="18"/>
      <c r="G343" s="19" t="str">
        <f aca="true">IF(F343="", "", DATEDIF(F343, TODAY(), "Y"))</f>
        <v/>
      </c>
      <c r="H343" s="18"/>
      <c r="I343" s="18"/>
      <c r="J343" s="19" t="str">
        <f aca="true">IF(ISBLANK(H343), "", I343-TODAY())</f>
        <v/>
      </c>
      <c r="K343" s="19" t="str">
        <f aca="false" t="array" ref="K343:K343">IF(A343&lt;&gt;"",IF(COUNTIF(A344:A$996,"&lt;&gt;")=0,COUNTA(B343:B$996),IFERROR(MATCH(TRUE(),INDEX((A344:A$996&lt;&gt;""),0),0),COUNTA(B343:B$996))),"")</f>
        <v/>
      </c>
      <c r="L343" s="20"/>
    </row>
    <row r="344" customFormat="false" ht="13.8" hidden="false" customHeight="false" outlineLevel="0" collapsed="false">
      <c r="A344" s="16"/>
      <c r="B344" s="16"/>
      <c r="C344" s="17"/>
      <c r="D344" s="17"/>
      <c r="E344" s="17"/>
      <c r="F344" s="18"/>
      <c r="G344" s="19" t="str">
        <f aca="true">IF(F344="", "", DATEDIF(F344, TODAY(), "Y"))</f>
        <v/>
      </c>
      <c r="H344" s="18"/>
      <c r="I344" s="18"/>
      <c r="J344" s="19" t="str">
        <f aca="true">IF(ISBLANK(H344), "", I344-TODAY())</f>
        <v/>
      </c>
      <c r="K344" s="19" t="str">
        <f aca="false" t="array" ref="K344:K344">IF(A344&lt;&gt;"",IF(COUNTIF(A345:A$996,"&lt;&gt;")=0,COUNTA(B344:B$996),IFERROR(MATCH(TRUE(),INDEX((A345:A$996&lt;&gt;""),0),0),COUNTA(B344:B$996))),"")</f>
        <v/>
      </c>
      <c r="L344" s="20"/>
    </row>
    <row r="345" customFormat="false" ht="13.8" hidden="false" customHeight="false" outlineLevel="0" collapsed="false">
      <c r="A345" s="16"/>
      <c r="B345" s="16"/>
      <c r="C345" s="17"/>
      <c r="D345" s="17"/>
      <c r="E345" s="17"/>
      <c r="F345" s="18"/>
      <c r="G345" s="19" t="str">
        <f aca="true">IF(F345="", "", DATEDIF(F345, TODAY(), "Y"))</f>
        <v/>
      </c>
      <c r="H345" s="18"/>
      <c r="I345" s="18"/>
      <c r="J345" s="19" t="str">
        <f aca="true">IF(ISBLANK(H345), "", I345-TODAY())</f>
        <v/>
      </c>
      <c r="K345" s="19" t="str">
        <f aca="false" t="array" ref="K345:K345">IF(A345&lt;&gt;"",IF(COUNTIF(A346:A$996,"&lt;&gt;")=0,COUNTA(B345:B$996),IFERROR(MATCH(TRUE(),INDEX((A346:A$996&lt;&gt;""),0),0),COUNTA(B345:B$996))),"")</f>
        <v/>
      </c>
      <c r="L345" s="20"/>
    </row>
    <row r="346" customFormat="false" ht="13.8" hidden="false" customHeight="false" outlineLevel="0" collapsed="false">
      <c r="A346" s="16"/>
      <c r="B346" s="16"/>
      <c r="C346" s="17"/>
      <c r="D346" s="17"/>
      <c r="E346" s="17"/>
      <c r="F346" s="18"/>
      <c r="G346" s="19" t="str">
        <f aca="true">IF(F346="", "", DATEDIF(F346, TODAY(), "Y"))</f>
        <v/>
      </c>
      <c r="H346" s="18"/>
      <c r="I346" s="18"/>
      <c r="J346" s="19" t="str">
        <f aca="true">IF(ISBLANK(H346), "", I346-TODAY())</f>
        <v/>
      </c>
      <c r="K346" s="19" t="str">
        <f aca="false" t="array" ref="K346:K346">IF(A346&lt;&gt;"",IF(COUNTIF(A347:A$996,"&lt;&gt;")=0,COUNTA(B346:B$996),IFERROR(MATCH(TRUE(),INDEX((A347:A$996&lt;&gt;""),0),0),COUNTA(B346:B$996))),"")</f>
        <v/>
      </c>
      <c r="L346" s="20"/>
    </row>
    <row r="347" customFormat="false" ht="13.8" hidden="false" customHeight="false" outlineLevel="0" collapsed="false">
      <c r="A347" s="16"/>
      <c r="B347" s="16"/>
      <c r="C347" s="17"/>
      <c r="D347" s="17"/>
      <c r="E347" s="17"/>
      <c r="F347" s="18"/>
      <c r="G347" s="19" t="str">
        <f aca="true">IF(F347="", "", DATEDIF(F347, TODAY(), "Y"))</f>
        <v/>
      </c>
      <c r="H347" s="18"/>
      <c r="I347" s="18"/>
      <c r="J347" s="19" t="str">
        <f aca="true">IF(ISBLANK(H347), "", I347-TODAY())</f>
        <v/>
      </c>
      <c r="K347" s="19" t="str">
        <f aca="false" t="array" ref="K347:K347">IF(A347&lt;&gt;"",IF(COUNTIF(A348:A$996,"&lt;&gt;")=0,COUNTA(B347:B$996),IFERROR(MATCH(TRUE(),INDEX((A348:A$996&lt;&gt;""),0),0),COUNTA(B347:B$996))),"")</f>
        <v/>
      </c>
      <c r="L347" s="20"/>
    </row>
    <row r="348" customFormat="false" ht="13.8" hidden="false" customHeight="false" outlineLevel="0" collapsed="false">
      <c r="A348" s="16"/>
      <c r="B348" s="16"/>
      <c r="C348" s="17"/>
      <c r="D348" s="17"/>
      <c r="E348" s="17"/>
      <c r="F348" s="18"/>
      <c r="G348" s="19" t="str">
        <f aca="true">IF(F348="", "", DATEDIF(F348, TODAY(), "Y"))</f>
        <v/>
      </c>
      <c r="H348" s="18"/>
      <c r="I348" s="18"/>
      <c r="J348" s="19" t="str">
        <f aca="true">IF(ISBLANK(H348), "", I348-TODAY())</f>
        <v/>
      </c>
      <c r="K348" s="19" t="str">
        <f aca="false" t="array" ref="K348:K348">IF(A348&lt;&gt;"",IF(COUNTIF(A349:A$996,"&lt;&gt;")=0,COUNTA(B348:B$996),IFERROR(MATCH(TRUE(),INDEX((A349:A$996&lt;&gt;""),0),0),COUNTA(B348:B$996))),"")</f>
        <v/>
      </c>
      <c r="L348" s="20"/>
    </row>
    <row r="349" customFormat="false" ht="13.8" hidden="false" customHeight="false" outlineLevel="0" collapsed="false">
      <c r="A349" s="16"/>
      <c r="B349" s="16"/>
      <c r="C349" s="17"/>
      <c r="D349" s="17"/>
      <c r="E349" s="17"/>
      <c r="F349" s="18"/>
      <c r="G349" s="19" t="str">
        <f aca="true">IF(F349="", "", DATEDIF(F349, TODAY(), "Y"))</f>
        <v/>
      </c>
      <c r="H349" s="18"/>
      <c r="I349" s="18"/>
      <c r="J349" s="19" t="str">
        <f aca="true">IF(ISBLANK(H349), "", I349-TODAY())</f>
        <v/>
      </c>
      <c r="K349" s="19" t="str">
        <f aca="false" t="array" ref="K349:K349">IF(A349&lt;&gt;"",IF(COUNTIF(A350:A$996,"&lt;&gt;")=0,COUNTA(B349:B$996),IFERROR(MATCH(TRUE(),INDEX((A350:A$996&lt;&gt;""),0),0),COUNTA(B349:B$996))),"")</f>
        <v/>
      </c>
      <c r="L349" s="20"/>
    </row>
    <row r="350" customFormat="false" ht="13.8" hidden="false" customHeight="false" outlineLevel="0" collapsed="false">
      <c r="A350" s="16"/>
      <c r="B350" s="16"/>
      <c r="C350" s="17"/>
      <c r="D350" s="17"/>
      <c r="E350" s="17"/>
      <c r="F350" s="18"/>
      <c r="G350" s="19" t="str">
        <f aca="true">IF(F350="", "", DATEDIF(F350, TODAY(), "Y"))</f>
        <v/>
      </c>
      <c r="H350" s="18"/>
      <c r="I350" s="18"/>
      <c r="J350" s="19" t="str">
        <f aca="true">IF(ISBLANK(H350), "", I350-TODAY())</f>
        <v/>
      </c>
      <c r="K350" s="19" t="str">
        <f aca="false" t="array" ref="K350:K350">IF(A350&lt;&gt;"",IF(COUNTIF(A351:A$996,"&lt;&gt;")=0,COUNTA(B350:B$996),IFERROR(MATCH(TRUE(),INDEX((A351:A$996&lt;&gt;""),0),0),COUNTA(B350:B$996))),"")</f>
        <v/>
      </c>
      <c r="L350" s="20"/>
    </row>
    <row r="351" customFormat="false" ht="13.8" hidden="false" customHeight="false" outlineLevel="0" collapsed="false">
      <c r="A351" s="16"/>
      <c r="B351" s="16"/>
      <c r="C351" s="17"/>
      <c r="D351" s="17"/>
      <c r="E351" s="17"/>
      <c r="F351" s="18"/>
      <c r="G351" s="19" t="str">
        <f aca="true">IF(F351="", "", DATEDIF(F351, TODAY(), "Y"))</f>
        <v/>
      </c>
      <c r="H351" s="18"/>
      <c r="I351" s="18"/>
      <c r="J351" s="19" t="str">
        <f aca="true">IF(ISBLANK(H351), "", I351-TODAY())</f>
        <v/>
      </c>
      <c r="K351" s="19" t="str">
        <f aca="false" t="array" ref="K351:K351">IF(A351&lt;&gt;"",IF(COUNTIF(A352:A$996,"&lt;&gt;")=0,COUNTA(B351:B$996),IFERROR(MATCH(TRUE(),INDEX((A352:A$996&lt;&gt;""),0),0),COUNTA(B351:B$996))),"")</f>
        <v/>
      </c>
      <c r="L351" s="20"/>
    </row>
    <row r="352" customFormat="false" ht="13.8" hidden="false" customHeight="false" outlineLevel="0" collapsed="false">
      <c r="A352" s="16"/>
      <c r="B352" s="16"/>
      <c r="C352" s="17"/>
      <c r="D352" s="17"/>
      <c r="E352" s="17"/>
      <c r="F352" s="18"/>
      <c r="G352" s="19" t="str">
        <f aca="true">IF(F352="", "", DATEDIF(F352, TODAY(), "Y"))</f>
        <v/>
      </c>
      <c r="H352" s="18"/>
      <c r="I352" s="18"/>
      <c r="J352" s="19" t="str">
        <f aca="true">IF(ISBLANK(H352), "", I352-TODAY())</f>
        <v/>
      </c>
      <c r="K352" s="19" t="str">
        <f aca="false" t="array" ref="K352:K352">IF(A352&lt;&gt;"",IF(COUNTIF(A353:A$996,"&lt;&gt;")=0,COUNTA(B352:B$996),IFERROR(MATCH(TRUE(),INDEX((A353:A$996&lt;&gt;""),0),0),COUNTA(B352:B$996))),"")</f>
        <v/>
      </c>
      <c r="L352" s="20"/>
    </row>
    <row r="353" customFormat="false" ht="13.8" hidden="false" customHeight="false" outlineLevel="0" collapsed="false">
      <c r="A353" s="16"/>
      <c r="B353" s="16"/>
      <c r="C353" s="17"/>
      <c r="D353" s="17"/>
      <c r="E353" s="17"/>
      <c r="F353" s="18"/>
      <c r="G353" s="19" t="str">
        <f aca="true">IF(F353="", "", DATEDIF(F353, TODAY(), "Y"))</f>
        <v/>
      </c>
      <c r="H353" s="18"/>
      <c r="I353" s="18"/>
      <c r="J353" s="19" t="str">
        <f aca="true">IF(ISBLANK(H353), "", I353-TODAY())</f>
        <v/>
      </c>
      <c r="K353" s="19" t="str">
        <f aca="false" t="array" ref="K353:K353">IF(A353&lt;&gt;"",IF(COUNTIF(A354:A$996,"&lt;&gt;")=0,COUNTA(B353:B$996),IFERROR(MATCH(TRUE(),INDEX((A354:A$996&lt;&gt;""),0),0),COUNTA(B353:B$996))),"")</f>
        <v/>
      </c>
      <c r="L353" s="20"/>
    </row>
    <row r="354" customFormat="false" ht="13.8" hidden="false" customHeight="false" outlineLevel="0" collapsed="false">
      <c r="A354" s="16"/>
      <c r="B354" s="16"/>
      <c r="C354" s="17"/>
      <c r="D354" s="17"/>
      <c r="E354" s="17"/>
      <c r="F354" s="18"/>
      <c r="G354" s="19" t="str">
        <f aca="true">IF(F354="", "", DATEDIF(F354, TODAY(), "Y"))</f>
        <v/>
      </c>
      <c r="H354" s="18"/>
      <c r="I354" s="18"/>
      <c r="J354" s="19" t="str">
        <f aca="true">IF(ISBLANK(H354), "", I354-TODAY())</f>
        <v/>
      </c>
      <c r="K354" s="19" t="str">
        <f aca="false" t="array" ref="K354:K354">IF(A354&lt;&gt;"",IF(COUNTIF(A355:A$996,"&lt;&gt;")=0,COUNTA(B354:B$996),IFERROR(MATCH(TRUE(),INDEX((A355:A$996&lt;&gt;""),0),0),COUNTA(B354:B$996))),"")</f>
        <v/>
      </c>
      <c r="L354" s="20"/>
    </row>
    <row r="355" customFormat="false" ht="13.8" hidden="false" customHeight="false" outlineLevel="0" collapsed="false">
      <c r="A355" s="16"/>
      <c r="B355" s="16"/>
      <c r="C355" s="17"/>
      <c r="D355" s="17"/>
      <c r="E355" s="17"/>
      <c r="F355" s="18"/>
      <c r="G355" s="19" t="str">
        <f aca="true">IF(F355="", "", DATEDIF(F355, TODAY(), "Y"))</f>
        <v/>
      </c>
      <c r="H355" s="18"/>
      <c r="I355" s="18"/>
      <c r="J355" s="19" t="str">
        <f aca="true">IF(ISBLANK(H355), "", I355-TODAY())</f>
        <v/>
      </c>
      <c r="K355" s="19" t="str">
        <f aca="false" t="array" ref="K355:K355">IF(A355&lt;&gt;"",IF(COUNTIF(A356:A$996,"&lt;&gt;")=0,COUNTA(B355:B$996),IFERROR(MATCH(TRUE(),INDEX((A356:A$996&lt;&gt;""),0),0),COUNTA(B355:B$996))),"")</f>
        <v/>
      </c>
      <c r="L355" s="20"/>
    </row>
    <row r="356" customFormat="false" ht="13.8" hidden="false" customHeight="false" outlineLevel="0" collapsed="false">
      <c r="A356" s="16"/>
      <c r="B356" s="16"/>
      <c r="C356" s="17"/>
      <c r="D356" s="17"/>
      <c r="E356" s="17"/>
      <c r="F356" s="18"/>
      <c r="G356" s="19" t="str">
        <f aca="true">IF(F356="", "", DATEDIF(F356, TODAY(), "Y"))</f>
        <v/>
      </c>
      <c r="H356" s="18"/>
      <c r="I356" s="18"/>
      <c r="J356" s="19" t="str">
        <f aca="true">IF(ISBLANK(H356), "", I356-TODAY())</f>
        <v/>
      </c>
      <c r="K356" s="19" t="str">
        <f aca="false" t="array" ref="K356:K356">IF(A356&lt;&gt;"",IF(COUNTIF(A357:A$996,"&lt;&gt;")=0,COUNTA(B356:B$996),IFERROR(MATCH(TRUE(),INDEX((A357:A$996&lt;&gt;""),0),0),COUNTA(B356:B$996))),"")</f>
        <v/>
      </c>
      <c r="L356" s="20"/>
    </row>
    <row r="357" customFormat="false" ht="13.8" hidden="false" customHeight="false" outlineLevel="0" collapsed="false">
      <c r="A357" s="16"/>
      <c r="B357" s="16"/>
      <c r="C357" s="17"/>
      <c r="D357" s="17"/>
      <c r="E357" s="17"/>
      <c r="F357" s="18"/>
      <c r="G357" s="19" t="str">
        <f aca="true">IF(F357="", "", DATEDIF(F357, TODAY(), "Y"))</f>
        <v/>
      </c>
      <c r="H357" s="18"/>
      <c r="I357" s="18"/>
      <c r="J357" s="19" t="str">
        <f aca="true">IF(ISBLANK(H357), "", I357-TODAY())</f>
        <v/>
      </c>
      <c r="K357" s="19" t="str">
        <f aca="false" t="array" ref="K357:K357">IF(A357&lt;&gt;"",IF(COUNTIF(A358:A$996,"&lt;&gt;")=0,COUNTA(B357:B$996),IFERROR(MATCH(TRUE(),INDEX((A358:A$996&lt;&gt;""),0),0),COUNTA(B357:B$996))),"")</f>
        <v/>
      </c>
      <c r="L357" s="20"/>
    </row>
    <row r="358" customFormat="false" ht="13.8" hidden="false" customHeight="false" outlineLevel="0" collapsed="false">
      <c r="A358" s="16"/>
      <c r="B358" s="16"/>
      <c r="C358" s="17"/>
      <c r="D358" s="17"/>
      <c r="E358" s="17"/>
      <c r="F358" s="18"/>
      <c r="G358" s="19" t="str">
        <f aca="true">IF(F358="", "", DATEDIF(F358, TODAY(), "Y"))</f>
        <v/>
      </c>
      <c r="H358" s="18"/>
      <c r="I358" s="18"/>
      <c r="J358" s="19" t="str">
        <f aca="true">IF(ISBLANK(H358), "", I358-TODAY())</f>
        <v/>
      </c>
      <c r="K358" s="19" t="str">
        <f aca="false" t="array" ref="K358:K358">IF(A358&lt;&gt;"",IF(COUNTIF(A359:A$996,"&lt;&gt;")=0,COUNTA(B358:B$996),IFERROR(MATCH(TRUE(),INDEX((A359:A$996&lt;&gt;""),0),0),COUNTA(B358:B$996))),"")</f>
        <v/>
      </c>
      <c r="L358" s="20"/>
    </row>
    <row r="359" customFormat="false" ht="13.8" hidden="false" customHeight="false" outlineLevel="0" collapsed="false">
      <c r="A359" s="16"/>
      <c r="B359" s="16"/>
      <c r="C359" s="17"/>
      <c r="D359" s="17"/>
      <c r="E359" s="17"/>
      <c r="F359" s="18"/>
      <c r="G359" s="19" t="str">
        <f aca="true">IF(F359="", "", DATEDIF(F359, TODAY(), "Y"))</f>
        <v/>
      </c>
      <c r="H359" s="18"/>
      <c r="I359" s="18"/>
      <c r="J359" s="19" t="str">
        <f aca="true">IF(ISBLANK(H359), "", I359-TODAY())</f>
        <v/>
      </c>
      <c r="K359" s="19" t="str">
        <f aca="false" t="array" ref="K359:K359">IF(A359&lt;&gt;"",IF(COUNTIF(A360:A$996,"&lt;&gt;")=0,COUNTA(B359:B$996),IFERROR(MATCH(TRUE(),INDEX((A360:A$996&lt;&gt;""),0),0),COUNTA(B359:B$996))),"")</f>
        <v/>
      </c>
      <c r="L359" s="20"/>
    </row>
    <row r="360" customFormat="false" ht="13.8" hidden="false" customHeight="false" outlineLevel="0" collapsed="false">
      <c r="A360" s="16"/>
      <c r="B360" s="16"/>
      <c r="C360" s="17"/>
      <c r="D360" s="17"/>
      <c r="E360" s="17"/>
      <c r="F360" s="18"/>
      <c r="G360" s="19" t="str">
        <f aca="true">IF(F360="", "", DATEDIF(F360, TODAY(), "Y"))</f>
        <v/>
      </c>
      <c r="H360" s="18"/>
      <c r="I360" s="18"/>
      <c r="J360" s="19" t="str">
        <f aca="true">IF(ISBLANK(H360), "", I360-TODAY())</f>
        <v/>
      </c>
      <c r="K360" s="19" t="str">
        <f aca="false" t="array" ref="K360:K360">IF(A360&lt;&gt;"",IF(COUNTIF(A361:A$996,"&lt;&gt;")=0,COUNTA(B360:B$996),IFERROR(MATCH(TRUE(),INDEX((A361:A$996&lt;&gt;""),0),0),COUNTA(B360:B$996))),"")</f>
        <v/>
      </c>
      <c r="L360" s="20"/>
    </row>
    <row r="361" customFormat="false" ht="13.8" hidden="false" customHeight="false" outlineLevel="0" collapsed="false">
      <c r="A361" s="16"/>
      <c r="B361" s="16"/>
      <c r="C361" s="17"/>
      <c r="D361" s="17"/>
      <c r="E361" s="17"/>
      <c r="F361" s="18"/>
      <c r="G361" s="19" t="str">
        <f aca="true">IF(F361="", "", DATEDIF(F361, TODAY(), "Y"))</f>
        <v/>
      </c>
      <c r="H361" s="18"/>
      <c r="I361" s="18"/>
      <c r="J361" s="19" t="str">
        <f aca="true">IF(ISBLANK(H361), "", I361-TODAY())</f>
        <v/>
      </c>
      <c r="K361" s="19" t="str">
        <f aca="false" t="array" ref="K361:K361">IF(A361&lt;&gt;"",IF(COUNTIF(A362:A$996,"&lt;&gt;")=0,COUNTA(B361:B$996),IFERROR(MATCH(TRUE(),INDEX((A362:A$996&lt;&gt;""),0),0),COUNTA(B361:B$996))),"")</f>
        <v/>
      </c>
      <c r="L361" s="20"/>
    </row>
    <row r="362" customFormat="false" ht="13.8" hidden="false" customHeight="false" outlineLevel="0" collapsed="false">
      <c r="A362" s="16"/>
      <c r="B362" s="16"/>
      <c r="C362" s="17"/>
      <c r="D362" s="17"/>
      <c r="E362" s="17"/>
      <c r="F362" s="18"/>
      <c r="G362" s="19" t="str">
        <f aca="true">IF(F362="", "", DATEDIF(F362, TODAY(), "Y"))</f>
        <v/>
      </c>
      <c r="H362" s="18"/>
      <c r="I362" s="18"/>
      <c r="J362" s="19" t="str">
        <f aca="true">IF(ISBLANK(H362), "", I362-TODAY())</f>
        <v/>
      </c>
      <c r="K362" s="19" t="str">
        <f aca="false" t="array" ref="K362:K362">IF(A362&lt;&gt;"",IF(COUNTIF(A363:A$996,"&lt;&gt;")=0,COUNTA(B362:B$996),IFERROR(MATCH(TRUE(),INDEX((A363:A$996&lt;&gt;""),0),0),COUNTA(B362:B$996))),"")</f>
        <v/>
      </c>
      <c r="L362" s="20"/>
    </row>
    <row r="363" customFormat="false" ht="13.8" hidden="false" customHeight="false" outlineLevel="0" collapsed="false">
      <c r="A363" s="16"/>
      <c r="B363" s="16"/>
      <c r="C363" s="17"/>
      <c r="D363" s="17"/>
      <c r="E363" s="17"/>
      <c r="F363" s="18"/>
      <c r="G363" s="19" t="str">
        <f aca="true">IF(F363="", "", DATEDIF(F363, TODAY(), "Y"))</f>
        <v/>
      </c>
      <c r="H363" s="18"/>
      <c r="I363" s="18"/>
      <c r="J363" s="19" t="str">
        <f aca="true">IF(ISBLANK(H363), "", I363-TODAY())</f>
        <v/>
      </c>
      <c r="K363" s="19" t="str">
        <f aca="false" t="array" ref="K363:K363">IF(A363&lt;&gt;"",IF(COUNTIF(A364:A$996,"&lt;&gt;")=0,COUNTA(B363:B$996),IFERROR(MATCH(TRUE(),INDEX((A364:A$996&lt;&gt;""),0),0),COUNTA(B363:B$996))),"")</f>
        <v/>
      </c>
      <c r="L363" s="20"/>
    </row>
    <row r="364" customFormat="false" ht="13.8" hidden="false" customHeight="false" outlineLevel="0" collapsed="false">
      <c r="A364" s="16"/>
      <c r="B364" s="16"/>
      <c r="C364" s="17"/>
      <c r="D364" s="17"/>
      <c r="E364" s="17"/>
      <c r="F364" s="18"/>
      <c r="G364" s="19" t="str">
        <f aca="true">IF(F364="", "", DATEDIF(F364, TODAY(), "Y"))</f>
        <v/>
      </c>
      <c r="H364" s="18"/>
      <c r="I364" s="18"/>
      <c r="J364" s="19" t="str">
        <f aca="true">IF(ISBLANK(H364), "", I364-TODAY())</f>
        <v/>
      </c>
      <c r="K364" s="19" t="str">
        <f aca="false" t="array" ref="K364:K364">IF(A364&lt;&gt;"",IF(COUNTIF(A365:A$996,"&lt;&gt;")=0,COUNTA(B364:B$996),IFERROR(MATCH(TRUE(),INDEX((A365:A$996&lt;&gt;""),0),0),COUNTA(B364:B$996))),"")</f>
        <v/>
      </c>
      <c r="L364" s="20"/>
    </row>
    <row r="365" customFormat="false" ht="13.8" hidden="false" customHeight="false" outlineLevel="0" collapsed="false">
      <c r="A365" s="16"/>
      <c r="B365" s="16"/>
      <c r="C365" s="17"/>
      <c r="D365" s="17"/>
      <c r="E365" s="17"/>
      <c r="F365" s="18"/>
      <c r="G365" s="19" t="str">
        <f aca="true">IF(F365="", "", DATEDIF(F365, TODAY(), "Y"))</f>
        <v/>
      </c>
      <c r="H365" s="18"/>
      <c r="I365" s="18"/>
      <c r="J365" s="19" t="str">
        <f aca="true">IF(ISBLANK(H365), "", I365-TODAY())</f>
        <v/>
      </c>
      <c r="K365" s="19" t="str">
        <f aca="false" t="array" ref="K365:K365">IF(A365&lt;&gt;"",IF(COUNTIF(A366:A$996,"&lt;&gt;")=0,COUNTA(B365:B$996),IFERROR(MATCH(TRUE(),INDEX((A366:A$996&lt;&gt;""),0),0),COUNTA(B365:B$996))),"")</f>
        <v/>
      </c>
      <c r="L365" s="20"/>
    </row>
    <row r="366" customFormat="false" ht="13.8" hidden="false" customHeight="false" outlineLevel="0" collapsed="false">
      <c r="A366" s="16"/>
      <c r="B366" s="16"/>
      <c r="C366" s="17"/>
      <c r="D366" s="17"/>
      <c r="E366" s="17"/>
      <c r="F366" s="18"/>
      <c r="G366" s="19" t="str">
        <f aca="true">IF(F366="", "", DATEDIF(F366, TODAY(), "Y"))</f>
        <v/>
      </c>
      <c r="H366" s="18"/>
      <c r="I366" s="18"/>
      <c r="J366" s="19" t="str">
        <f aca="true">IF(ISBLANK(H366), "", I366-TODAY())</f>
        <v/>
      </c>
      <c r="K366" s="19" t="str">
        <f aca="false" t="array" ref="K366:K366">IF(A366&lt;&gt;"",IF(COUNTIF(A367:A$996,"&lt;&gt;")=0,COUNTA(B366:B$996),IFERROR(MATCH(TRUE(),INDEX((A367:A$996&lt;&gt;""),0),0),COUNTA(B366:B$996))),"")</f>
        <v/>
      </c>
      <c r="L366" s="20"/>
    </row>
    <row r="367" customFormat="false" ht="13.8" hidden="false" customHeight="false" outlineLevel="0" collapsed="false">
      <c r="A367" s="16"/>
      <c r="B367" s="16"/>
      <c r="C367" s="17"/>
      <c r="D367" s="17"/>
      <c r="E367" s="17"/>
      <c r="F367" s="18"/>
      <c r="G367" s="19" t="str">
        <f aca="true">IF(F367="", "", DATEDIF(F367, TODAY(), "Y"))</f>
        <v/>
      </c>
      <c r="H367" s="18"/>
      <c r="I367" s="18"/>
      <c r="J367" s="19" t="str">
        <f aca="true">IF(ISBLANK(H367), "", I367-TODAY())</f>
        <v/>
      </c>
      <c r="K367" s="19" t="str">
        <f aca="false" t="array" ref="K367:K367">IF(A367&lt;&gt;"",IF(COUNTIF(A368:A$996,"&lt;&gt;")=0,COUNTA(B367:B$996),IFERROR(MATCH(TRUE(),INDEX((A368:A$996&lt;&gt;""),0),0),COUNTA(B367:B$996))),"")</f>
        <v/>
      </c>
      <c r="L367" s="20"/>
    </row>
    <row r="368" customFormat="false" ht="13.8" hidden="false" customHeight="false" outlineLevel="0" collapsed="false">
      <c r="A368" s="16"/>
      <c r="B368" s="16"/>
      <c r="C368" s="17"/>
      <c r="D368" s="17"/>
      <c r="E368" s="17"/>
      <c r="F368" s="18"/>
      <c r="G368" s="19" t="str">
        <f aca="true">IF(F368="", "", DATEDIF(F368, TODAY(), "Y"))</f>
        <v/>
      </c>
      <c r="H368" s="18"/>
      <c r="I368" s="18"/>
      <c r="J368" s="19" t="str">
        <f aca="true">IF(ISBLANK(H368), "", I368-TODAY())</f>
        <v/>
      </c>
      <c r="K368" s="19" t="str">
        <f aca="false" t="array" ref="K368:K368">IF(A368&lt;&gt;"",IF(COUNTIF(A369:A$996,"&lt;&gt;")=0,COUNTA(B368:B$996),IFERROR(MATCH(TRUE(),INDEX((A369:A$996&lt;&gt;""),0),0),COUNTA(B368:B$996))),"")</f>
        <v/>
      </c>
      <c r="L368" s="20"/>
    </row>
    <row r="369" customFormat="false" ht="13.8" hidden="false" customHeight="false" outlineLevel="0" collapsed="false">
      <c r="A369" s="16"/>
      <c r="B369" s="16"/>
      <c r="C369" s="17"/>
      <c r="D369" s="17"/>
      <c r="E369" s="17"/>
      <c r="F369" s="18"/>
      <c r="G369" s="19" t="str">
        <f aca="true">IF(F369="", "", DATEDIF(F369, TODAY(), "Y"))</f>
        <v/>
      </c>
      <c r="H369" s="18"/>
      <c r="I369" s="18"/>
      <c r="J369" s="19" t="str">
        <f aca="true">IF(ISBLANK(H369), "", I369-TODAY())</f>
        <v/>
      </c>
      <c r="K369" s="19" t="str">
        <f aca="false" t="array" ref="K369:K369">IF(A369&lt;&gt;"",IF(COUNTIF(A370:A$996,"&lt;&gt;")=0,COUNTA(B369:B$996),IFERROR(MATCH(TRUE(),INDEX((A370:A$996&lt;&gt;""),0),0),COUNTA(B369:B$996))),"")</f>
        <v/>
      </c>
      <c r="L369" s="20"/>
    </row>
    <row r="370" customFormat="false" ht="13.8" hidden="false" customHeight="false" outlineLevel="0" collapsed="false">
      <c r="A370" s="16"/>
      <c r="B370" s="16"/>
      <c r="C370" s="17"/>
      <c r="D370" s="17"/>
      <c r="E370" s="17"/>
      <c r="F370" s="18"/>
      <c r="G370" s="19" t="str">
        <f aca="true">IF(F370="", "", DATEDIF(F370, TODAY(), "Y"))</f>
        <v/>
      </c>
      <c r="H370" s="18"/>
      <c r="I370" s="18"/>
      <c r="J370" s="19" t="str">
        <f aca="true">IF(ISBLANK(H370), "", I370-TODAY())</f>
        <v/>
      </c>
      <c r="K370" s="19" t="str">
        <f aca="false" t="array" ref="K370:K370">IF(A370&lt;&gt;"",IF(COUNTIF(A371:A$996,"&lt;&gt;")=0,COUNTA(B370:B$996),IFERROR(MATCH(TRUE(),INDEX((A371:A$996&lt;&gt;""),0),0),COUNTA(B370:B$996))),"")</f>
        <v/>
      </c>
      <c r="L370" s="20"/>
    </row>
    <row r="371" customFormat="false" ht="13.8" hidden="false" customHeight="false" outlineLevel="0" collapsed="false">
      <c r="A371" s="16"/>
      <c r="B371" s="16"/>
      <c r="C371" s="17"/>
      <c r="D371" s="17"/>
      <c r="E371" s="17"/>
      <c r="F371" s="18"/>
      <c r="G371" s="19" t="str">
        <f aca="true">IF(F371="", "", DATEDIF(F371, TODAY(), "Y"))</f>
        <v/>
      </c>
      <c r="H371" s="18"/>
      <c r="I371" s="18"/>
      <c r="J371" s="19" t="str">
        <f aca="true">IF(ISBLANK(H371), "", I371-TODAY())</f>
        <v/>
      </c>
      <c r="K371" s="19" t="str">
        <f aca="false" t="array" ref="K371:K371">IF(A371&lt;&gt;"",IF(COUNTIF(A372:A$996,"&lt;&gt;")=0,COUNTA(B371:B$996),IFERROR(MATCH(TRUE(),INDEX((A372:A$996&lt;&gt;""),0),0),COUNTA(B371:B$996))),"")</f>
        <v/>
      </c>
      <c r="L371" s="20"/>
    </row>
    <row r="372" customFormat="false" ht="13.8" hidden="false" customHeight="false" outlineLevel="0" collapsed="false">
      <c r="A372" s="16"/>
      <c r="B372" s="16"/>
      <c r="C372" s="17"/>
      <c r="D372" s="17"/>
      <c r="E372" s="17"/>
      <c r="F372" s="18"/>
      <c r="G372" s="19" t="str">
        <f aca="true">IF(F372="", "", DATEDIF(F372, TODAY(), "Y"))</f>
        <v/>
      </c>
      <c r="H372" s="18"/>
      <c r="I372" s="18"/>
      <c r="J372" s="19" t="str">
        <f aca="true">IF(ISBLANK(H372), "", I372-TODAY())</f>
        <v/>
      </c>
      <c r="K372" s="19" t="str">
        <f aca="false" t="array" ref="K372:K372">IF(A372&lt;&gt;"",IF(COUNTIF(A373:A$996,"&lt;&gt;")=0,COUNTA(B372:B$996),IFERROR(MATCH(TRUE(),INDEX((A373:A$996&lt;&gt;""),0),0),COUNTA(B372:B$996))),"")</f>
        <v/>
      </c>
      <c r="L372" s="20"/>
    </row>
    <row r="373" customFormat="false" ht="13.8" hidden="false" customHeight="false" outlineLevel="0" collapsed="false">
      <c r="A373" s="16"/>
      <c r="B373" s="16"/>
      <c r="C373" s="17"/>
      <c r="D373" s="17"/>
      <c r="E373" s="17"/>
      <c r="F373" s="18"/>
      <c r="G373" s="19" t="str">
        <f aca="true">IF(F373="", "", DATEDIF(F373, TODAY(), "Y"))</f>
        <v/>
      </c>
      <c r="H373" s="18"/>
      <c r="I373" s="18"/>
      <c r="J373" s="19" t="str">
        <f aca="true">IF(ISBLANK(H373), "", I373-TODAY())</f>
        <v/>
      </c>
      <c r="K373" s="19" t="str">
        <f aca="false" t="array" ref="K373:K373">IF(A373&lt;&gt;"",IF(COUNTIF(A374:A$996,"&lt;&gt;")=0,COUNTA(B373:B$996),IFERROR(MATCH(TRUE(),INDEX((A374:A$996&lt;&gt;""),0),0),COUNTA(B373:B$996))),"")</f>
        <v/>
      </c>
      <c r="L373" s="20"/>
    </row>
    <row r="374" customFormat="false" ht="13.8" hidden="false" customHeight="false" outlineLevel="0" collapsed="false">
      <c r="A374" s="16"/>
      <c r="B374" s="16"/>
      <c r="C374" s="17"/>
      <c r="D374" s="17"/>
      <c r="E374" s="17"/>
      <c r="F374" s="18"/>
      <c r="G374" s="19" t="str">
        <f aca="true">IF(F374="", "", DATEDIF(F374, TODAY(), "Y"))</f>
        <v/>
      </c>
      <c r="H374" s="18"/>
      <c r="I374" s="18"/>
      <c r="J374" s="19" t="str">
        <f aca="true">IF(ISBLANK(H374), "", I374-TODAY())</f>
        <v/>
      </c>
      <c r="K374" s="19" t="str">
        <f aca="false" t="array" ref="K374:K374">IF(A374&lt;&gt;"",IF(COUNTIF(A375:A$996,"&lt;&gt;")=0,COUNTA(B374:B$996),IFERROR(MATCH(TRUE(),INDEX((A375:A$996&lt;&gt;""),0),0),COUNTA(B374:B$996))),"")</f>
        <v/>
      </c>
      <c r="L374" s="20"/>
    </row>
    <row r="375" customFormat="false" ht="13.8" hidden="false" customHeight="false" outlineLevel="0" collapsed="false">
      <c r="A375" s="16"/>
      <c r="B375" s="16"/>
      <c r="C375" s="17"/>
      <c r="D375" s="17"/>
      <c r="E375" s="17"/>
      <c r="F375" s="18"/>
      <c r="G375" s="19" t="str">
        <f aca="true">IF(F375="", "", DATEDIF(F375, TODAY(), "Y"))</f>
        <v/>
      </c>
      <c r="H375" s="18"/>
      <c r="I375" s="18"/>
      <c r="J375" s="19" t="str">
        <f aca="true">IF(ISBLANK(H375), "", I375-TODAY())</f>
        <v/>
      </c>
      <c r="K375" s="19" t="str">
        <f aca="false" t="array" ref="K375:K375">IF(A375&lt;&gt;"",IF(COUNTIF(A376:A$996,"&lt;&gt;")=0,COUNTA(B375:B$996),IFERROR(MATCH(TRUE(),INDEX((A376:A$996&lt;&gt;""),0),0),COUNTA(B375:B$996))),"")</f>
        <v/>
      </c>
      <c r="L375" s="20"/>
    </row>
    <row r="376" customFormat="false" ht="13.8" hidden="false" customHeight="false" outlineLevel="0" collapsed="false">
      <c r="A376" s="16"/>
      <c r="B376" s="16"/>
      <c r="C376" s="17"/>
      <c r="D376" s="17"/>
      <c r="E376" s="17"/>
      <c r="F376" s="18"/>
      <c r="G376" s="19" t="str">
        <f aca="true">IF(F376="", "", DATEDIF(F376, TODAY(), "Y"))</f>
        <v/>
      </c>
      <c r="H376" s="18"/>
      <c r="I376" s="18"/>
      <c r="J376" s="19" t="str">
        <f aca="true">IF(ISBLANK(H376), "", I376-TODAY())</f>
        <v/>
      </c>
      <c r="K376" s="19" t="str">
        <f aca="false" t="array" ref="K376:K376">IF(A376&lt;&gt;"",IF(COUNTIF(A377:A$996,"&lt;&gt;")=0,COUNTA(B376:B$996),IFERROR(MATCH(TRUE(),INDEX((A377:A$996&lt;&gt;""),0),0),COUNTA(B376:B$996))),"")</f>
        <v/>
      </c>
      <c r="L376" s="20"/>
    </row>
    <row r="377" customFormat="false" ht="13.8" hidden="false" customHeight="false" outlineLevel="0" collapsed="false">
      <c r="A377" s="16"/>
      <c r="B377" s="16"/>
      <c r="C377" s="17"/>
      <c r="D377" s="17"/>
      <c r="E377" s="17"/>
      <c r="F377" s="18"/>
      <c r="G377" s="19" t="str">
        <f aca="true">IF(F377="", "", DATEDIF(F377, TODAY(), "Y"))</f>
        <v/>
      </c>
      <c r="H377" s="18"/>
      <c r="I377" s="18"/>
      <c r="J377" s="19" t="str">
        <f aca="true">IF(ISBLANK(H377), "", I377-TODAY())</f>
        <v/>
      </c>
      <c r="K377" s="19" t="str">
        <f aca="false" t="array" ref="K377:K377">IF(A377&lt;&gt;"",IF(COUNTIF(A378:A$996,"&lt;&gt;")=0,COUNTA(B377:B$996),IFERROR(MATCH(TRUE(),INDEX((A378:A$996&lt;&gt;""),0),0),COUNTA(B377:B$996))),"")</f>
        <v/>
      </c>
      <c r="L377" s="20"/>
    </row>
    <row r="378" customFormat="false" ht="13.8" hidden="false" customHeight="false" outlineLevel="0" collapsed="false">
      <c r="A378" s="16"/>
      <c r="B378" s="16"/>
      <c r="C378" s="17"/>
      <c r="D378" s="17"/>
      <c r="E378" s="17"/>
      <c r="F378" s="18"/>
      <c r="G378" s="19" t="str">
        <f aca="true">IF(F378="", "", DATEDIF(F378, TODAY(), "Y"))</f>
        <v/>
      </c>
      <c r="H378" s="18"/>
      <c r="I378" s="18"/>
      <c r="J378" s="19" t="str">
        <f aca="true">IF(ISBLANK(H378), "", I378-TODAY())</f>
        <v/>
      </c>
      <c r="K378" s="19" t="str">
        <f aca="false" t="array" ref="K378:K378">IF(A378&lt;&gt;"",IF(COUNTIF(A379:A$996,"&lt;&gt;")=0,COUNTA(B378:B$996),IFERROR(MATCH(TRUE(),INDEX((A379:A$996&lt;&gt;""),0),0),COUNTA(B378:B$996))),"")</f>
        <v/>
      </c>
      <c r="L378" s="20"/>
    </row>
    <row r="379" customFormat="false" ht="13.8" hidden="false" customHeight="false" outlineLevel="0" collapsed="false">
      <c r="A379" s="16"/>
      <c r="B379" s="16"/>
      <c r="C379" s="17"/>
      <c r="D379" s="17"/>
      <c r="E379" s="17"/>
      <c r="F379" s="18"/>
      <c r="G379" s="19" t="str">
        <f aca="true">IF(F379="", "", DATEDIF(F379, TODAY(), "Y"))</f>
        <v/>
      </c>
      <c r="H379" s="18"/>
      <c r="I379" s="18"/>
      <c r="J379" s="19" t="str">
        <f aca="true">IF(ISBLANK(H379), "", I379-TODAY())</f>
        <v/>
      </c>
      <c r="K379" s="19" t="str">
        <f aca="false" t="array" ref="K379:K379">IF(A379&lt;&gt;"",IF(COUNTIF(A380:A$996,"&lt;&gt;")=0,COUNTA(B379:B$996),IFERROR(MATCH(TRUE(),INDEX((A380:A$996&lt;&gt;""),0),0),COUNTA(B379:B$996))),"")</f>
        <v/>
      </c>
      <c r="L379" s="20"/>
    </row>
    <row r="380" customFormat="false" ht="13.8" hidden="false" customHeight="false" outlineLevel="0" collapsed="false">
      <c r="A380" s="16"/>
      <c r="B380" s="16"/>
      <c r="C380" s="17"/>
      <c r="D380" s="17"/>
      <c r="E380" s="17"/>
      <c r="F380" s="18"/>
      <c r="G380" s="19" t="str">
        <f aca="true">IF(F380="", "", DATEDIF(F380, TODAY(), "Y"))</f>
        <v/>
      </c>
      <c r="H380" s="18"/>
      <c r="I380" s="18"/>
      <c r="J380" s="19" t="str">
        <f aca="true">IF(ISBLANK(H380), "", I380-TODAY())</f>
        <v/>
      </c>
      <c r="K380" s="19" t="str">
        <f aca="false" t="array" ref="K380:K380">IF(A380&lt;&gt;"",IF(COUNTIF(A381:A$996,"&lt;&gt;")=0,COUNTA(B380:B$996),IFERROR(MATCH(TRUE(),INDEX((A381:A$996&lt;&gt;""),0),0),COUNTA(B380:B$996))),"")</f>
        <v/>
      </c>
      <c r="L380" s="20"/>
    </row>
    <row r="381" customFormat="false" ht="13.8" hidden="false" customHeight="false" outlineLevel="0" collapsed="false">
      <c r="A381" s="16"/>
      <c r="B381" s="16"/>
      <c r="C381" s="17"/>
      <c r="D381" s="17"/>
      <c r="E381" s="17"/>
      <c r="F381" s="18"/>
      <c r="G381" s="19" t="str">
        <f aca="true">IF(F381="", "", DATEDIF(F381, TODAY(), "Y"))</f>
        <v/>
      </c>
      <c r="H381" s="18"/>
      <c r="I381" s="18"/>
      <c r="J381" s="19" t="str">
        <f aca="true">IF(ISBLANK(H381), "", I381-TODAY())</f>
        <v/>
      </c>
      <c r="K381" s="19" t="str">
        <f aca="false" t="array" ref="K381:K381">IF(A381&lt;&gt;"",IF(COUNTIF(A382:A$996,"&lt;&gt;")=0,COUNTA(B381:B$996),IFERROR(MATCH(TRUE(),INDEX((A382:A$996&lt;&gt;""),0),0),COUNTA(B381:B$996))),"")</f>
        <v/>
      </c>
      <c r="L381" s="20"/>
    </row>
    <row r="382" customFormat="false" ht="13.8" hidden="false" customHeight="false" outlineLevel="0" collapsed="false">
      <c r="A382" s="16"/>
      <c r="B382" s="16"/>
      <c r="C382" s="17"/>
      <c r="D382" s="17"/>
      <c r="E382" s="17"/>
      <c r="F382" s="18"/>
      <c r="G382" s="19" t="str">
        <f aca="true">IF(F382="", "", DATEDIF(F382, TODAY(), "Y"))</f>
        <v/>
      </c>
      <c r="H382" s="18"/>
      <c r="I382" s="18"/>
      <c r="J382" s="19" t="str">
        <f aca="true">IF(ISBLANK(H382), "", I382-TODAY())</f>
        <v/>
      </c>
      <c r="K382" s="19" t="str">
        <f aca="false" t="array" ref="K382:K382">IF(A382&lt;&gt;"",IF(COUNTIF(A383:A$996,"&lt;&gt;")=0,COUNTA(B382:B$996),IFERROR(MATCH(TRUE(),INDEX((A383:A$996&lt;&gt;""),0),0),COUNTA(B382:B$996))),"")</f>
        <v/>
      </c>
      <c r="L382" s="20"/>
    </row>
    <row r="383" customFormat="false" ht="13.8" hidden="false" customHeight="false" outlineLevel="0" collapsed="false">
      <c r="A383" s="16"/>
      <c r="B383" s="16"/>
      <c r="C383" s="17"/>
      <c r="D383" s="17"/>
      <c r="E383" s="17"/>
      <c r="F383" s="18"/>
      <c r="G383" s="19" t="str">
        <f aca="true">IF(F383="", "", DATEDIF(F383, TODAY(), "Y"))</f>
        <v/>
      </c>
      <c r="H383" s="18"/>
      <c r="I383" s="18"/>
      <c r="J383" s="19" t="str">
        <f aca="true">IF(ISBLANK(H383), "", I383-TODAY())</f>
        <v/>
      </c>
      <c r="K383" s="19" t="str">
        <f aca="false" t="array" ref="K383:K383">IF(A383&lt;&gt;"",IF(COUNTIF(A384:A$996,"&lt;&gt;")=0,COUNTA(B383:B$996),IFERROR(MATCH(TRUE(),INDEX((A384:A$996&lt;&gt;""),0),0),COUNTA(B383:B$996))),"")</f>
        <v/>
      </c>
      <c r="L383" s="20"/>
    </row>
    <row r="384" customFormat="false" ht="13.8" hidden="false" customHeight="false" outlineLevel="0" collapsed="false">
      <c r="A384" s="16"/>
      <c r="B384" s="16"/>
      <c r="C384" s="17"/>
      <c r="D384" s="17"/>
      <c r="E384" s="17"/>
      <c r="F384" s="18"/>
      <c r="G384" s="19" t="str">
        <f aca="true">IF(F384="", "", DATEDIF(F384, TODAY(), "Y"))</f>
        <v/>
      </c>
      <c r="H384" s="18"/>
      <c r="I384" s="18"/>
      <c r="J384" s="19" t="str">
        <f aca="true">IF(ISBLANK(H384), "", I384-TODAY())</f>
        <v/>
      </c>
      <c r="K384" s="19" t="str">
        <f aca="false" t="array" ref="K384:K384">IF(A384&lt;&gt;"",IF(COUNTIF(A385:A$996,"&lt;&gt;")=0,COUNTA(B384:B$996),IFERROR(MATCH(TRUE(),INDEX((A385:A$996&lt;&gt;""),0),0),COUNTA(B384:B$996))),"")</f>
        <v/>
      </c>
      <c r="L384" s="20"/>
    </row>
    <row r="385" customFormat="false" ht="13.8" hidden="false" customHeight="false" outlineLevel="0" collapsed="false">
      <c r="A385" s="16"/>
      <c r="B385" s="16"/>
      <c r="C385" s="17"/>
      <c r="D385" s="17"/>
      <c r="E385" s="17"/>
      <c r="F385" s="18"/>
      <c r="G385" s="19" t="str">
        <f aca="true">IF(F385="", "", DATEDIF(F385, TODAY(), "Y"))</f>
        <v/>
      </c>
      <c r="H385" s="18"/>
      <c r="I385" s="18"/>
      <c r="J385" s="19" t="str">
        <f aca="true">IF(ISBLANK(H385), "", I385-TODAY())</f>
        <v/>
      </c>
      <c r="K385" s="19" t="str">
        <f aca="false" t="array" ref="K385:K385">IF(A385&lt;&gt;"",IF(COUNTIF(A386:A$996,"&lt;&gt;")=0,COUNTA(B385:B$996),IFERROR(MATCH(TRUE(),INDEX((A386:A$996&lt;&gt;""),0),0),COUNTA(B385:B$996))),"")</f>
        <v/>
      </c>
      <c r="L385" s="20"/>
    </row>
    <row r="386" customFormat="false" ht="13.8" hidden="false" customHeight="false" outlineLevel="0" collapsed="false">
      <c r="A386" s="16"/>
      <c r="B386" s="16"/>
      <c r="C386" s="17"/>
      <c r="D386" s="17"/>
      <c r="E386" s="17"/>
      <c r="F386" s="18"/>
      <c r="G386" s="19" t="str">
        <f aca="true">IF(F386="", "", DATEDIF(F386, TODAY(), "Y"))</f>
        <v/>
      </c>
      <c r="H386" s="18"/>
      <c r="I386" s="18"/>
      <c r="J386" s="19" t="str">
        <f aca="true">IF(ISBLANK(H386), "", I386-TODAY())</f>
        <v/>
      </c>
      <c r="K386" s="19" t="str">
        <f aca="false" t="array" ref="K386:K386">IF(A386&lt;&gt;"",IF(COUNTIF(A387:A$996,"&lt;&gt;")=0,COUNTA(B386:B$996),IFERROR(MATCH(TRUE(),INDEX((A387:A$996&lt;&gt;""),0),0),COUNTA(B386:B$996))),"")</f>
        <v/>
      </c>
      <c r="L386" s="20"/>
    </row>
    <row r="387" customFormat="false" ht="13.8" hidden="false" customHeight="false" outlineLevel="0" collapsed="false">
      <c r="A387" s="16"/>
      <c r="B387" s="16"/>
      <c r="C387" s="17"/>
      <c r="D387" s="17"/>
      <c r="E387" s="17"/>
      <c r="F387" s="18"/>
      <c r="G387" s="19" t="str">
        <f aca="true">IF(F387="", "", DATEDIF(F387, TODAY(), "Y"))</f>
        <v/>
      </c>
      <c r="H387" s="18"/>
      <c r="I387" s="18"/>
      <c r="J387" s="19" t="str">
        <f aca="true">IF(ISBLANK(H387), "", I387-TODAY())</f>
        <v/>
      </c>
      <c r="K387" s="19" t="str">
        <f aca="false" t="array" ref="K387:K387">IF(A387&lt;&gt;"",IF(COUNTIF(A388:A$996,"&lt;&gt;")=0,COUNTA(B387:B$996),IFERROR(MATCH(TRUE(),INDEX((A388:A$996&lt;&gt;""),0),0),COUNTA(B387:B$996))),"")</f>
        <v/>
      </c>
      <c r="L387" s="20"/>
    </row>
    <row r="388" customFormat="false" ht="13.8" hidden="false" customHeight="false" outlineLevel="0" collapsed="false">
      <c r="A388" s="16"/>
      <c r="B388" s="16"/>
      <c r="C388" s="17"/>
      <c r="D388" s="17"/>
      <c r="E388" s="17"/>
      <c r="F388" s="18"/>
      <c r="G388" s="19" t="str">
        <f aca="true">IF(F388="", "", DATEDIF(F388, TODAY(), "Y"))</f>
        <v/>
      </c>
      <c r="H388" s="18"/>
      <c r="I388" s="18"/>
      <c r="J388" s="19" t="str">
        <f aca="true">IF(ISBLANK(H388), "", I388-TODAY())</f>
        <v/>
      </c>
      <c r="K388" s="19" t="str">
        <f aca="false" t="array" ref="K388:K388">IF(A388&lt;&gt;"",IF(COUNTIF(A389:A$996,"&lt;&gt;")=0,COUNTA(B388:B$996),IFERROR(MATCH(TRUE(),INDEX((A389:A$996&lt;&gt;""),0),0),COUNTA(B388:B$996))),"")</f>
        <v/>
      </c>
      <c r="L388" s="20"/>
    </row>
    <row r="389" customFormat="false" ht="13.8" hidden="false" customHeight="false" outlineLevel="0" collapsed="false">
      <c r="A389" s="16"/>
      <c r="B389" s="16"/>
      <c r="C389" s="17"/>
      <c r="D389" s="17"/>
      <c r="E389" s="17"/>
      <c r="F389" s="18"/>
      <c r="G389" s="19" t="str">
        <f aca="true">IF(F389="", "", DATEDIF(F389, TODAY(), "Y"))</f>
        <v/>
      </c>
      <c r="H389" s="18"/>
      <c r="I389" s="18"/>
      <c r="J389" s="19" t="str">
        <f aca="true">IF(ISBLANK(H389), "", I389-TODAY())</f>
        <v/>
      </c>
      <c r="K389" s="19" t="str">
        <f aca="false" t="array" ref="K389:K389">IF(A389&lt;&gt;"",IF(COUNTIF(A390:A$996,"&lt;&gt;")=0,COUNTA(B389:B$996),IFERROR(MATCH(TRUE(),INDEX((A390:A$996&lt;&gt;""),0),0),COUNTA(B389:B$996))),"")</f>
        <v/>
      </c>
      <c r="L389" s="20"/>
    </row>
    <row r="390" customFormat="false" ht="13.8" hidden="false" customHeight="false" outlineLevel="0" collapsed="false">
      <c r="A390" s="16"/>
      <c r="B390" s="16"/>
      <c r="C390" s="17"/>
      <c r="D390" s="17"/>
      <c r="E390" s="17"/>
      <c r="F390" s="18"/>
      <c r="G390" s="19" t="str">
        <f aca="true">IF(F390="", "", DATEDIF(F390, TODAY(), "Y"))</f>
        <v/>
      </c>
      <c r="H390" s="18"/>
      <c r="I390" s="18"/>
      <c r="J390" s="19" t="str">
        <f aca="true">IF(ISBLANK(H390), "", I390-TODAY())</f>
        <v/>
      </c>
      <c r="K390" s="19" t="str">
        <f aca="false" t="array" ref="K390:K390">IF(A390&lt;&gt;"",IF(COUNTIF(A391:A$996,"&lt;&gt;")=0,COUNTA(B390:B$996),IFERROR(MATCH(TRUE(),INDEX((A391:A$996&lt;&gt;""),0),0),COUNTA(B390:B$996))),"")</f>
        <v/>
      </c>
      <c r="L390" s="20"/>
    </row>
    <row r="391" customFormat="false" ht="13.8" hidden="false" customHeight="false" outlineLevel="0" collapsed="false">
      <c r="A391" s="16"/>
      <c r="B391" s="16"/>
      <c r="C391" s="17"/>
      <c r="D391" s="17"/>
      <c r="E391" s="17"/>
      <c r="F391" s="18"/>
      <c r="G391" s="19" t="str">
        <f aca="true">IF(F391="", "", DATEDIF(F391, TODAY(), "Y"))</f>
        <v/>
      </c>
      <c r="H391" s="18"/>
      <c r="I391" s="18"/>
      <c r="J391" s="19" t="str">
        <f aca="true">IF(ISBLANK(H391), "", I391-TODAY())</f>
        <v/>
      </c>
      <c r="K391" s="19" t="str">
        <f aca="false" t="array" ref="K391:K391">IF(A391&lt;&gt;"",IF(COUNTIF(A392:A$996,"&lt;&gt;")=0,COUNTA(B391:B$996),IFERROR(MATCH(TRUE(),INDEX((A392:A$996&lt;&gt;""),0),0),COUNTA(B391:B$996))),"")</f>
        <v/>
      </c>
      <c r="L391" s="20"/>
    </row>
    <row r="392" customFormat="false" ht="13.8" hidden="false" customHeight="false" outlineLevel="0" collapsed="false">
      <c r="A392" s="16"/>
      <c r="B392" s="16"/>
      <c r="C392" s="17"/>
      <c r="D392" s="17"/>
      <c r="E392" s="17"/>
      <c r="F392" s="18"/>
      <c r="G392" s="19" t="str">
        <f aca="true">IF(F392="", "", DATEDIF(F392, TODAY(), "Y"))</f>
        <v/>
      </c>
      <c r="H392" s="18"/>
      <c r="I392" s="18"/>
      <c r="J392" s="19" t="str">
        <f aca="true">IF(ISBLANK(H392), "", I392-TODAY())</f>
        <v/>
      </c>
      <c r="K392" s="19" t="str">
        <f aca="false" t="array" ref="K392:K392">IF(A392&lt;&gt;"",IF(COUNTIF(A393:A$996,"&lt;&gt;")=0,COUNTA(B392:B$996),IFERROR(MATCH(TRUE(),INDEX((A393:A$996&lt;&gt;""),0),0),COUNTA(B392:B$996))),"")</f>
        <v/>
      </c>
      <c r="L392" s="20"/>
    </row>
    <row r="393" customFormat="false" ht="13.8" hidden="false" customHeight="false" outlineLevel="0" collapsed="false">
      <c r="A393" s="16"/>
      <c r="B393" s="16"/>
      <c r="C393" s="17"/>
      <c r="D393" s="17"/>
      <c r="E393" s="17"/>
      <c r="F393" s="18"/>
      <c r="G393" s="19" t="str">
        <f aca="true">IF(F393="", "", DATEDIF(F393, TODAY(), "Y"))</f>
        <v/>
      </c>
      <c r="H393" s="18"/>
      <c r="I393" s="18"/>
      <c r="J393" s="19" t="str">
        <f aca="true">IF(ISBLANK(H393), "", I393-TODAY())</f>
        <v/>
      </c>
      <c r="K393" s="19" t="str">
        <f aca="false" t="array" ref="K393:K393">IF(A393&lt;&gt;"",IF(COUNTIF(A394:A$996,"&lt;&gt;")=0,COUNTA(B393:B$996),IFERROR(MATCH(TRUE(),INDEX((A394:A$996&lt;&gt;""),0),0),COUNTA(B393:B$996))),"")</f>
        <v/>
      </c>
      <c r="L393" s="20"/>
    </row>
    <row r="394" customFormat="false" ht="13.8" hidden="false" customHeight="false" outlineLevel="0" collapsed="false">
      <c r="A394" s="16"/>
      <c r="B394" s="16"/>
      <c r="C394" s="17"/>
      <c r="D394" s="17"/>
      <c r="E394" s="17"/>
      <c r="F394" s="18"/>
      <c r="G394" s="19" t="str">
        <f aca="true">IF(F394="", "", DATEDIF(F394, TODAY(), "Y"))</f>
        <v/>
      </c>
      <c r="H394" s="18"/>
      <c r="I394" s="18"/>
      <c r="J394" s="19" t="str">
        <f aca="true">IF(ISBLANK(H394), "", I394-TODAY())</f>
        <v/>
      </c>
      <c r="K394" s="19" t="str">
        <f aca="false" t="array" ref="K394:K394">IF(A394&lt;&gt;"",IF(COUNTIF(A395:A$996,"&lt;&gt;")=0,COUNTA(B394:B$996),IFERROR(MATCH(TRUE(),INDEX((A395:A$996&lt;&gt;""),0),0),COUNTA(B394:B$996))),"")</f>
        <v/>
      </c>
      <c r="L394" s="20"/>
    </row>
    <row r="395" customFormat="false" ht="13.8" hidden="false" customHeight="false" outlineLevel="0" collapsed="false">
      <c r="A395" s="16"/>
      <c r="B395" s="16"/>
      <c r="C395" s="17"/>
      <c r="D395" s="17"/>
      <c r="E395" s="17"/>
      <c r="F395" s="18"/>
      <c r="G395" s="19" t="str">
        <f aca="true">IF(F395="", "", DATEDIF(F395, TODAY(), "Y"))</f>
        <v/>
      </c>
      <c r="H395" s="18"/>
      <c r="I395" s="18"/>
      <c r="J395" s="19" t="str">
        <f aca="true">IF(ISBLANK(H395), "", I395-TODAY())</f>
        <v/>
      </c>
      <c r="K395" s="19" t="str">
        <f aca="false" t="array" ref="K395:K395">IF(A395&lt;&gt;"",IF(COUNTIF(A396:A$996,"&lt;&gt;")=0,COUNTA(B395:B$996),IFERROR(MATCH(TRUE(),INDEX((A396:A$996&lt;&gt;""),0),0),COUNTA(B395:B$996))),"")</f>
        <v/>
      </c>
      <c r="L395" s="20"/>
    </row>
    <row r="396" customFormat="false" ht="13.8" hidden="false" customHeight="false" outlineLevel="0" collapsed="false">
      <c r="A396" s="16"/>
      <c r="B396" s="16"/>
      <c r="C396" s="17"/>
      <c r="D396" s="17"/>
      <c r="E396" s="17"/>
      <c r="F396" s="18"/>
      <c r="G396" s="19" t="str">
        <f aca="true">IF(F396="", "", DATEDIF(F396, TODAY(), "Y"))</f>
        <v/>
      </c>
      <c r="H396" s="18"/>
      <c r="I396" s="18"/>
      <c r="J396" s="19" t="str">
        <f aca="true">IF(ISBLANK(H396), "", I396-TODAY())</f>
        <v/>
      </c>
      <c r="K396" s="19" t="str">
        <f aca="false" t="array" ref="K396:K396">IF(A396&lt;&gt;"",IF(COUNTIF(A397:A$996,"&lt;&gt;")=0,COUNTA(B396:B$996),IFERROR(MATCH(TRUE(),INDEX((A397:A$996&lt;&gt;""),0),0),COUNTA(B396:B$996))),"")</f>
        <v/>
      </c>
      <c r="L396" s="20"/>
    </row>
    <row r="397" customFormat="false" ht="13.8" hidden="false" customHeight="false" outlineLevel="0" collapsed="false">
      <c r="A397" s="16"/>
      <c r="B397" s="16"/>
      <c r="C397" s="17"/>
      <c r="D397" s="17"/>
      <c r="E397" s="17"/>
      <c r="F397" s="18"/>
      <c r="G397" s="19" t="str">
        <f aca="true">IF(F397="", "", DATEDIF(F397, TODAY(), "Y"))</f>
        <v/>
      </c>
      <c r="H397" s="18"/>
      <c r="I397" s="18"/>
      <c r="J397" s="19" t="str">
        <f aca="true">IF(ISBLANK(H397), "", I397-TODAY())</f>
        <v/>
      </c>
      <c r="K397" s="19" t="str">
        <f aca="false" t="array" ref="K397:K397">IF(A397&lt;&gt;"",IF(COUNTIF(A398:A$996,"&lt;&gt;")=0,COUNTA(B397:B$996),IFERROR(MATCH(TRUE(),INDEX((A398:A$996&lt;&gt;""),0),0),COUNTA(B397:B$996))),"")</f>
        <v/>
      </c>
      <c r="L397" s="20"/>
    </row>
    <row r="398" customFormat="false" ht="13.8" hidden="false" customHeight="false" outlineLevel="0" collapsed="false">
      <c r="A398" s="16"/>
      <c r="B398" s="16"/>
      <c r="C398" s="17"/>
      <c r="D398" s="17"/>
      <c r="E398" s="17"/>
      <c r="F398" s="18"/>
      <c r="G398" s="19" t="str">
        <f aca="true">IF(F398="", "", DATEDIF(F398, TODAY(), "Y"))</f>
        <v/>
      </c>
      <c r="H398" s="18"/>
      <c r="I398" s="18"/>
      <c r="J398" s="19" t="str">
        <f aca="true">IF(ISBLANK(H398), "", I398-TODAY())</f>
        <v/>
      </c>
      <c r="K398" s="19" t="str">
        <f aca="false" t="array" ref="K398:K398">IF(A398&lt;&gt;"",IF(COUNTIF(A399:A$996,"&lt;&gt;")=0,COUNTA(B398:B$996),IFERROR(MATCH(TRUE(),INDEX((A399:A$996&lt;&gt;""),0),0),COUNTA(B398:B$996))),"")</f>
        <v/>
      </c>
      <c r="L398" s="20"/>
    </row>
    <row r="399" customFormat="false" ht="13.8" hidden="false" customHeight="false" outlineLevel="0" collapsed="false">
      <c r="A399" s="16"/>
      <c r="B399" s="16"/>
      <c r="C399" s="17"/>
      <c r="D399" s="17"/>
      <c r="E399" s="17"/>
      <c r="F399" s="18"/>
      <c r="G399" s="19" t="str">
        <f aca="true">IF(F399="", "", DATEDIF(F399, TODAY(), "Y"))</f>
        <v/>
      </c>
      <c r="H399" s="18"/>
      <c r="I399" s="18"/>
      <c r="J399" s="19" t="str">
        <f aca="true">IF(ISBLANK(H399), "", I399-TODAY())</f>
        <v/>
      </c>
      <c r="K399" s="19" t="str">
        <f aca="false" t="array" ref="K399:K399">IF(A399&lt;&gt;"",IF(COUNTIF(A400:A$996,"&lt;&gt;")=0,COUNTA(B399:B$996),IFERROR(MATCH(TRUE(),INDEX((A400:A$996&lt;&gt;""),0),0),COUNTA(B399:B$996))),"")</f>
        <v/>
      </c>
      <c r="L399" s="20"/>
    </row>
    <row r="400" customFormat="false" ht="13.8" hidden="false" customHeight="false" outlineLevel="0" collapsed="false">
      <c r="A400" s="16"/>
      <c r="B400" s="16"/>
      <c r="C400" s="17"/>
      <c r="D400" s="17"/>
      <c r="E400" s="17"/>
      <c r="F400" s="18"/>
      <c r="G400" s="19" t="str">
        <f aca="true">IF(F400="", "", DATEDIF(F400, TODAY(), "Y"))</f>
        <v/>
      </c>
      <c r="H400" s="18"/>
      <c r="I400" s="18"/>
      <c r="J400" s="19" t="str">
        <f aca="true">IF(ISBLANK(H400), "", I400-TODAY())</f>
        <v/>
      </c>
      <c r="K400" s="19" t="str">
        <f aca="false" t="array" ref="K400:K400">IF(A400&lt;&gt;"",IF(COUNTIF(A401:A$996,"&lt;&gt;")=0,COUNTA(B400:B$996),IFERROR(MATCH(TRUE(),INDEX((A401:A$996&lt;&gt;""),0),0),COUNTA(B400:B$996))),"")</f>
        <v/>
      </c>
      <c r="L400" s="20"/>
    </row>
    <row r="401" customFormat="false" ht="13.8" hidden="false" customHeight="false" outlineLevel="0" collapsed="false">
      <c r="A401" s="16"/>
      <c r="B401" s="16"/>
      <c r="C401" s="17"/>
      <c r="D401" s="17"/>
      <c r="E401" s="17"/>
      <c r="F401" s="18"/>
      <c r="G401" s="19" t="str">
        <f aca="true">IF(F401="", "", DATEDIF(F401, TODAY(), "Y"))</f>
        <v/>
      </c>
      <c r="H401" s="18"/>
      <c r="I401" s="18"/>
      <c r="J401" s="19" t="str">
        <f aca="true">IF(ISBLANK(H401), "", I401-TODAY())</f>
        <v/>
      </c>
      <c r="K401" s="19" t="str">
        <f aca="false" t="array" ref="K401:K401">IF(A401&lt;&gt;"",IF(COUNTIF(A402:A$996,"&lt;&gt;")=0,COUNTA(B401:B$996),IFERROR(MATCH(TRUE(),INDEX((A402:A$996&lt;&gt;""),0),0),COUNTA(B401:B$996))),"")</f>
        <v/>
      </c>
      <c r="L401" s="20"/>
    </row>
    <row r="402" customFormat="false" ht="13.8" hidden="false" customHeight="false" outlineLevel="0" collapsed="false">
      <c r="A402" s="16"/>
      <c r="B402" s="16"/>
      <c r="C402" s="17"/>
      <c r="D402" s="17"/>
      <c r="E402" s="17"/>
      <c r="F402" s="18"/>
      <c r="G402" s="19" t="str">
        <f aca="true">IF(F402="", "", DATEDIF(F402, TODAY(), "Y"))</f>
        <v/>
      </c>
      <c r="H402" s="18"/>
      <c r="I402" s="18"/>
      <c r="J402" s="19" t="str">
        <f aca="true">IF(ISBLANK(H402), "", I402-TODAY())</f>
        <v/>
      </c>
      <c r="K402" s="19" t="str">
        <f aca="false" t="array" ref="K402:K402">IF(A402&lt;&gt;"",IF(COUNTIF(A403:A$996,"&lt;&gt;")=0,COUNTA(B402:B$996),IFERROR(MATCH(TRUE(),INDEX((A403:A$996&lt;&gt;""),0),0),COUNTA(B402:B$996))),"")</f>
        <v/>
      </c>
      <c r="L402" s="20"/>
    </row>
    <row r="403" customFormat="false" ht="13.8" hidden="false" customHeight="false" outlineLevel="0" collapsed="false">
      <c r="A403" s="16"/>
      <c r="B403" s="16"/>
      <c r="C403" s="17"/>
      <c r="D403" s="17"/>
      <c r="E403" s="17"/>
      <c r="F403" s="18"/>
      <c r="G403" s="19" t="str">
        <f aca="true">IF(F403="", "", DATEDIF(F403, TODAY(), "Y"))</f>
        <v/>
      </c>
      <c r="H403" s="18"/>
      <c r="I403" s="18"/>
      <c r="J403" s="19" t="str">
        <f aca="true">IF(ISBLANK(H403), "", I403-TODAY())</f>
        <v/>
      </c>
      <c r="K403" s="19" t="str">
        <f aca="false" t="array" ref="K403:K403">IF(A403&lt;&gt;"",IF(COUNTIF(A404:A$996,"&lt;&gt;")=0,COUNTA(B403:B$996),IFERROR(MATCH(TRUE(),INDEX((A404:A$996&lt;&gt;""),0),0),COUNTA(B403:B$996))),"")</f>
        <v/>
      </c>
      <c r="L403" s="20"/>
    </row>
    <row r="404" customFormat="false" ht="13.8" hidden="false" customHeight="false" outlineLevel="0" collapsed="false">
      <c r="A404" s="16"/>
      <c r="B404" s="16"/>
      <c r="C404" s="17"/>
      <c r="D404" s="17"/>
      <c r="E404" s="17"/>
      <c r="F404" s="18"/>
      <c r="G404" s="19" t="str">
        <f aca="true">IF(F404="", "", DATEDIF(F404, TODAY(), "Y"))</f>
        <v/>
      </c>
      <c r="H404" s="18"/>
      <c r="I404" s="18"/>
      <c r="J404" s="19" t="str">
        <f aca="true">IF(ISBLANK(H404), "", I404-TODAY())</f>
        <v/>
      </c>
      <c r="K404" s="19" t="str">
        <f aca="false" t="array" ref="K404:K404">IF(A404&lt;&gt;"",IF(COUNTIF(A405:A$996,"&lt;&gt;")=0,COUNTA(B404:B$996),IFERROR(MATCH(TRUE(),INDEX((A405:A$996&lt;&gt;""),0),0),COUNTA(B404:B$996))),"")</f>
        <v/>
      </c>
      <c r="L404" s="20"/>
    </row>
    <row r="405" customFormat="false" ht="13.8" hidden="false" customHeight="false" outlineLevel="0" collapsed="false">
      <c r="A405" s="16"/>
      <c r="B405" s="16"/>
      <c r="C405" s="17"/>
      <c r="D405" s="17"/>
      <c r="E405" s="17"/>
      <c r="F405" s="18"/>
      <c r="G405" s="19" t="str">
        <f aca="true">IF(F405="", "", DATEDIF(F405, TODAY(), "Y"))</f>
        <v/>
      </c>
      <c r="H405" s="18"/>
      <c r="I405" s="18"/>
      <c r="J405" s="19" t="str">
        <f aca="true">IF(ISBLANK(H405), "", I405-TODAY())</f>
        <v/>
      </c>
      <c r="K405" s="19" t="str">
        <f aca="false" t="array" ref="K405:K405">IF(A405&lt;&gt;"",IF(COUNTIF(A406:A$996,"&lt;&gt;")=0,COUNTA(B405:B$996),IFERROR(MATCH(TRUE(),INDEX((A406:A$996&lt;&gt;""),0),0),COUNTA(B405:B$996))),"")</f>
        <v/>
      </c>
      <c r="L405" s="20"/>
    </row>
    <row r="406" customFormat="false" ht="13.8" hidden="false" customHeight="false" outlineLevel="0" collapsed="false">
      <c r="A406" s="16"/>
      <c r="B406" s="16"/>
      <c r="C406" s="17"/>
      <c r="D406" s="17"/>
      <c r="E406" s="17"/>
      <c r="F406" s="18"/>
      <c r="G406" s="19" t="str">
        <f aca="true">IF(F406="", "", DATEDIF(F406, TODAY(), "Y"))</f>
        <v/>
      </c>
      <c r="H406" s="18"/>
      <c r="I406" s="18"/>
      <c r="J406" s="19" t="str">
        <f aca="true">IF(ISBLANK(H406), "", I406-TODAY())</f>
        <v/>
      </c>
      <c r="K406" s="19" t="str">
        <f aca="false" t="array" ref="K406:K406">IF(A406&lt;&gt;"",IF(COUNTIF(A407:A$996,"&lt;&gt;")=0,COUNTA(B406:B$996),IFERROR(MATCH(TRUE(),INDEX((A407:A$996&lt;&gt;""),0),0),COUNTA(B406:B$996))),"")</f>
        <v/>
      </c>
      <c r="L406" s="20"/>
    </row>
    <row r="407" customFormat="false" ht="13.8" hidden="false" customHeight="false" outlineLevel="0" collapsed="false">
      <c r="A407" s="16"/>
      <c r="B407" s="16"/>
      <c r="C407" s="17"/>
      <c r="D407" s="17"/>
      <c r="E407" s="17"/>
      <c r="F407" s="18"/>
      <c r="G407" s="19" t="str">
        <f aca="true">IF(F407="", "", DATEDIF(F407, TODAY(), "Y"))</f>
        <v/>
      </c>
      <c r="H407" s="18"/>
      <c r="I407" s="18"/>
      <c r="J407" s="19" t="str">
        <f aca="true">IF(ISBLANK(H407), "", I407-TODAY())</f>
        <v/>
      </c>
      <c r="K407" s="19" t="str">
        <f aca="false" t="array" ref="K407:K407">IF(A407&lt;&gt;"",IF(COUNTIF(A408:A$996,"&lt;&gt;")=0,COUNTA(B407:B$996),IFERROR(MATCH(TRUE(),INDEX((A408:A$996&lt;&gt;""),0),0),COUNTA(B407:B$996))),"")</f>
        <v/>
      </c>
      <c r="L407" s="20"/>
    </row>
    <row r="408" customFormat="false" ht="13.8" hidden="false" customHeight="false" outlineLevel="0" collapsed="false">
      <c r="A408" s="16"/>
      <c r="B408" s="16"/>
      <c r="C408" s="17"/>
      <c r="D408" s="17"/>
      <c r="E408" s="17"/>
      <c r="F408" s="18"/>
      <c r="G408" s="19" t="str">
        <f aca="true">IF(F408="", "", DATEDIF(F408, TODAY(), "Y"))</f>
        <v/>
      </c>
      <c r="H408" s="18"/>
      <c r="I408" s="18"/>
      <c r="J408" s="19" t="str">
        <f aca="true">IF(ISBLANK(H408), "", I408-TODAY())</f>
        <v/>
      </c>
      <c r="K408" s="19" t="str">
        <f aca="false" t="array" ref="K408:K408">IF(A408&lt;&gt;"",IF(COUNTIF(A409:A$996,"&lt;&gt;")=0,COUNTA(B408:B$996),IFERROR(MATCH(TRUE(),INDEX((A409:A$996&lt;&gt;""),0),0),COUNTA(B408:B$996))),"")</f>
        <v/>
      </c>
      <c r="L408" s="20"/>
    </row>
    <row r="409" customFormat="false" ht="13.8" hidden="false" customHeight="false" outlineLevel="0" collapsed="false">
      <c r="A409" s="16"/>
      <c r="B409" s="16"/>
      <c r="C409" s="17"/>
      <c r="D409" s="17"/>
      <c r="E409" s="17"/>
      <c r="F409" s="18"/>
      <c r="G409" s="19" t="str">
        <f aca="true">IF(F409="", "", DATEDIF(F409, TODAY(), "Y"))</f>
        <v/>
      </c>
      <c r="H409" s="18"/>
      <c r="I409" s="18"/>
      <c r="J409" s="19" t="str">
        <f aca="true">IF(ISBLANK(H409), "", I409-TODAY())</f>
        <v/>
      </c>
      <c r="K409" s="19" t="str">
        <f aca="false" t="array" ref="K409:K409">IF(A409&lt;&gt;"",IF(COUNTIF(A410:A$996,"&lt;&gt;")=0,COUNTA(B409:B$996),IFERROR(MATCH(TRUE(),INDEX((A410:A$996&lt;&gt;""),0),0),COUNTA(B409:B$996))),"")</f>
        <v/>
      </c>
      <c r="L409" s="20"/>
    </row>
    <row r="410" customFormat="false" ht="13.8" hidden="false" customHeight="false" outlineLevel="0" collapsed="false">
      <c r="A410" s="16"/>
      <c r="B410" s="16"/>
      <c r="C410" s="17"/>
      <c r="D410" s="17"/>
      <c r="E410" s="17"/>
      <c r="F410" s="18"/>
      <c r="G410" s="19" t="str">
        <f aca="true">IF(F410="", "", DATEDIF(F410, TODAY(), "Y"))</f>
        <v/>
      </c>
      <c r="H410" s="18"/>
      <c r="I410" s="18"/>
      <c r="J410" s="19" t="str">
        <f aca="true">IF(ISBLANK(H410), "", I410-TODAY())</f>
        <v/>
      </c>
      <c r="K410" s="19" t="str">
        <f aca="false" t="array" ref="K410:K410">IF(A410&lt;&gt;"",IF(COUNTIF(A411:A$996,"&lt;&gt;")=0,COUNTA(B410:B$996),IFERROR(MATCH(TRUE(),INDEX((A411:A$996&lt;&gt;""),0),0),COUNTA(B410:B$996))),"")</f>
        <v/>
      </c>
      <c r="L410" s="20"/>
    </row>
    <row r="411" customFormat="false" ht="13.8" hidden="false" customHeight="false" outlineLevel="0" collapsed="false">
      <c r="A411" s="16"/>
      <c r="B411" s="16"/>
      <c r="C411" s="17"/>
      <c r="D411" s="17"/>
      <c r="E411" s="17"/>
      <c r="F411" s="18"/>
      <c r="G411" s="19" t="str">
        <f aca="true">IF(F411="", "", DATEDIF(F411, TODAY(), "Y"))</f>
        <v/>
      </c>
      <c r="H411" s="18"/>
      <c r="I411" s="18"/>
      <c r="J411" s="19" t="str">
        <f aca="true">IF(ISBLANK(H411), "", I411-TODAY())</f>
        <v/>
      </c>
      <c r="K411" s="19" t="str">
        <f aca="false" t="array" ref="K411:K411">IF(A411&lt;&gt;"",IF(COUNTIF(A412:A$996,"&lt;&gt;")=0,COUNTA(B411:B$996),IFERROR(MATCH(TRUE(),INDEX((A412:A$996&lt;&gt;""),0),0),COUNTA(B411:B$996))),"")</f>
        <v/>
      </c>
      <c r="L411" s="20"/>
    </row>
    <row r="412" customFormat="false" ht="13.8" hidden="false" customHeight="false" outlineLevel="0" collapsed="false">
      <c r="A412" s="16"/>
      <c r="B412" s="16"/>
      <c r="C412" s="17"/>
      <c r="D412" s="17"/>
      <c r="E412" s="17"/>
      <c r="F412" s="18"/>
      <c r="G412" s="19" t="str">
        <f aca="true">IF(F412="", "", DATEDIF(F412, TODAY(), "Y"))</f>
        <v/>
      </c>
      <c r="H412" s="18"/>
      <c r="I412" s="18"/>
      <c r="J412" s="19" t="str">
        <f aca="true">IF(ISBLANK(H412), "", I412-TODAY())</f>
        <v/>
      </c>
      <c r="K412" s="19" t="str">
        <f aca="false" t="array" ref="K412:K412">IF(A412&lt;&gt;"",IF(COUNTIF(A413:A$996,"&lt;&gt;")=0,COUNTA(B412:B$996),IFERROR(MATCH(TRUE(),INDEX((A413:A$996&lt;&gt;""),0),0),COUNTA(B412:B$996))),"")</f>
        <v/>
      </c>
      <c r="L412" s="20"/>
    </row>
    <row r="413" customFormat="false" ht="13.8" hidden="false" customHeight="false" outlineLevel="0" collapsed="false">
      <c r="A413" s="16"/>
      <c r="B413" s="16"/>
      <c r="C413" s="17"/>
      <c r="D413" s="17"/>
      <c r="E413" s="17"/>
      <c r="F413" s="18"/>
      <c r="G413" s="19" t="str">
        <f aca="true">IF(F413="", "", DATEDIF(F413, TODAY(), "Y"))</f>
        <v/>
      </c>
      <c r="H413" s="18"/>
      <c r="I413" s="18"/>
      <c r="J413" s="19" t="str">
        <f aca="true">IF(ISBLANK(H413), "", I413-TODAY())</f>
        <v/>
      </c>
      <c r="K413" s="19" t="str">
        <f aca="false" t="array" ref="K413:K413">IF(A413&lt;&gt;"",IF(COUNTIF(A414:A$996,"&lt;&gt;")=0,COUNTA(B413:B$996),IFERROR(MATCH(TRUE(),INDEX((A414:A$996&lt;&gt;""),0),0),COUNTA(B413:B$996))),"")</f>
        <v/>
      </c>
      <c r="L413" s="20"/>
    </row>
    <row r="414" customFormat="false" ht="13.8" hidden="false" customHeight="false" outlineLevel="0" collapsed="false">
      <c r="A414" s="16"/>
      <c r="B414" s="16"/>
      <c r="C414" s="17"/>
      <c r="D414" s="17"/>
      <c r="E414" s="17"/>
      <c r="F414" s="18"/>
      <c r="G414" s="19" t="str">
        <f aca="true">IF(F414="", "", DATEDIF(F414, TODAY(), "Y"))</f>
        <v/>
      </c>
      <c r="H414" s="18"/>
      <c r="I414" s="18"/>
      <c r="J414" s="19" t="str">
        <f aca="true">IF(ISBLANK(H414), "", I414-TODAY())</f>
        <v/>
      </c>
      <c r="K414" s="19" t="str">
        <f aca="false" t="array" ref="K414:K414">IF(A414&lt;&gt;"",IF(COUNTIF(A415:A$996,"&lt;&gt;")=0,COUNTA(B414:B$996),IFERROR(MATCH(TRUE(),INDEX((A415:A$996&lt;&gt;""),0),0),COUNTA(B414:B$996))),"")</f>
        <v/>
      </c>
      <c r="L414" s="20"/>
    </row>
    <row r="415" customFormat="false" ht="13.8" hidden="false" customHeight="false" outlineLevel="0" collapsed="false">
      <c r="A415" s="16"/>
      <c r="B415" s="16"/>
      <c r="C415" s="17"/>
      <c r="D415" s="17"/>
      <c r="E415" s="17"/>
      <c r="F415" s="18"/>
      <c r="G415" s="19" t="str">
        <f aca="true">IF(F415="", "", DATEDIF(F415, TODAY(), "Y"))</f>
        <v/>
      </c>
      <c r="H415" s="18"/>
      <c r="I415" s="18"/>
      <c r="J415" s="19" t="str">
        <f aca="true">IF(ISBLANK(H415), "", I415-TODAY())</f>
        <v/>
      </c>
      <c r="K415" s="19" t="str">
        <f aca="false" t="array" ref="K415:K415">IF(A415&lt;&gt;"",IF(COUNTIF(A416:A$996,"&lt;&gt;")=0,COUNTA(B415:B$996),IFERROR(MATCH(TRUE(),INDEX((A416:A$996&lt;&gt;""),0),0),COUNTA(B415:B$996))),"")</f>
        <v/>
      </c>
      <c r="L415" s="20"/>
    </row>
    <row r="416" customFormat="false" ht="13.8" hidden="false" customHeight="false" outlineLevel="0" collapsed="false">
      <c r="A416" s="16"/>
      <c r="B416" s="16"/>
      <c r="C416" s="17"/>
      <c r="D416" s="17"/>
      <c r="E416" s="17"/>
      <c r="F416" s="18"/>
      <c r="G416" s="19" t="str">
        <f aca="true">IF(F416="", "", DATEDIF(F416, TODAY(), "Y"))</f>
        <v/>
      </c>
      <c r="H416" s="18"/>
      <c r="I416" s="18"/>
      <c r="J416" s="19" t="str">
        <f aca="true">IF(ISBLANK(H416), "", I416-TODAY())</f>
        <v/>
      </c>
      <c r="K416" s="19" t="str">
        <f aca="false" t="array" ref="K416:K416">IF(A416&lt;&gt;"",IF(COUNTIF(A417:A$996,"&lt;&gt;")=0,COUNTA(B416:B$996),IFERROR(MATCH(TRUE(),INDEX((A417:A$996&lt;&gt;""),0),0),COUNTA(B416:B$996))),"")</f>
        <v/>
      </c>
      <c r="L416" s="20"/>
    </row>
    <row r="417" customFormat="false" ht="13.8" hidden="false" customHeight="false" outlineLevel="0" collapsed="false">
      <c r="A417" s="16"/>
      <c r="B417" s="16"/>
      <c r="C417" s="17"/>
      <c r="D417" s="17"/>
      <c r="E417" s="17"/>
      <c r="F417" s="18"/>
      <c r="G417" s="19" t="str">
        <f aca="true">IF(F417="", "", DATEDIF(F417, TODAY(), "Y"))</f>
        <v/>
      </c>
      <c r="H417" s="18"/>
      <c r="I417" s="18"/>
      <c r="J417" s="19" t="str">
        <f aca="true">IF(ISBLANK(H417), "", I417-TODAY())</f>
        <v/>
      </c>
      <c r="K417" s="19" t="str">
        <f aca="false" t="array" ref="K417:K417">IF(A417&lt;&gt;"",IF(COUNTIF(A418:A$996,"&lt;&gt;")=0,COUNTA(B417:B$996),IFERROR(MATCH(TRUE(),INDEX((A418:A$996&lt;&gt;""),0),0),COUNTA(B417:B$996))),"")</f>
        <v/>
      </c>
      <c r="L417" s="20"/>
    </row>
    <row r="418" customFormat="false" ht="13.8" hidden="false" customHeight="false" outlineLevel="0" collapsed="false">
      <c r="A418" s="16"/>
      <c r="B418" s="16"/>
      <c r="C418" s="17"/>
      <c r="D418" s="17"/>
      <c r="E418" s="17"/>
      <c r="F418" s="18"/>
      <c r="G418" s="19" t="str">
        <f aca="true">IF(F418="", "", DATEDIF(F418, TODAY(), "Y"))</f>
        <v/>
      </c>
      <c r="H418" s="18"/>
      <c r="I418" s="18"/>
      <c r="J418" s="19" t="str">
        <f aca="true">IF(ISBLANK(H418), "", I418-TODAY())</f>
        <v/>
      </c>
      <c r="K418" s="19" t="str">
        <f aca="false" t="array" ref="K418:K418">IF(A418&lt;&gt;"",IF(COUNTIF(A419:A$996,"&lt;&gt;")=0,COUNTA(B418:B$996),IFERROR(MATCH(TRUE(),INDEX((A419:A$996&lt;&gt;""),0),0),COUNTA(B418:B$996))),"")</f>
        <v/>
      </c>
      <c r="L418" s="20"/>
    </row>
    <row r="419" customFormat="false" ht="13.8" hidden="false" customHeight="false" outlineLevel="0" collapsed="false">
      <c r="A419" s="16"/>
      <c r="B419" s="16"/>
      <c r="C419" s="17"/>
      <c r="D419" s="17"/>
      <c r="E419" s="17"/>
      <c r="F419" s="18"/>
      <c r="G419" s="19" t="str">
        <f aca="true">IF(F419="", "", DATEDIF(F419, TODAY(), "Y"))</f>
        <v/>
      </c>
      <c r="H419" s="18"/>
      <c r="I419" s="18"/>
      <c r="J419" s="19" t="str">
        <f aca="true">IF(ISBLANK(H419), "", I419-TODAY())</f>
        <v/>
      </c>
      <c r="K419" s="19" t="str">
        <f aca="false" t="array" ref="K419:K419">IF(A419&lt;&gt;"",IF(COUNTIF(A420:A$996,"&lt;&gt;")=0,COUNTA(B419:B$996),IFERROR(MATCH(TRUE(),INDEX((A420:A$996&lt;&gt;""),0),0),COUNTA(B419:B$996))),"")</f>
        <v/>
      </c>
      <c r="L419" s="20"/>
    </row>
    <row r="420" customFormat="false" ht="13.8" hidden="false" customHeight="false" outlineLevel="0" collapsed="false">
      <c r="A420" s="16"/>
      <c r="B420" s="16"/>
      <c r="C420" s="17"/>
      <c r="D420" s="17"/>
      <c r="E420" s="17"/>
      <c r="F420" s="18"/>
      <c r="G420" s="19" t="str">
        <f aca="true">IF(F420="", "", DATEDIF(F420, TODAY(), "Y"))</f>
        <v/>
      </c>
      <c r="H420" s="18"/>
      <c r="I420" s="18"/>
      <c r="J420" s="19" t="str">
        <f aca="true">IF(ISBLANK(H420), "", I420-TODAY())</f>
        <v/>
      </c>
      <c r="K420" s="19" t="str">
        <f aca="false" t="array" ref="K420:K420">IF(A420&lt;&gt;"",IF(COUNTIF(A421:A$996,"&lt;&gt;")=0,COUNTA(B420:B$996),IFERROR(MATCH(TRUE(),INDEX((A421:A$996&lt;&gt;""),0),0),COUNTA(B420:B$996))),"")</f>
        <v/>
      </c>
      <c r="L420" s="20"/>
    </row>
    <row r="421" customFormat="false" ht="13.8" hidden="false" customHeight="false" outlineLevel="0" collapsed="false">
      <c r="A421" s="16"/>
      <c r="B421" s="16"/>
      <c r="C421" s="17"/>
      <c r="D421" s="17"/>
      <c r="E421" s="17"/>
      <c r="F421" s="18"/>
      <c r="G421" s="19" t="str">
        <f aca="true">IF(F421="", "", DATEDIF(F421, TODAY(), "Y"))</f>
        <v/>
      </c>
      <c r="H421" s="18"/>
      <c r="I421" s="18"/>
      <c r="J421" s="19" t="str">
        <f aca="true">IF(ISBLANK(H421), "", I421-TODAY())</f>
        <v/>
      </c>
      <c r="K421" s="19" t="str">
        <f aca="false" t="array" ref="K421:K421">IF(A421&lt;&gt;"",IF(COUNTIF(A422:A$996,"&lt;&gt;")=0,COUNTA(B421:B$996),IFERROR(MATCH(TRUE(),INDEX((A422:A$996&lt;&gt;""),0),0),COUNTA(B421:B$996))),"")</f>
        <v/>
      </c>
      <c r="L421" s="20"/>
    </row>
    <row r="422" customFormat="false" ht="13.8" hidden="false" customHeight="false" outlineLevel="0" collapsed="false">
      <c r="A422" s="16"/>
      <c r="B422" s="16"/>
      <c r="C422" s="17"/>
      <c r="D422" s="17"/>
      <c r="E422" s="17"/>
      <c r="F422" s="18"/>
      <c r="G422" s="19" t="str">
        <f aca="true">IF(F422="", "", DATEDIF(F422, TODAY(), "Y"))</f>
        <v/>
      </c>
      <c r="H422" s="18"/>
      <c r="I422" s="18"/>
      <c r="J422" s="19" t="str">
        <f aca="true">IF(ISBLANK(H422), "", I422-TODAY())</f>
        <v/>
      </c>
      <c r="K422" s="19" t="str">
        <f aca="false" t="array" ref="K422:K422">IF(A422&lt;&gt;"",IF(COUNTIF(A423:A$996,"&lt;&gt;")=0,COUNTA(B422:B$996),IFERROR(MATCH(TRUE(),INDEX((A423:A$996&lt;&gt;""),0),0),COUNTA(B422:B$996))),"")</f>
        <v/>
      </c>
      <c r="L422" s="20"/>
    </row>
    <row r="423" customFormat="false" ht="13.8" hidden="false" customHeight="false" outlineLevel="0" collapsed="false">
      <c r="A423" s="16"/>
      <c r="B423" s="16"/>
      <c r="C423" s="17"/>
      <c r="D423" s="17"/>
      <c r="E423" s="17"/>
      <c r="F423" s="18"/>
      <c r="G423" s="19" t="str">
        <f aca="true">IF(F423="", "", DATEDIF(F423, TODAY(), "Y"))</f>
        <v/>
      </c>
      <c r="H423" s="18"/>
      <c r="I423" s="18"/>
      <c r="J423" s="19" t="str">
        <f aca="true">IF(ISBLANK(H423), "", I423-TODAY())</f>
        <v/>
      </c>
      <c r="K423" s="19" t="str">
        <f aca="false" t="array" ref="K423:K423">IF(A423&lt;&gt;"",IF(COUNTIF(A424:A$996,"&lt;&gt;")=0,COUNTA(B423:B$996),IFERROR(MATCH(TRUE(),INDEX((A424:A$996&lt;&gt;""),0),0),COUNTA(B423:B$996))),"")</f>
        <v/>
      </c>
      <c r="L423" s="20"/>
    </row>
    <row r="424" customFormat="false" ht="13.8" hidden="false" customHeight="false" outlineLevel="0" collapsed="false">
      <c r="A424" s="16"/>
      <c r="B424" s="16"/>
      <c r="C424" s="17"/>
      <c r="D424" s="17"/>
      <c r="E424" s="17"/>
      <c r="F424" s="18"/>
      <c r="G424" s="19" t="str">
        <f aca="true">IF(F424="", "", DATEDIF(F424, TODAY(), "Y"))</f>
        <v/>
      </c>
      <c r="H424" s="18"/>
      <c r="I424" s="18"/>
      <c r="J424" s="19" t="str">
        <f aca="true">IF(ISBLANK(H424), "", I424-TODAY())</f>
        <v/>
      </c>
      <c r="K424" s="19" t="str">
        <f aca="false" t="array" ref="K424:K424">IF(A424&lt;&gt;"",IF(COUNTIF(A425:A$996,"&lt;&gt;")=0,COUNTA(B424:B$996),IFERROR(MATCH(TRUE(),INDEX((A425:A$996&lt;&gt;""),0),0),COUNTA(B424:B$996))),"")</f>
        <v/>
      </c>
      <c r="L424" s="20"/>
    </row>
    <row r="425" customFormat="false" ht="13.8" hidden="false" customHeight="false" outlineLevel="0" collapsed="false">
      <c r="A425" s="16"/>
      <c r="B425" s="16"/>
      <c r="C425" s="17"/>
      <c r="D425" s="17"/>
      <c r="E425" s="17"/>
      <c r="F425" s="18"/>
      <c r="G425" s="19" t="str">
        <f aca="true">IF(F425="", "", DATEDIF(F425, TODAY(), "Y"))</f>
        <v/>
      </c>
      <c r="H425" s="18"/>
      <c r="I425" s="18"/>
      <c r="J425" s="19" t="str">
        <f aca="true">IF(ISBLANK(H425), "", I425-TODAY())</f>
        <v/>
      </c>
      <c r="K425" s="19" t="str">
        <f aca="false" t="array" ref="K425:K425">IF(A425&lt;&gt;"",IF(COUNTIF(A426:A$996,"&lt;&gt;")=0,COUNTA(B425:B$996),IFERROR(MATCH(TRUE(),INDEX((A426:A$996&lt;&gt;""),0),0),COUNTA(B425:B$996))),"")</f>
        <v/>
      </c>
      <c r="L425" s="20"/>
    </row>
    <row r="426" customFormat="false" ht="13.8" hidden="false" customHeight="false" outlineLevel="0" collapsed="false">
      <c r="A426" s="16"/>
      <c r="B426" s="16"/>
      <c r="C426" s="17"/>
      <c r="D426" s="17"/>
      <c r="E426" s="17"/>
      <c r="F426" s="18"/>
      <c r="G426" s="19" t="str">
        <f aca="true">IF(F426="", "", DATEDIF(F426, TODAY(), "Y"))</f>
        <v/>
      </c>
      <c r="H426" s="18"/>
      <c r="I426" s="18"/>
      <c r="J426" s="19" t="str">
        <f aca="true">IF(ISBLANK(H426), "", I426-TODAY())</f>
        <v/>
      </c>
      <c r="K426" s="19" t="str">
        <f aca="false" t="array" ref="K426:K426">IF(A426&lt;&gt;"",IF(COUNTIF(A427:A$996,"&lt;&gt;")=0,COUNTA(B426:B$996),IFERROR(MATCH(TRUE(),INDEX((A427:A$996&lt;&gt;""),0),0),COUNTA(B426:B$996))),"")</f>
        <v/>
      </c>
      <c r="L426" s="20"/>
    </row>
    <row r="427" customFormat="false" ht="13.8" hidden="false" customHeight="false" outlineLevel="0" collapsed="false">
      <c r="A427" s="16"/>
      <c r="B427" s="16"/>
      <c r="C427" s="17"/>
      <c r="D427" s="17"/>
      <c r="E427" s="17"/>
      <c r="F427" s="18"/>
      <c r="G427" s="19" t="str">
        <f aca="true">IF(F427="", "", DATEDIF(F427, TODAY(), "Y"))</f>
        <v/>
      </c>
      <c r="H427" s="18"/>
      <c r="I427" s="18"/>
      <c r="J427" s="19" t="str">
        <f aca="true">IF(ISBLANK(H427), "", I427-TODAY())</f>
        <v/>
      </c>
      <c r="K427" s="19" t="str">
        <f aca="false" t="array" ref="K427:K427">IF(A427&lt;&gt;"",IF(COUNTIF(A428:A$996,"&lt;&gt;")=0,COUNTA(B427:B$996),IFERROR(MATCH(TRUE(),INDEX((A428:A$996&lt;&gt;""),0),0),COUNTA(B427:B$996))),"")</f>
        <v/>
      </c>
      <c r="L427" s="20"/>
    </row>
    <row r="428" customFormat="false" ht="13.8" hidden="false" customHeight="false" outlineLevel="0" collapsed="false">
      <c r="A428" s="16"/>
      <c r="B428" s="16"/>
      <c r="C428" s="17"/>
      <c r="D428" s="17"/>
      <c r="E428" s="17"/>
      <c r="F428" s="18"/>
      <c r="G428" s="19" t="str">
        <f aca="true">IF(F428="", "", DATEDIF(F428, TODAY(), "Y"))</f>
        <v/>
      </c>
      <c r="H428" s="18"/>
      <c r="I428" s="18"/>
      <c r="J428" s="19" t="str">
        <f aca="true">IF(ISBLANK(H428), "", I428-TODAY())</f>
        <v/>
      </c>
      <c r="K428" s="19" t="str">
        <f aca="false" t="array" ref="K428:K428">IF(A428&lt;&gt;"",IF(COUNTIF(A429:A$996,"&lt;&gt;")=0,COUNTA(B428:B$996),IFERROR(MATCH(TRUE(),INDEX((A429:A$996&lt;&gt;""),0),0),COUNTA(B428:B$996))),"")</f>
        <v/>
      </c>
      <c r="L428" s="20"/>
    </row>
    <row r="429" customFormat="false" ht="13.8" hidden="false" customHeight="false" outlineLevel="0" collapsed="false">
      <c r="A429" s="16"/>
      <c r="B429" s="16"/>
      <c r="C429" s="17"/>
      <c r="D429" s="17"/>
      <c r="E429" s="17"/>
      <c r="F429" s="18"/>
      <c r="G429" s="19" t="str">
        <f aca="true">IF(F429="", "", DATEDIF(F429, TODAY(), "Y"))</f>
        <v/>
      </c>
      <c r="H429" s="18"/>
      <c r="I429" s="18"/>
      <c r="J429" s="19" t="str">
        <f aca="true">IF(ISBLANK(H429), "", I429-TODAY())</f>
        <v/>
      </c>
      <c r="K429" s="19" t="str">
        <f aca="false" t="array" ref="K429:K429">IF(A429&lt;&gt;"",IF(COUNTIF(A430:A$996,"&lt;&gt;")=0,COUNTA(B429:B$996),IFERROR(MATCH(TRUE(),INDEX((A430:A$996&lt;&gt;""),0),0),COUNTA(B429:B$996))),"")</f>
        <v/>
      </c>
      <c r="L429" s="20"/>
    </row>
    <row r="430" customFormat="false" ht="13.8" hidden="false" customHeight="false" outlineLevel="0" collapsed="false">
      <c r="A430" s="16"/>
      <c r="B430" s="16"/>
      <c r="C430" s="17"/>
      <c r="D430" s="17"/>
      <c r="E430" s="17"/>
      <c r="F430" s="18"/>
      <c r="G430" s="19" t="str">
        <f aca="true">IF(F430="", "", DATEDIF(F430, TODAY(), "Y"))</f>
        <v/>
      </c>
      <c r="H430" s="18"/>
      <c r="I430" s="18"/>
      <c r="J430" s="19" t="str">
        <f aca="true">IF(ISBLANK(H430), "", I430-TODAY())</f>
        <v/>
      </c>
      <c r="K430" s="19" t="str">
        <f aca="false" t="array" ref="K430:K430">IF(A430&lt;&gt;"",IF(COUNTIF(A431:A$996,"&lt;&gt;")=0,COUNTA(B430:B$996),IFERROR(MATCH(TRUE(),INDEX((A431:A$996&lt;&gt;""),0),0),COUNTA(B430:B$996))),"")</f>
        <v/>
      </c>
      <c r="L430" s="20"/>
    </row>
    <row r="431" customFormat="false" ht="13.8" hidden="false" customHeight="false" outlineLevel="0" collapsed="false">
      <c r="A431" s="16"/>
      <c r="B431" s="16"/>
      <c r="C431" s="17"/>
      <c r="D431" s="17"/>
      <c r="E431" s="17"/>
      <c r="F431" s="18"/>
      <c r="G431" s="19" t="str">
        <f aca="true">IF(F431="", "", DATEDIF(F431, TODAY(), "Y"))</f>
        <v/>
      </c>
      <c r="H431" s="18"/>
      <c r="I431" s="18"/>
      <c r="J431" s="19" t="str">
        <f aca="true">IF(ISBLANK(H431), "", I431-TODAY())</f>
        <v/>
      </c>
      <c r="K431" s="19" t="str">
        <f aca="false" t="array" ref="K431:K431">IF(A431&lt;&gt;"",IF(COUNTIF(A432:A$996,"&lt;&gt;")=0,COUNTA(B431:B$996),IFERROR(MATCH(TRUE(),INDEX((A432:A$996&lt;&gt;""),0),0),COUNTA(B431:B$996))),"")</f>
        <v/>
      </c>
      <c r="L431" s="20"/>
    </row>
    <row r="432" customFormat="false" ht="13.8" hidden="false" customHeight="false" outlineLevel="0" collapsed="false">
      <c r="A432" s="16"/>
      <c r="B432" s="16"/>
      <c r="C432" s="17"/>
      <c r="D432" s="17"/>
      <c r="E432" s="17"/>
      <c r="F432" s="18"/>
      <c r="G432" s="19" t="str">
        <f aca="true">IF(F432="", "", DATEDIF(F432, TODAY(), "Y"))</f>
        <v/>
      </c>
      <c r="H432" s="18"/>
      <c r="I432" s="18"/>
      <c r="J432" s="19" t="str">
        <f aca="true">IF(ISBLANK(H432), "", I432-TODAY())</f>
        <v/>
      </c>
      <c r="K432" s="19" t="str">
        <f aca="false" t="array" ref="K432:K432">IF(A432&lt;&gt;"",IF(COUNTIF(A433:A$996,"&lt;&gt;")=0,COUNTA(B432:B$996),IFERROR(MATCH(TRUE(),INDEX((A433:A$996&lt;&gt;""),0),0),COUNTA(B432:B$996))),"")</f>
        <v/>
      </c>
      <c r="L432" s="20"/>
    </row>
    <row r="433" customFormat="false" ht="13.8" hidden="false" customHeight="false" outlineLevel="0" collapsed="false">
      <c r="A433" s="16"/>
      <c r="B433" s="16"/>
      <c r="C433" s="17"/>
      <c r="D433" s="17"/>
      <c r="E433" s="17"/>
      <c r="F433" s="18"/>
      <c r="G433" s="19" t="str">
        <f aca="true">IF(F433="", "", DATEDIF(F433, TODAY(), "Y"))</f>
        <v/>
      </c>
      <c r="H433" s="18"/>
      <c r="I433" s="18"/>
      <c r="J433" s="19" t="str">
        <f aca="true">IF(ISBLANK(H433), "", I433-TODAY())</f>
        <v/>
      </c>
      <c r="K433" s="19" t="str">
        <f aca="false" t="array" ref="K433:K433">IF(A433&lt;&gt;"",IF(COUNTIF(A434:A$996,"&lt;&gt;")=0,COUNTA(B433:B$996),IFERROR(MATCH(TRUE(),INDEX((A434:A$996&lt;&gt;""),0),0),COUNTA(B433:B$996))),"")</f>
        <v/>
      </c>
      <c r="L433" s="20"/>
    </row>
    <row r="434" customFormat="false" ht="13.8" hidden="false" customHeight="false" outlineLevel="0" collapsed="false">
      <c r="A434" s="16"/>
      <c r="B434" s="16"/>
      <c r="C434" s="17"/>
      <c r="D434" s="17"/>
      <c r="E434" s="17"/>
      <c r="F434" s="18"/>
      <c r="G434" s="19" t="str">
        <f aca="true">IF(F434="", "", DATEDIF(F434, TODAY(), "Y"))</f>
        <v/>
      </c>
      <c r="H434" s="18"/>
      <c r="I434" s="18"/>
      <c r="J434" s="19" t="str">
        <f aca="true">IF(ISBLANK(H434), "", I434-TODAY())</f>
        <v/>
      </c>
      <c r="K434" s="19" t="str">
        <f aca="false" t="array" ref="K434:K434">IF(A434&lt;&gt;"",IF(COUNTIF(A435:A$996,"&lt;&gt;")=0,COUNTA(B434:B$996),IFERROR(MATCH(TRUE(),INDEX((A435:A$996&lt;&gt;""),0),0),COUNTA(B434:B$996))),"")</f>
        <v/>
      </c>
      <c r="L434" s="20"/>
    </row>
    <row r="435" customFormat="false" ht="13.8" hidden="false" customHeight="false" outlineLevel="0" collapsed="false">
      <c r="A435" s="16"/>
      <c r="B435" s="16"/>
      <c r="C435" s="17"/>
      <c r="D435" s="17"/>
      <c r="E435" s="17"/>
      <c r="F435" s="18"/>
      <c r="G435" s="19" t="str">
        <f aca="true">IF(F435="", "", DATEDIF(F435, TODAY(), "Y"))</f>
        <v/>
      </c>
      <c r="H435" s="18"/>
      <c r="I435" s="18"/>
      <c r="J435" s="19" t="str">
        <f aca="true">IF(ISBLANK(H435), "", I435-TODAY())</f>
        <v/>
      </c>
      <c r="K435" s="19" t="str">
        <f aca="false" t="array" ref="K435:K435">IF(A435&lt;&gt;"",IF(COUNTIF(A436:A$996,"&lt;&gt;")=0,COUNTA(B435:B$996),IFERROR(MATCH(TRUE(),INDEX((A436:A$996&lt;&gt;""),0),0),COUNTA(B435:B$996))),"")</f>
        <v/>
      </c>
      <c r="L435" s="20"/>
    </row>
    <row r="436" customFormat="false" ht="13.8" hidden="false" customHeight="false" outlineLevel="0" collapsed="false">
      <c r="A436" s="16"/>
      <c r="B436" s="16"/>
      <c r="C436" s="17"/>
      <c r="D436" s="17"/>
      <c r="E436" s="17"/>
      <c r="F436" s="18"/>
      <c r="G436" s="19" t="str">
        <f aca="true">IF(F436="", "", DATEDIF(F436, TODAY(), "Y"))</f>
        <v/>
      </c>
      <c r="H436" s="18"/>
      <c r="I436" s="18"/>
      <c r="J436" s="19" t="str">
        <f aca="true">IF(ISBLANK(H436), "", I436-TODAY())</f>
        <v/>
      </c>
      <c r="K436" s="19" t="str">
        <f aca="false" t="array" ref="K436:K436">IF(A436&lt;&gt;"",IF(COUNTIF(A437:A$996,"&lt;&gt;")=0,COUNTA(B436:B$996),IFERROR(MATCH(TRUE(),INDEX((A437:A$996&lt;&gt;""),0),0),COUNTA(B436:B$996))),"")</f>
        <v/>
      </c>
      <c r="L436" s="20"/>
    </row>
    <row r="437" customFormat="false" ht="13.8" hidden="false" customHeight="false" outlineLevel="0" collapsed="false">
      <c r="A437" s="16"/>
      <c r="B437" s="16"/>
      <c r="C437" s="17"/>
      <c r="D437" s="17"/>
      <c r="E437" s="17"/>
      <c r="F437" s="18"/>
      <c r="G437" s="19" t="str">
        <f aca="true">IF(F437="", "", DATEDIF(F437, TODAY(), "Y"))</f>
        <v/>
      </c>
      <c r="H437" s="18"/>
      <c r="I437" s="18"/>
      <c r="J437" s="19" t="str">
        <f aca="true">IF(ISBLANK(H437), "", I437-TODAY())</f>
        <v/>
      </c>
      <c r="K437" s="19" t="str">
        <f aca="false" t="array" ref="K437:K437">IF(A437&lt;&gt;"",IF(COUNTIF(A438:A$996,"&lt;&gt;")=0,COUNTA(B437:B$996),IFERROR(MATCH(TRUE(),INDEX((A438:A$996&lt;&gt;""),0),0),COUNTA(B437:B$996))),"")</f>
        <v/>
      </c>
      <c r="L437" s="20"/>
    </row>
    <row r="438" customFormat="false" ht="13.8" hidden="false" customHeight="false" outlineLevel="0" collapsed="false">
      <c r="A438" s="16"/>
      <c r="B438" s="16"/>
      <c r="C438" s="17"/>
      <c r="D438" s="17"/>
      <c r="E438" s="17"/>
      <c r="F438" s="18"/>
      <c r="G438" s="19" t="str">
        <f aca="true">IF(F438="", "", DATEDIF(F438, TODAY(), "Y"))</f>
        <v/>
      </c>
      <c r="H438" s="18"/>
      <c r="I438" s="18"/>
      <c r="J438" s="19" t="str">
        <f aca="true">IF(ISBLANK(H438), "", I438-TODAY())</f>
        <v/>
      </c>
      <c r="K438" s="19" t="str">
        <f aca="false" t="array" ref="K438:K438">IF(A438&lt;&gt;"",IF(COUNTIF(A439:A$996,"&lt;&gt;")=0,COUNTA(B438:B$996),IFERROR(MATCH(TRUE(),INDEX((A439:A$996&lt;&gt;""),0),0),COUNTA(B438:B$996))),"")</f>
        <v/>
      </c>
      <c r="L438" s="20"/>
    </row>
    <row r="439" customFormat="false" ht="13.8" hidden="false" customHeight="false" outlineLevel="0" collapsed="false">
      <c r="A439" s="16"/>
      <c r="B439" s="16"/>
      <c r="C439" s="17"/>
      <c r="D439" s="17"/>
      <c r="E439" s="17"/>
      <c r="F439" s="18"/>
      <c r="G439" s="19" t="str">
        <f aca="true">IF(F439="", "", DATEDIF(F439, TODAY(), "Y"))</f>
        <v/>
      </c>
      <c r="H439" s="18"/>
      <c r="I439" s="18"/>
      <c r="J439" s="19" t="str">
        <f aca="true">IF(ISBLANK(H439), "", I439-TODAY())</f>
        <v/>
      </c>
      <c r="K439" s="19" t="str">
        <f aca="false" t="array" ref="K439:K439">IF(A439&lt;&gt;"",IF(COUNTIF(A440:A$996,"&lt;&gt;")=0,COUNTA(B439:B$996),IFERROR(MATCH(TRUE(),INDEX((A440:A$996&lt;&gt;""),0),0),COUNTA(B439:B$996))),"")</f>
        <v/>
      </c>
      <c r="L439" s="20"/>
    </row>
    <row r="440" customFormat="false" ht="13.8" hidden="false" customHeight="false" outlineLevel="0" collapsed="false">
      <c r="A440" s="16"/>
      <c r="B440" s="16"/>
      <c r="C440" s="17"/>
      <c r="D440" s="17"/>
      <c r="E440" s="17"/>
      <c r="F440" s="18"/>
      <c r="G440" s="19" t="str">
        <f aca="true">IF(F440="", "", DATEDIF(F440, TODAY(), "Y"))</f>
        <v/>
      </c>
      <c r="H440" s="18"/>
      <c r="I440" s="18"/>
      <c r="J440" s="19" t="str">
        <f aca="true">IF(ISBLANK(H440), "", I440-TODAY())</f>
        <v/>
      </c>
      <c r="K440" s="19" t="str">
        <f aca="false" t="array" ref="K440:K440">IF(A440&lt;&gt;"",IF(COUNTIF(A441:A$996,"&lt;&gt;")=0,COUNTA(B440:B$996),IFERROR(MATCH(TRUE(),INDEX((A441:A$996&lt;&gt;""),0),0),COUNTA(B440:B$996))),"")</f>
        <v/>
      </c>
      <c r="L440" s="20"/>
    </row>
    <row r="441" customFormat="false" ht="13.8" hidden="false" customHeight="false" outlineLevel="0" collapsed="false">
      <c r="A441" s="16"/>
      <c r="B441" s="16"/>
      <c r="C441" s="17"/>
      <c r="D441" s="17"/>
      <c r="E441" s="17"/>
      <c r="F441" s="18"/>
      <c r="G441" s="19" t="str">
        <f aca="true">IF(F441="", "", DATEDIF(F441, TODAY(), "Y"))</f>
        <v/>
      </c>
      <c r="H441" s="18"/>
      <c r="I441" s="18"/>
      <c r="J441" s="19" t="str">
        <f aca="true">IF(ISBLANK(H441), "", I441-TODAY())</f>
        <v/>
      </c>
      <c r="K441" s="19" t="str">
        <f aca="false" t="array" ref="K441:K441">IF(A441&lt;&gt;"",IF(COUNTIF(A442:A$996,"&lt;&gt;")=0,COUNTA(B441:B$996),IFERROR(MATCH(TRUE(),INDEX((A442:A$996&lt;&gt;""),0),0),COUNTA(B441:B$996))),"")</f>
        <v/>
      </c>
      <c r="L441" s="20"/>
    </row>
    <row r="442" customFormat="false" ht="13.8" hidden="false" customHeight="false" outlineLevel="0" collapsed="false">
      <c r="A442" s="16"/>
      <c r="B442" s="16"/>
      <c r="C442" s="17"/>
      <c r="D442" s="17"/>
      <c r="E442" s="17"/>
      <c r="F442" s="18"/>
      <c r="G442" s="19" t="str">
        <f aca="true">IF(F442="", "", DATEDIF(F442, TODAY(), "Y"))</f>
        <v/>
      </c>
      <c r="H442" s="18"/>
      <c r="I442" s="18"/>
      <c r="J442" s="19" t="str">
        <f aca="true">IF(ISBLANK(H442), "", I442-TODAY())</f>
        <v/>
      </c>
      <c r="K442" s="19" t="str">
        <f aca="false" t="array" ref="K442:K442">IF(A442&lt;&gt;"",IF(COUNTIF(A443:A$996,"&lt;&gt;")=0,COUNTA(B442:B$996),IFERROR(MATCH(TRUE(),INDEX((A443:A$996&lt;&gt;""),0),0),COUNTA(B442:B$996))),"")</f>
        <v/>
      </c>
      <c r="L442" s="20"/>
    </row>
    <row r="443" customFormat="false" ht="13.8" hidden="false" customHeight="false" outlineLevel="0" collapsed="false">
      <c r="A443" s="16"/>
      <c r="B443" s="16"/>
      <c r="C443" s="17"/>
      <c r="D443" s="17"/>
      <c r="E443" s="17"/>
      <c r="F443" s="18"/>
      <c r="G443" s="19" t="str">
        <f aca="true">IF(F443="", "", DATEDIF(F443, TODAY(), "Y"))</f>
        <v/>
      </c>
      <c r="H443" s="18"/>
      <c r="I443" s="18"/>
      <c r="J443" s="19" t="str">
        <f aca="true">IF(ISBLANK(H443), "", I443-TODAY())</f>
        <v/>
      </c>
      <c r="K443" s="19" t="str">
        <f aca="false" t="array" ref="K443:K443">IF(A443&lt;&gt;"",IF(COUNTIF(A444:A$996,"&lt;&gt;")=0,COUNTA(B443:B$996),IFERROR(MATCH(TRUE(),INDEX((A444:A$996&lt;&gt;""),0),0),COUNTA(B443:B$996))),"")</f>
        <v/>
      </c>
      <c r="L443" s="20"/>
    </row>
    <row r="444" customFormat="false" ht="13.8" hidden="false" customHeight="false" outlineLevel="0" collapsed="false">
      <c r="A444" s="16"/>
      <c r="B444" s="16"/>
      <c r="C444" s="17"/>
      <c r="D444" s="17"/>
      <c r="E444" s="17"/>
      <c r="F444" s="18"/>
      <c r="G444" s="19" t="str">
        <f aca="true">IF(F444="", "", DATEDIF(F444, TODAY(), "Y"))</f>
        <v/>
      </c>
      <c r="H444" s="18"/>
      <c r="I444" s="18"/>
      <c r="J444" s="19" t="str">
        <f aca="true">IF(ISBLANK(H444), "", I444-TODAY())</f>
        <v/>
      </c>
      <c r="K444" s="19" t="str">
        <f aca="false" t="array" ref="K444:K444">IF(A444&lt;&gt;"",IF(COUNTIF(A445:A$996,"&lt;&gt;")=0,COUNTA(B444:B$996),IFERROR(MATCH(TRUE(),INDEX((A445:A$996&lt;&gt;""),0),0),COUNTA(B444:B$996))),"")</f>
        <v/>
      </c>
      <c r="L444" s="20"/>
    </row>
    <row r="445" customFormat="false" ht="13.8" hidden="false" customHeight="false" outlineLevel="0" collapsed="false">
      <c r="A445" s="16"/>
      <c r="B445" s="16"/>
      <c r="C445" s="17"/>
      <c r="D445" s="17"/>
      <c r="E445" s="17"/>
      <c r="F445" s="18"/>
      <c r="G445" s="19" t="str">
        <f aca="true">IF(F445="", "", DATEDIF(F445, TODAY(), "Y"))</f>
        <v/>
      </c>
      <c r="H445" s="18"/>
      <c r="I445" s="18"/>
      <c r="J445" s="19" t="str">
        <f aca="true">IF(ISBLANK(H445), "", I445-TODAY())</f>
        <v/>
      </c>
      <c r="K445" s="19" t="str">
        <f aca="false" t="array" ref="K445:K445">IF(A445&lt;&gt;"",IF(COUNTIF(A446:A$996,"&lt;&gt;")=0,COUNTA(B445:B$996),IFERROR(MATCH(TRUE(),INDEX((A446:A$996&lt;&gt;""),0),0),COUNTA(B445:B$996))),"")</f>
        <v/>
      </c>
      <c r="L445" s="20"/>
    </row>
    <row r="446" customFormat="false" ht="13.8" hidden="false" customHeight="false" outlineLevel="0" collapsed="false">
      <c r="A446" s="16"/>
      <c r="B446" s="16"/>
      <c r="C446" s="17"/>
      <c r="D446" s="17"/>
      <c r="E446" s="17"/>
      <c r="F446" s="18"/>
      <c r="G446" s="19" t="str">
        <f aca="true">IF(F446="", "", DATEDIF(F446, TODAY(), "Y"))</f>
        <v/>
      </c>
      <c r="H446" s="18"/>
      <c r="I446" s="18"/>
      <c r="J446" s="19" t="str">
        <f aca="true">IF(ISBLANK(H446), "", I446-TODAY())</f>
        <v/>
      </c>
      <c r="K446" s="19" t="str">
        <f aca="false" t="array" ref="K446:K446">IF(A446&lt;&gt;"",IF(COUNTIF(A447:A$996,"&lt;&gt;")=0,COUNTA(B446:B$996),IFERROR(MATCH(TRUE(),INDEX((A447:A$996&lt;&gt;""),0),0),COUNTA(B446:B$996))),"")</f>
        <v/>
      </c>
      <c r="L446" s="20"/>
    </row>
    <row r="447" customFormat="false" ht="13.8" hidden="false" customHeight="false" outlineLevel="0" collapsed="false">
      <c r="A447" s="16"/>
      <c r="B447" s="16"/>
      <c r="C447" s="17"/>
      <c r="D447" s="17"/>
      <c r="E447" s="17"/>
      <c r="F447" s="18"/>
      <c r="G447" s="19" t="str">
        <f aca="true">IF(F447="", "", DATEDIF(F447, TODAY(), "Y"))</f>
        <v/>
      </c>
      <c r="H447" s="18"/>
      <c r="I447" s="18"/>
      <c r="J447" s="19" t="str">
        <f aca="true">IF(ISBLANK(H447), "", I447-TODAY())</f>
        <v/>
      </c>
      <c r="K447" s="19" t="str">
        <f aca="false" t="array" ref="K447:K447">IF(A447&lt;&gt;"",IF(COUNTIF(A448:A$996,"&lt;&gt;")=0,COUNTA(B447:B$996),IFERROR(MATCH(TRUE(),INDEX((A448:A$996&lt;&gt;""),0),0),COUNTA(B447:B$996))),"")</f>
        <v/>
      </c>
      <c r="L447" s="20"/>
    </row>
    <row r="448" customFormat="false" ht="13.8" hidden="false" customHeight="false" outlineLevel="0" collapsed="false">
      <c r="A448" s="16"/>
      <c r="B448" s="16"/>
      <c r="C448" s="17"/>
      <c r="D448" s="17"/>
      <c r="E448" s="17"/>
      <c r="F448" s="18"/>
      <c r="G448" s="19" t="str">
        <f aca="true">IF(F448="", "", DATEDIF(F448, TODAY(), "Y"))</f>
        <v/>
      </c>
      <c r="H448" s="18"/>
      <c r="I448" s="18"/>
      <c r="J448" s="19" t="str">
        <f aca="true">IF(ISBLANK(H448), "", I448-TODAY())</f>
        <v/>
      </c>
      <c r="K448" s="19" t="str">
        <f aca="false" t="array" ref="K448:K448">IF(A448&lt;&gt;"",IF(COUNTIF(A449:A$996,"&lt;&gt;")=0,COUNTA(B448:B$996),IFERROR(MATCH(TRUE(),INDEX((A449:A$996&lt;&gt;""),0),0),COUNTA(B448:B$996))),"")</f>
        <v/>
      </c>
      <c r="L448" s="20"/>
    </row>
    <row r="449" customFormat="false" ht="13.8" hidden="false" customHeight="false" outlineLevel="0" collapsed="false">
      <c r="A449" s="16"/>
      <c r="B449" s="16"/>
      <c r="C449" s="17"/>
      <c r="D449" s="17"/>
      <c r="E449" s="17"/>
      <c r="F449" s="18"/>
      <c r="G449" s="19" t="str">
        <f aca="true">IF(F449="", "", DATEDIF(F449, TODAY(), "Y"))</f>
        <v/>
      </c>
      <c r="H449" s="18"/>
      <c r="I449" s="18"/>
      <c r="J449" s="19" t="str">
        <f aca="true">IF(ISBLANK(H449), "", I449-TODAY())</f>
        <v/>
      </c>
      <c r="K449" s="19" t="str">
        <f aca="false" t="array" ref="K449:K449">IF(A449&lt;&gt;"",IF(COUNTIF(A450:A$996,"&lt;&gt;")=0,COUNTA(B449:B$996),IFERROR(MATCH(TRUE(),INDEX((A450:A$996&lt;&gt;""),0),0),COUNTA(B449:B$996))),"")</f>
        <v/>
      </c>
      <c r="L449" s="20"/>
    </row>
    <row r="450" customFormat="false" ht="13.8" hidden="false" customHeight="false" outlineLevel="0" collapsed="false">
      <c r="A450" s="16"/>
      <c r="B450" s="16"/>
      <c r="C450" s="17"/>
      <c r="D450" s="17"/>
      <c r="E450" s="17"/>
      <c r="F450" s="18"/>
      <c r="G450" s="19" t="str">
        <f aca="true">IF(F450="", "", DATEDIF(F450, TODAY(), "Y"))</f>
        <v/>
      </c>
      <c r="H450" s="18"/>
      <c r="I450" s="18"/>
      <c r="J450" s="19" t="str">
        <f aca="true">IF(ISBLANK(H450), "", I450-TODAY())</f>
        <v/>
      </c>
      <c r="K450" s="19" t="str">
        <f aca="false" t="array" ref="K450:K450">IF(A450&lt;&gt;"",IF(COUNTIF(A451:A$996,"&lt;&gt;")=0,COUNTA(B450:B$996),IFERROR(MATCH(TRUE(),INDEX((A451:A$996&lt;&gt;""),0),0),COUNTA(B450:B$996))),"")</f>
        <v/>
      </c>
      <c r="L450" s="20"/>
    </row>
    <row r="451" customFormat="false" ht="13.8" hidden="false" customHeight="false" outlineLevel="0" collapsed="false">
      <c r="A451" s="16"/>
      <c r="B451" s="16"/>
      <c r="C451" s="17"/>
      <c r="D451" s="17"/>
      <c r="E451" s="17"/>
      <c r="F451" s="18"/>
      <c r="G451" s="19" t="str">
        <f aca="true">IF(F451="", "", DATEDIF(F451, TODAY(), "Y"))</f>
        <v/>
      </c>
      <c r="H451" s="18"/>
      <c r="I451" s="18"/>
      <c r="J451" s="19" t="str">
        <f aca="true">IF(ISBLANK(H451), "", I451-TODAY())</f>
        <v/>
      </c>
      <c r="K451" s="19" t="str">
        <f aca="false" t="array" ref="K451:K451">IF(A451&lt;&gt;"",IF(COUNTIF(A452:A$996,"&lt;&gt;")=0,COUNTA(B451:B$996),IFERROR(MATCH(TRUE(),INDEX((A452:A$996&lt;&gt;""),0),0),COUNTA(B451:B$996))),"")</f>
        <v/>
      </c>
      <c r="L451" s="20"/>
    </row>
    <row r="452" customFormat="false" ht="13.8" hidden="false" customHeight="false" outlineLevel="0" collapsed="false">
      <c r="A452" s="16"/>
      <c r="B452" s="16"/>
      <c r="C452" s="17"/>
      <c r="D452" s="17"/>
      <c r="E452" s="17"/>
      <c r="F452" s="18"/>
      <c r="G452" s="19" t="str">
        <f aca="true">IF(F452="", "", DATEDIF(F452, TODAY(), "Y"))</f>
        <v/>
      </c>
      <c r="H452" s="18"/>
      <c r="I452" s="18"/>
      <c r="J452" s="19" t="str">
        <f aca="true">IF(ISBLANK(H452), "", I452-TODAY())</f>
        <v/>
      </c>
      <c r="K452" s="19" t="str">
        <f aca="false" t="array" ref="K452:K452">IF(A452&lt;&gt;"",IF(COUNTIF(A453:A$996,"&lt;&gt;")=0,COUNTA(B452:B$996),IFERROR(MATCH(TRUE(),INDEX((A453:A$996&lt;&gt;""),0),0),COUNTA(B452:B$996))),"")</f>
        <v/>
      </c>
      <c r="L452" s="20"/>
    </row>
    <row r="453" customFormat="false" ht="13.8" hidden="false" customHeight="false" outlineLevel="0" collapsed="false">
      <c r="A453" s="16"/>
      <c r="B453" s="16"/>
      <c r="C453" s="17"/>
      <c r="D453" s="17"/>
      <c r="E453" s="17"/>
      <c r="F453" s="18"/>
      <c r="G453" s="19" t="str">
        <f aca="true">IF(F453="", "", DATEDIF(F453, TODAY(), "Y"))</f>
        <v/>
      </c>
      <c r="H453" s="18"/>
      <c r="I453" s="18"/>
      <c r="J453" s="19" t="str">
        <f aca="true">IF(ISBLANK(H453), "", I453-TODAY())</f>
        <v/>
      </c>
      <c r="K453" s="19" t="str">
        <f aca="false" t="array" ref="K453:K453">IF(A453&lt;&gt;"",IF(COUNTIF(A454:A$996,"&lt;&gt;")=0,COUNTA(B453:B$996),IFERROR(MATCH(TRUE(),INDEX((A454:A$996&lt;&gt;""),0),0),COUNTA(B453:B$996))),"")</f>
        <v/>
      </c>
      <c r="L453" s="20"/>
    </row>
    <row r="454" customFormat="false" ht="13.8" hidden="false" customHeight="false" outlineLevel="0" collapsed="false">
      <c r="A454" s="16"/>
      <c r="B454" s="16"/>
      <c r="C454" s="17"/>
      <c r="D454" s="17"/>
      <c r="E454" s="17"/>
      <c r="F454" s="18"/>
      <c r="G454" s="19" t="str">
        <f aca="true">IF(F454="", "", DATEDIF(F454, TODAY(), "Y"))</f>
        <v/>
      </c>
      <c r="H454" s="18"/>
      <c r="I454" s="18"/>
      <c r="J454" s="19" t="str">
        <f aca="true">IF(ISBLANK(H454), "", I454-TODAY())</f>
        <v/>
      </c>
      <c r="K454" s="19" t="str">
        <f aca="false" t="array" ref="K454:K454">IF(A454&lt;&gt;"",IF(COUNTIF(A455:A$996,"&lt;&gt;")=0,COUNTA(B454:B$996),IFERROR(MATCH(TRUE(),INDEX((A455:A$996&lt;&gt;""),0),0),COUNTA(B454:B$996))),"")</f>
        <v/>
      </c>
      <c r="L454" s="20"/>
    </row>
    <row r="455" customFormat="false" ht="13.8" hidden="false" customHeight="false" outlineLevel="0" collapsed="false">
      <c r="A455" s="16"/>
      <c r="B455" s="16"/>
      <c r="C455" s="17"/>
      <c r="D455" s="17"/>
      <c r="E455" s="17"/>
      <c r="F455" s="18"/>
      <c r="G455" s="19" t="str">
        <f aca="true">IF(F455="", "", DATEDIF(F455, TODAY(), "Y"))</f>
        <v/>
      </c>
      <c r="H455" s="18"/>
      <c r="I455" s="18"/>
      <c r="J455" s="19" t="str">
        <f aca="true">IF(ISBLANK(H455), "", I455-TODAY())</f>
        <v/>
      </c>
      <c r="K455" s="19" t="str">
        <f aca="false" t="array" ref="K455:K455">IF(A455&lt;&gt;"",IF(COUNTIF(A456:A$996,"&lt;&gt;")=0,COUNTA(B455:B$996),IFERROR(MATCH(TRUE(),INDEX((A456:A$996&lt;&gt;""),0),0),COUNTA(B455:B$996))),"")</f>
        <v/>
      </c>
      <c r="L455" s="20"/>
    </row>
    <row r="456" customFormat="false" ht="13.8" hidden="false" customHeight="false" outlineLevel="0" collapsed="false">
      <c r="A456" s="16"/>
      <c r="B456" s="16"/>
      <c r="C456" s="17"/>
      <c r="D456" s="17"/>
      <c r="E456" s="17"/>
      <c r="F456" s="18"/>
      <c r="G456" s="19" t="str">
        <f aca="true">IF(F456="", "", DATEDIF(F456, TODAY(), "Y"))</f>
        <v/>
      </c>
      <c r="H456" s="18"/>
      <c r="I456" s="18"/>
      <c r="J456" s="19" t="str">
        <f aca="true">IF(ISBLANK(H456), "", I456-TODAY())</f>
        <v/>
      </c>
      <c r="K456" s="19" t="str">
        <f aca="false" t="array" ref="K456:K456">IF(A456&lt;&gt;"",IF(COUNTIF(A457:A$996,"&lt;&gt;")=0,COUNTA(B456:B$996),IFERROR(MATCH(TRUE(),INDEX((A457:A$996&lt;&gt;""),0),0),COUNTA(B456:B$996))),"")</f>
        <v/>
      </c>
      <c r="L456" s="20"/>
    </row>
    <row r="457" customFormat="false" ht="13.8" hidden="false" customHeight="false" outlineLevel="0" collapsed="false">
      <c r="A457" s="16"/>
      <c r="B457" s="16"/>
      <c r="C457" s="17"/>
      <c r="D457" s="17"/>
      <c r="E457" s="17"/>
      <c r="F457" s="18"/>
      <c r="G457" s="19" t="str">
        <f aca="true">IF(F457="", "", DATEDIF(F457, TODAY(), "Y"))</f>
        <v/>
      </c>
      <c r="H457" s="18"/>
      <c r="I457" s="18"/>
      <c r="J457" s="19" t="str">
        <f aca="true">IF(ISBLANK(H457), "", I457-TODAY())</f>
        <v/>
      </c>
      <c r="K457" s="19" t="str">
        <f aca="false" t="array" ref="K457:K457">IF(A457&lt;&gt;"",IF(COUNTIF(A458:A$996,"&lt;&gt;")=0,COUNTA(B457:B$996),IFERROR(MATCH(TRUE(),INDEX((A458:A$996&lt;&gt;""),0),0),COUNTA(B457:B$996))),"")</f>
        <v/>
      </c>
      <c r="L457" s="20"/>
    </row>
    <row r="458" customFormat="false" ht="13.8" hidden="false" customHeight="false" outlineLevel="0" collapsed="false">
      <c r="A458" s="16"/>
      <c r="B458" s="16"/>
      <c r="C458" s="17"/>
      <c r="D458" s="17"/>
      <c r="E458" s="17"/>
      <c r="F458" s="18"/>
      <c r="G458" s="19" t="str">
        <f aca="true">IF(F458="", "", DATEDIF(F458, TODAY(), "Y"))</f>
        <v/>
      </c>
      <c r="H458" s="18"/>
      <c r="I458" s="18"/>
      <c r="J458" s="19" t="str">
        <f aca="true">IF(ISBLANK(H458), "", I458-TODAY())</f>
        <v/>
      </c>
      <c r="K458" s="19" t="str">
        <f aca="false" t="array" ref="K458:K458">IF(A458&lt;&gt;"",IF(COUNTIF(A459:A$996,"&lt;&gt;")=0,COUNTA(B458:B$996),IFERROR(MATCH(TRUE(),INDEX((A459:A$996&lt;&gt;""),0),0),COUNTA(B458:B$996))),"")</f>
        <v/>
      </c>
      <c r="L458" s="20"/>
    </row>
    <row r="459" customFormat="false" ht="13.8" hidden="false" customHeight="false" outlineLevel="0" collapsed="false">
      <c r="A459" s="16"/>
      <c r="B459" s="16"/>
      <c r="C459" s="17"/>
      <c r="D459" s="17"/>
      <c r="E459" s="17"/>
      <c r="F459" s="18"/>
      <c r="G459" s="19" t="str">
        <f aca="true">IF(F459="", "", DATEDIF(F459, TODAY(), "Y"))</f>
        <v/>
      </c>
      <c r="H459" s="18"/>
      <c r="I459" s="18"/>
      <c r="J459" s="19" t="str">
        <f aca="true">IF(ISBLANK(H459), "", I459-TODAY())</f>
        <v/>
      </c>
      <c r="K459" s="19" t="str">
        <f aca="false" t="array" ref="K459:K459">IF(A459&lt;&gt;"",IF(COUNTIF(A460:A$996,"&lt;&gt;")=0,COUNTA(B459:B$996),IFERROR(MATCH(TRUE(),INDEX((A460:A$996&lt;&gt;""),0),0),COUNTA(B459:B$996))),"")</f>
        <v/>
      </c>
      <c r="L459" s="20"/>
    </row>
    <row r="460" customFormat="false" ht="13.8" hidden="false" customHeight="false" outlineLevel="0" collapsed="false">
      <c r="A460" s="16"/>
      <c r="B460" s="16"/>
      <c r="C460" s="17"/>
      <c r="D460" s="17"/>
      <c r="E460" s="17"/>
      <c r="F460" s="18"/>
      <c r="G460" s="19" t="str">
        <f aca="true">IF(F460="", "", DATEDIF(F460, TODAY(), "Y"))</f>
        <v/>
      </c>
      <c r="H460" s="18"/>
      <c r="I460" s="18"/>
      <c r="J460" s="19" t="str">
        <f aca="true">IF(ISBLANK(H460), "", I460-TODAY())</f>
        <v/>
      </c>
      <c r="K460" s="19" t="str">
        <f aca="false" t="array" ref="K460:K460">IF(A460&lt;&gt;"",IF(COUNTIF(A461:A$996,"&lt;&gt;")=0,COUNTA(B460:B$996),IFERROR(MATCH(TRUE(),INDEX((A461:A$996&lt;&gt;""),0),0),COUNTA(B460:B$996))),"")</f>
        <v/>
      </c>
      <c r="L460" s="20"/>
    </row>
    <row r="461" customFormat="false" ht="13.8" hidden="false" customHeight="false" outlineLevel="0" collapsed="false">
      <c r="A461" s="16"/>
      <c r="B461" s="16"/>
      <c r="C461" s="17"/>
      <c r="D461" s="17"/>
      <c r="E461" s="17"/>
      <c r="F461" s="18"/>
      <c r="G461" s="19" t="str">
        <f aca="true">IF(F461="", "", DATEDIF(F461, TODAY(), "Y"))</f>
        <v/>
      </c>
      <c r="H461" s="18"/>
      <c r="I461" s="18"/>
      <c r="J461" s="19" t="str">
        <f aca="true">IF(ISBLANK(H461), "", I461-TODAY())</f>
        <v/>
      </c>
      <c r="K461" s="19" t="str">
        <f aca="false" t="array" ref="K461:K461">IF(A461&lt;&gt;"",IF(COUNTIF(A462:A$996,"&lt;&gt;")=0,COUNTA(B461:B$996),IFERROR(MATCH(TRUE(),INDEX((A462:A$996&lt;&gt;""),0),0),COUNTA(B461:B$996))),"")</f>
        <v/>
      </c>
      <c r="L461" s="20"/>
    </row>
    <row r="462" customFormat="false" ht="13.8" hidden="false" customHeight="false" outlineLevel="0" collapsed="false">
      <c r="A462" s="16"/>
      <c r="B462" s="16"/>
      <c r="C462" s="17"/>
      <c r="D462" s="17"/>
      <c r="E462" s="17"/>
      <c r="F462" s="18"/>
      <c r="G462" s="19" t="str">
        <f aca="true">IF(F462="", "", DATEDIF(F462, TODAY(), "Y"))</f>
        <v/>
      </c>
      <c r="H462" s="18"/>
      <c r="I462" s="18"/>
      <c r="J462" s="19" t="str">
        <f aca="true">IF(ISBLANK(H462), "", I462-TODAY())</f>
        <v/>
      </c>
      <c r="K462" s="19" t="str">
        <f aca="false" t="array" ref="K462:K462">IF(A462&lt;&gt;"",IF(COUNTIF(A463:A$996,"&lt;&gt;")=0,COUNTA(B462:B$996),IFERROR(MATCH(TRUE(),INDEX((A463:A$996&lt;&gt;""),0),0),COUNTA(B462:B$996))),"")</f>
        <v/>
      </c>
      <c r="L462" s="20"/>
    </row>
    <row r="463" customFormat="false" ht="13.8" hidden="false" customHeight="false" outlineLevel="0" collapsed="false">
      <c r="A463" s="16"/>
      <c r="B463" s="16"/>
      <c r="C463" s="17"/>
      <c r="D463" s="17"/>
      <c r="E463" s="17"/>
      <c r="F463" s="18"/>
      <c r="G463" s="19" t="str">
        <f aca="true">IF(F463="", "", DATEDIF(F463, TODAY(), "Y"))</f>
        <v/>
      </c>
      <c r="H463" s="18"/>
      <c r="I463" s="18"/>
      <c r="J463" s="19" t="str">
        <f aca="true">IF(ISBLANK(H463), "", I463-TODAY())</f>
        <v/>
      </c>
      <c r="K463" s="19" t="str">
        <f aca="false" t="array" ref="K463:K463">IF(A463&lt;&gt;"",IF(COUNTIF(A464:A$996,"&lt;&gt;")=0,COUNTA(B463:B$996),IFERROR(MATCH(TRUE(),INDEX((A464:A$996&lt;&gt;""),0),0),COUNTA(B463:B$996))),"")</f>
        <v/>
      </c>
      <c r="L463" s="20"/>
    </row>
    <row r="464" customFormat="false" ht="13.8" hidden="false" customHeight="false" outlineLevel="0" collapsed="false">
      <c r="A464" s="16"/>
      <c r="B464" s="16"/>
      <c r="C464" s="17"/>
      <c r="D464" s="17"/>
      <c r="E464" s="17"/>
      <c r="F464" s="18"/>
      <c r="G464" s="19" t="str">
        <f aca="true">IF(F464="", "", DATEDIF(F464, TODAY(), "Y"))</f>
        <v/>
      </c>
      <c r="H464" s="18"/>
      <c r="I464" s="18"/>
      <c r="J464" s="19" t="str">
        <f aca="true">IF(ISBLANK(H464), "", I464-TODAY())</f>
        <v/>
      </c>
      <c r="K464" s="19" t="str">
        <f aca="false" t="array" ref="K464:K464">IF(A464&lt;&gt;"",IF(COUNTIF(A465:A$996,"&lt;&gt;")=0,COUNTA(B464:B$996),IFERROR(MATCH(TRUE(),INDEX((A465:A$996&lt;&gt;""),0),0),COUNTA(B464:B$996))),"")</f>
        <v/>
      </c>
      <c r="L464" s="20"/>
    </row>
    <row r="465" customFormat="false" ht="13.8" hidden="false" customHeight="false" outlineLevel="0" collapsed="false">
      <c r="A465" s="16"/>
      <c r="B465" s="16"/>
      <c r="C465" s="17"/>
      <c r="D465" s="17"/>
      <c r="E465" s="17"/>
      <c r="F465" s="18"/>
      <c r="G465" s="19" t="str">
        <f aca="true">IF(F465="", "", DATEDIF(F465, TODAY(), "Y"))</f>
        <v/>
      </c>
      <c r="H465" s="18"/>
      <c r="I465" s="18"/>
      <c r="J465" s="19" t="str">
        <f aca="true">IF(ISBLANK(H465), "", I465-TODAY())</f>
        <v/>
      </c>
      <c r="K465" s="19" t="str">
        <f aca="false" t="array" ref="K465:K465">IF(A465&lt;&gt;"",IF(COUNTIF(A466:A$996,"&lt;&gt;")=0,COUNTA(B465:B$996),IFERROR(MATCH(TRUE(),INDEX((A466:A$996&lt;&gt;""),0),0),COUNTA(B465:B$996))),"")</f>
        <v/>
      </c>
      <c r="L465" s="20"/>
    </row>
    <row r="466" customFormat="false" ht="13.8" hidden="false" customHeight="false" outlineLevel="0" collapsed="false">
      <c r="A466" s="16"/>
      <c r="B466" s="16"/>
      <c r="C466" s="17"/>
      <c r="D466" s="17"/>
      <c r="E466" s="17"/>
      <c r="F466" s="18"/>
      <c r="G466" s="19" t="str">
        <f aca="true">IF(F466="", "", DATEDIF(F466, TODAY(), "Y"))</f>
        <v/>
      </c>
      <c r="H466" s="18"/>
      <c r="I466" s="18"/>
      <c r="J466" s="19" t="str">
        <f aca="true">IF(ISBLANK(H466), "", I466-TODAY())</f>
        <v/>
      </c>
      <c r="K466" s="19" t="str">
        <f aca="false" t="array" ref="K466:K466">IF(A466&lt;&gt;"",IF(COUNTIF(A467:A$996,"&lt;&gt;")=0,COUNTA(B466:B$996),IFERROR(MATCH(TRUE(),INDEX((A467:A$996&lt;&gt;""),0),0),COUNTA(B466:B$996))),"")</f>
        <v/>
      </c>
      <c r="L466" s="20"/>
    </row>
    <row r="467" customFormat="false" ht="13.8" hidden="false" customHeight="false" outlineLevel="0" collapsed="false">
      <c r="A467" s="16"/>
      <c r="B467" s="16"/>
      <c r="C467" s="17"/>
      <c r="D467" s="17"/>
      <c r="E467" s="17"/>
      <c r="F467" s="18"/>
      <c r="G467" s="19" t="str">
        <f aca="true">IF(F467="", "", DATEDIF(F467, TODAY(), "Y"))</f>
        <v/>
      </c>
      <c r="H467" s="18"/>
      <c r="I467" s="18"/>
      <c r="J467" s="19" t="str">
        <f aca="true">IF(ISBLANK(H467), "", I467-TODAY())</f>
        <v/>
      </c>
      <c r="K467" s="19" t="str">
        <f aca="false" t="array" ref="K467:K467">IF(A467&lt;&gt;"",IF(COUNTIF(A468:A$996,"&lt;&gt;")=0,COUNTA(B467:B$996),IFERROR(MATCH(TRUE(),INDEX((A468:A$996&lt;&gt;""),0),0),COUNTA(B467:B$996))),"")</f>
        <v/>
      </c>
      <c r="L467" s="20"/>
    </row>
    <row r="468" customFormat="false" ht="13.8" hidden="false" customHeight="false" outlineLevel="0" collapsed="false">
      <c r="A468" s="16"/>
      <c r="B468" s="16"/>
      <c r="C468" s="17"/>
      <c r="D468" s="17"/>
      <c r="E468" s="17"/>
      <c r="F468" s="18"/>
      <c r="G468" s="19" t="str">
        <f aca="true">IF(F468="", "", DATEDIF(F468, TODAY(), "Y"))</f>
        <v/>
      </c>
      <c r="H468" s="18"/>
      <c r="I468" s="18"/>
      <c r="J468" s="19" t="str">
        <f aca="true">IF(ISBLANK(H468), "", I468-TODAY())</f>
        <v/>
      </c>
      <c r="K468" s="19" t="str">
        <f aca="false" t="array" ref="K468:K468">IF(A468&lt;&gt;"",IF(COUNTIF(A469:A$996,"&lt;&gt;")=0,COUNTA(B468:B$996),IFERROR(MATCH(TRUE(),INDEX((A469:A$996&lt;&gt;""),0),0),COUNTA(B468:B$996))),"")</f>
        <v/>
      </c>
      <c r="L468" s="20"/>
    </row>
    <row r="469" customFormat="false" ht="13.8" hidden="false" customHeight="false" outlineLevel="0" collapsed="false">
      <c r="A469" s="16"/>
      <c r="B469" s="16"/>
      <c r="C469" s="17"/>
      <c r="D469" s="17"/>
      <c r="E469" s="17"/>
      <c r="F469" s="18"/>
      <c r="G469" s="19" t="str">
        <f aca="true">IF(F469="", "", DATEDIF(F469, TODAY(), "Y"))</f>
        <v/>
      </c>
      <c r="H469" s="18"/>
      <c r="I469" s="18"/>
      <c r="J469" s="19" t="str">
        <f aca="true">IF(ISBLANK(H469), "", I469-TODAY())</f>
        <v/>
      </c>
      <c r="K469" s="19" t="str">
        <f aca="false" t="array" ref="K469:K469">IF(A469&lt;&gt;"",IF(COUNTIF(A470:A$996,"&lt;&gt;")=0,COUNTA(B469:B$996),IFERROR(MATCH(TRUE(),INDEX((A470:A$996&lt;&gt;""),0),0),COUNTA(B469:B$996))),"")</f>
        <v/>
      </c>
      <c r="L469" s="20"/>
    </row>
    <row r="470" customFormat="false" ht="13.8" hidden="false" customHeight="false" outlineLevel="0" collapsed="false">
      <c r="A470" s="16"/>
      <c r="B470" s="16"/>
      <c r="C470" s="17"/>
      <c r="D470" s="17"/>
      <c r="E470" s="17"/>
      <c r="F470" s="18"/>
      <c r="G470" s="19" t="str">
        <f aca="true">IF(F470="", "", DATEDIF(F470, TODAY(), "Y"))</f>
        <v/>
      </c>
      <c r="H470" s="18"/>
      <c r="I470" s="18"/>
      <c r="J470" s="19" t="str">
        <f aca="true">IF(ISBLANK(H470), "", I470-TODAY())</f>
        <v/>
      </c>
      <c r="K470" s="19" t="str">
        <f aca="false" t="array" ref="K470:K470">IF(A470&lt;&gt;"",IF(COUNTIF(A471:A$996,"&lt;&gt;")=0,COUNTA(B470:B$996),IFERROR(MATCH(TRUE(),INDEX((A471:A$996&lt;&gt;""),0),0),COUNTA(B470:B$996))),"")</f>
        <v/>
      </c>
      <c r="L470" s="20"/>
    </row>
    <row r="471" customFormat="false" ht="13.8" hidden="false" customHeight="false" outlineLevel="0" collapsed="false">
      <c r="A471" s="16"/>
      <c r="B471" s="16"/>
      <c r="C471" s="17"/>
      <c r="D471" s="17"/>
      <c r="E471" s="17"/>
      <c r="F471" s="18"/>
      <c r="G471" s="19" t="str">
        <f aca="true">IF(F471="", "", DATEDIF(F471, TODAY(), "Y"))</f>
        <v/>
      </c>
      <c r="H471" s="18"/>
      <c r="I471" s="18"/>
      <c r="J471" s="19" t="str">
        <f aca="true">IF(ISBLANK(H471), "", I471-TODAY())</f>
        <v/>
      </c>
      <c r="K471" s="19" t="str">
        <f aca="false" t="array" ref="K471:K471">IF(A471&lt;&gt;"",IF(COUNTIF(A472:A$996,"&lt;&gt;")=0,COUNTA(B471:B$996),IFERROR(MATCH(TRUE(),INDEX((A472:A$996&lt;&gt;""),0),0),COUNTA(B471:B$996))),"")</f>
        <v/>
      </c>
      <c r="L471" s="20"/>
    </row>
    <row r="472" customFormat="false" ht="13.8" hidden="false" customHeight="false" outlineLevel="0" collapsed="false">
      <c r="A472" s="16"/>
      <c r="B472" s="16"/>
      <c r="C472" s="17"/>
      <c r="D472" s="17"/>
      <c r="E472" s="17"/>
      <c r="F472" s="18"/>
      <c r="G472" s="19" t="str">
        <f aca="true">IF(F472="", "", DATEDIF(F472, TODAY(), "Y"))</f>
        <v/>
      </c>
      <c r="H472" s="18"/>
      <c r="I472" s="18"/>
      <c r="J472" s="19" t="str">
        <f aca="true">IF(ISBLANK(H472), "", I472-TODAY())</f>
        <v/>
      </c>
      <c r="K472" s="19" t="str">
        <f aca="false" t="array" ref="K472:K472">IF(A472&lt;&gt;"",IF(COUNTIF(A473:A$996,"&lt;&gt;")=0,COUNTA(B472:B$996),IFERROR(MATCH(TRUE(),INDEX((A473:A$996&lt;&gt;""),0),0),COUNTA(B472:B$996))),"")</f>
        <v/>
      </c>
      <c r="L472" s="20"/>
    </row>
    <row r="473" customFormat="false" ht="13.8" hidden="false" customHeight="false" outlineLevel="0" collapsed="false">
      <c r="A473" s="16"/>
      <c r="B473" s="16"/>
      <c r="C473" s="17"/>
      <c r="D473" s="17"/>
      <c r="E473" s="17"/>
      <c r="F473" s="18"/>
      <c r="G473" s="19" t="str">
        <f aca="true">IF(F473="", "", DATEDIF(F473, TODAY(), "Y"))</f>
        <v/>
      </c>
      <c r="H473" s="18"/>
      <c r="I473" s="18"/>
      <c r="J473" s="19" t="str">
        <f aca="true">IF(ISBLANK(H473), "", I473-TODAY())</f>
        <v/>
      </c>
      <c r="K473" s="19" t="str">
        <f aca="false" t="array" ref="K473:K473">IF(A473&lt;&gt;"",IF(COUNTIF(A474:A$996,"&lt;&gt;")=0,COUNTA(B473:B$996),IFERROR(MATCH(TRUE(),INDEX((A474:A$996&lt;&gt;""),0),0),COUNTA(B473:B$996))),"")</f>
        <v/>
      </c>
      <c r="L473" s="20"/>
    </row>
    <row r="474" customFormat="false" ht="13.8" hidden="false" customHeight="false" outlineLevel="0" collapsed="false">
      <c r="A474" s="16"/>
      <c r="B474" s="16"/>
      <c r="C474" s="17"/>
      <c r="D474" s="17"/>
      <c r="E474" s="17"/>
      <c r="F474" s="18"/>
      <c r="G474" s="19" t="str">
        <f aca="true">IF(F474="", "", DATEDIF(F474, TODAY(), "Y"))</f>
        <v/>
      </c>
      <c r="H474" s="18"/>
      <c r="I474" s="18"/>
      <c r="J474" s="19" t="str">
        <f aca="true">IF(ISBLANK(H474), "", I474-TODAY())</f>
        <v/>
      </c>
      <c r="K474" s="19" t="str">
        <f aca="false" t="array" ref="K474:K474">IF(A474&lt;&gt;"",IF(COUNTIF(A475:A$996,"&lt;&gt;")=0,COUNTA(B474:B$996),IFERROR(MATCH(TRUE(),INDEX((A475:A$996&lt;&gt;""),0),0),COUNTA(B474:B$996))),"")</f>
        <v/>
      </c>
      <c r="L474" s="20"/>
    </row>
    <row r="475" customFormat="false" ht="13.8" hidden="false" customHeight="false" outlineLevel="0" collapsed="false">
      <c r="A475" s="16"/>
      <c r="B475" s="16"/>
      <c r="C475" s="17"/>
      <c r="D475" s="17"/>
      <c r="E475" s="17"/>
      <c r="F475" s="18"/>
      <c r="G475" s="19" t="str">
        <f aca="true">IF(F475="", "", DATEDIF(F475, TODAY(), "Y"))</f>
        <v/>
      </c>
      <c r="H475" s="18"/>
      <c r="I475" s="18"/>
      <c r="J475" s="19" t="str">
        <f aca="true">IF(ISBLANK(H475), "", I475-TODAY())</f>
        <v/>
      </c>
      <c r="K475" s="19" t="str">
        <f aca="false" t="array" ref="K475:K475">IF(A475&lt;&gt;"",IF(COUNTIF(A476:A$996,"&lt;&gt;")=0,COUNTA(B475:B$996),IFERROR(MATCH(TRUE(),INDEX((A476:A$996&lt;&gt;""),0),0),COUNTA(B475:B$996))),"")</f>
        <v/>
      </c>
      <c r="L475" s="20"/>
    </row>
    <row r="476" customFormat="false" ht="13.8" hidden="false" customHeight="false" outlineLevel="0" collapsed="false">
      <c r="A476" s="16"/>
      <c r="B476" s="16"/>
      <c r="C476" s="17"/>
      <c r="D476" s="17"/>
      <c r="E476" s="17"/>
      <c r="F476" s="18"/>
      <c r="G476" s="19" t="str">
        <f aca="true">IF(F476="", "", DATEDIF(F476, TODAY(), "Y"))</f>
        <v/>
      </c>
      <c r="H476" s="18"/>
      <c r="I476" s="18"/>
      <c r="J476" s="19" t="str">
        <f aca="true">IF(ISBLANK(H476), "", I476-TODAY())</f>
        <v/>
      </c>
      <c r="K476" s="19" t="str">
        <f aca="false" t="array" ref="K476:K476">IF(A476&lt;&gt;"",IF(COUNTIF(A477:A$996,"&lt;&gt;")=0,COUNTA(B476:B$996),IFERROR(MATCH(TRUE(),INDEX((A477:A$996&lt;&gt;""),0),0),COUNTA(B476:B$996))),"")</f>
        <v/>
      </c>
      <c r="L476" s="20"/>
    </row>
    <row r="477" customFormat="false" ht="13.8" hidden="false" customHeight="false" outlineLevel="0" collapsed="false">
      <c r="A477" s="16"/>
      <c r="B477" s="16"/>
      <c r="C477" s="17"/>
      <c r="D477" s="17"/>
      <c r="E477" s="17"/>
      <c r="F477" s="18"/>
      <c r="G477" s="19" t="str">
        <f aca="true">IF(F477="", "", DATEDIF(F477, TODAY(), "Y"))</f>
        <v/>
      </c>
      <c r="H477" s="18"/>
      <c r="I477" s="18"/>
      <c r="J477" s="19" t="str">
        <f aca="true">IF(ISBLANK(H477), "", I477-TODAY())</f>
        <v/>
      </c>
      <c r="K477" s="19" t="str">
        <f aca="false" t="array" ref="K477:K477">IF(A477&lt;&gt;"",IF(COUNTIF(A478:A$996,"&lt;&gt;")=0,COUNTA(B477:B$996),IFERROR(MATCH(TRUE(),INDEX((A478:A$996&lt;&gt;""),0),0),COUNTA(B477:B$996))),"")</f>
        <v/>
      </c>
      <c r="L477" s="20"/>
    </row>
    <row r="478" customFormat="false" ht="13.8" hidden="false" customHeight="false" outlineLevel="0" collapsed="false">
      <c r="A478" s="16"/>
      <c r="B478" s="16"/>
      <c r="C478" s="17"/>
      <c r="D478" s="17"/>
      <c r="E478" s="17"/>
      <c r="F478" s="18"/>
      <c r="G478" s="19" t="str">
        <f aca="true">IF(F478="", "", DATEDIF(F478, TODAY(), "Y"))</f>
        <v/>
      </c>
      <c r="H478" s="18"/>
      <c r="I478" s="18"/>
      <c r="J478" s="19" t="str">
        <f aca="true">IF(ISBLANK(H478), "", I478-TODAY())</f>
        <v/>
      </c>
      <c r="K478" s="19" t="str">
        <f aca="false" t="array" ref="K478:K478">IF(A478&lt;&gt;"",IF(COUNTIF(A479:A$996,"&lt;&gt;")=0,COUNTA(B478:B$996),IFERROR(MATCH(TRUE(),INDEX((A479:A$996&lt;&gt;""),0),0),COUNTA(B478:B$996))),"")</f>
        <v/>
      </c>
      <c r="L478" s="20"/>
    </row>
    <row r="479" customFormat="false" ht="13.8" hidden="false" customHeight="false" outlineLevel="0" collapsed="false">
      <c r="A479" s="16"/>
      <c r="B479" s="16"/>
      <c r="C479" s="17"/>
      <c r="D479" s="17"/>
      <c r="E479" s="17"/>
      <c r="F479" s="18"/>
      <c r="G479" s="19" t="str">
        <f aca="true">IF(F479="", "", DATEDIF(F479, TODAY(), "Y"))</f>
        <v/>
      </c>
      <c r="H479" s="18"/>
      <c r="I479" s="18"/>
      <c r="J479" s="19" t="str">
        <f aca="true">IF(ISBLANK(H479), "", I479-TODAY())</f>
        <v/>
      </c>
      <c r="K479" s="19" t="str">
        <f aca="false" t="array" ref="K479:K479">IF(A479&lt;&gt;"",IF(COUNTIF(A480:A$996,"&lt;&gt;")=0,COUNTA(B479:B$996),IFERROR(MATCH(TRUE(),INDEX((A480:A$996&lt;&gt;""),0),0),COUNTA(B479:B$996))),"")</f>
        <v/>
      </c>
      <c r="L479" s="20"/>
    </row>
    <row r="480" customFormat="false" ht="13.8" hidden="false" customHeight="false" outlineLevel="0" collapsed="false">
      <c r="A480" s="16"/>
      <c r="B480" s="16"/>
      <c r="C480" s="17"/>
      <c r="D480" s="17"/>
      <c r="E480" s="17"/>
      <c r="F480" s="18"/>
      <c r="G480" s="19" t="str">
        <f aca="true">IF(F480="", "", DATEDIF(F480, TODAY(), "Y"))</f>
        <v/>
      </c>
      <c r="H480" s="18"/>
      <c r="I480" s="18"/>
      <c r="J480" s="19" t="str">
        <f aca="true">IF(ISBLANK(H480), "", I480-TODAY())</f>
        <v/>
      </c>
      <c r="K480" s="19" t="str">
        <f aca="false" t="array" ref="K480:K480">IF(A480&lt;&gt;"",IF(COUNTIF(A481:A$996,"&lt;&gt;")=0,COUNTA(B480:B$996),IFERROR(MATCH(TRUE(),INDEX((A481:A$996&lt;&gt;""),0),0),COUNTA(B480:B$996))),"")</f>
        <v/>
      </c>
      <c r="L480" s="20"/>
    </row>
    <row r="481" customFormat="false" ht="13.8" hidden="false" customHeight="false" outlineLevel="0" collapsed="false">
      <c r="A481" s="16"/>
      <c r="B481" s="16"/>
      <c r="C481" s="17"/>
      <c r="D481" s="17"/>
      <c r="E481" s="17"/>
      <c r="F481" s="18"/>
      <c r="G481" s="19" t="str">
        <f aca="true">IF(F481="", "", DATEDIF(F481, TODAY(), "Y"))</f>
        <v/>
      </c>
      <c r="H481" s="18"/>
      <c r="I481" s="18"/>
      <c r="J481" s="19" t="str">
        <f aca="true">IF(ISBLANK(H481), "", I481-TODAY())</f>
        <v/>
      </c>
      <c r="K481" s="19" t="str">
        <f aca="false" t="array" ref="K481:K481">IF(A481&lt;&gt;"",IF(COUNTIF(A482:A$996,"&lt;&gt;")=0,COUNTA(B481:B$996),IFERROR(MATCH(TRUE(),INDEX((A482:A$996&lt;&gt;""),0),0),COUNTA(B481:B$996))),"")</f>
        <v/>
      </c>
      <c r="L481" s="20"/>
    </row>
    <row r="482" customFormat="false" ht="13.8" hidden="false" customHeight="false" outlineLevel="0" collapsed="false">
      <c r="A482" s="16"/>
      <c r="B482" s="16"/>
      <c r="C482" s="17"/>
      <c r="D482" s="17"/>
      <c r="E482" s="17"/>
      <c r="F482" s="18"/>
      <c r="G482" s="19" t="str">
        <f aca="true">IF(F482="", "", DATEDIF(F482, TODAY(), "Y"))</f>
        <v/>
      </c>
      <c r="H482" s="18"/>
      <c r="I482" s="18"/>
      <c r="J482" s="19" t="str">
        <f aca="true">IF(ISBLANK(H482), "", I482-TODAY())</f>
        <v/>
      </c>
      <c r="K482" s="19" t="str">
        <f aca="false" t="array" ref="K482:K482">IF(A482&lt;&gt;"",IF(COUNTIF(A483:A$996,"&lt;&gt;")=0,COUNTA(B482:B$996),IFERROR(MATCH(TRUE(),INDEX((A483:A$996&lt;&gt;""),0),0),COUNTA(B482:B$996))),"")</f>
        <v/>
      </c>
      <c r="L482" s="20"/>
    </row>
    <row r="483" customFormat="false" ht="13.8" hidden="false" customHeight="false" outlineLevel="0" collapsed="false">
      <c r="A483" s="16"/>
      <c r="B483" s="16"/>
      <c r="C483" s="17"/>
      <c r="D483" s="17"/>
      <c r="E483" s="17"/>
      <c r="F483" s="18"/>
      <c r="G483" s="19" t="str">
        <f aca="true">IF(F483="", "", DATEDIF(F483, TODAY(), "Y"))</f>
        <v/>
      </c>
      <c r="H483" s="18"/>
      <c r="I483" s="18"/>
      <c r="J483" s="19" t="str">
        <f aca="true">IF(ISBLANK(H483), "", I483-TODAY())</f>
        <v/>
      </c>
      <c r="K483" s="19" t="str">
        <f aca="false" t="array" ref="K483:K483">IF(A483&lt;&gt;"",IF(COUNTIF(A484:A$996,"&lt;&gt;")=0,COUNTA(B483:B$996),IFERROR(MATCH(TRUE(),INDEX((A484:A$996&lt;&gt;""),0),0),COUNTA(B483:B$996))),"")</f>
        <v/>
      </c>
      <c r="L483" s="20"/>
    </row>
    <row r="484" customFormat="false" ht="13.8" hidden="false" customHeight="false" outlineLevel="0" collapsed="false">
      <c r="A484" s="16"/>
      <c r="B484" s="16"/>
      <c r="C484" s="17"/>
      <c r="D484" s="17"/>
      <c r="E484" s="17"/>
      <c r="F484" s="18"/>
      <c r="G484" s="19" t="str">
        <f aca="true">IF(F484="", "", DATEDIF(F484, TODAY(), "Y"))</f>
        <v/>
      </c>
      <c r="H484" s="18"/>
      <c r="I484" s="18"/>
      <c r="J484" s="19" t="str">
        <f aca="true">IF(ISBLANK(H484), "", I484-TODAY())</f>
        <v/>
      </c>
      <c r="K484" s="19" t="str">
        <f aca="false" t="array" ref="K484:K484">IF(A484&lt;&gt;"",IF(COUNTIF(A485:A$996,"&lt;&gt;")=0,COUNTA(B484:B$996),IFERROR(MATCH(TRUE(),INDEX((A485:A$996&lt;&gt;""),0),0),COUNTA(B484:B$996))),"")</f>
        <v/>
      </c>
      <c r="L484" s="20"/>
    </row>
    <row r="485" customFormat="false" ht="13.8" hidden="false" customHeight="false" outlineLevel="0" collapsed="false">
      <c r="A485" s="16"/>
      <c r="B485" s="16"/>
      <c r="C485" s="17"/>
      <c r="D485" s="17"/>
      <c r="E485" s="17"/>
      <c r="F485" s="18"/>
      <c r="G485" s="19" t="str">
        <f aca="true">IF(F485="", "", DATEDIF(F485, TODAY(), "Y"))</f>
        <v/>
      </c>
      <c r="H485" s="18"/>
      <c r="I485" s="18"/>
      <c r="J485" s="19" t="str">
        <f aca="true">IF(ISBLANK(H485), "", I485-TODAY())</f>
        <v/>
      </c>
      <c r="K485" s="19" t="str">
        <f aca="false" t="array" ref="K485:K485">IF(A485&lt;&gt;"",IF(COUNTIF(A486:A$996,"&lt;&gt;")=0,COUNTA(B485:B$996),IFERROR(MATCH(TRUE(),INDEX((A486:A$996&lt;&gt;""),0),0),COUNTA(B485:B$996))),"")</f>
        <v/>
      </c>
      <c r="L485" s="20"/>
    </row>
    <row r="486" customFormat="false" ht="13.8" hidden="false" customHeight="false" outlineLevel="0" collapsed="false">
      <c r="A486" s="16"/>
      <c r="B486" s="16"/>
      <c r="C486" s="17"/>
      <c r="D486" s="17"/>
      <c r="E486" s="17"/>
      <c r="F486" s="18"/>
      <c r="G486" s="19" t="str">
        <f aca="true">IF(F486="", "", DATEDIF(F486, TODAY(), "Y"))</f>
        <v/>
      </c>
      <c r="H486" s="18"/>
      <c r="I486" s="18"/>
      <c r="J486" s="19" t="str">
        <f aca="true">IF(ISBLANK(H486), "", I486-TODAY())</f>
        <v/>
      </c>
      <c r="K486" s="19" t="str">
        <f aca="false" t="array" ref="K486:K486">IF(A486&lt;&gt;"",IF(COUNTIF(A487:A$996,"&lt;&gt;")=0,COUNTA(B486:B$996),IFERROR(MATCH(TRUE(),INDEX((A487:A$996&lt;&gt;""),0),0),COUNTA(B486:B$996))),"")</f>
        <v/>
      </c>
      <c r="L486" s="20"/>
    </row>
    <row r="487" customFormat="false" ht="13.8" hidden="false" customHeight="false" outlineLevel="0" collapsed="false">
      <c r="A487" s="16"/>
      <c r="B487" s="16"/>
      <c r="C487" s="17"/>
      <c r="D487" s="17"/>
      <c r="E487" s="17"/>
      <c r="F487" s="18"/>
      <c r="G487" s="19" t="str">
        <f aca="true">IF(F487="", "", DATEDIF(F487, TODAY(), "Y"))</f>
        <v/>
      </c>
      <c r="H487" s="18"/>
      <c r="I487" s="18"/>
      <c r="J487" s="19" t="str">
        <f aca="true">IF(ISBLANK(H487), "", I487-TODAY())</f>
        <v/>
      </c>
      <c r="K487" s="19" t="str">
        <f aca="false" t="array" ref="K487:K487">IF(A487&lt;&gt;"",IF(COUNTIF(A488:A$996,"&lt;&gt;")=0,COUNTA(B487:B$996),IFERROR(MATCH(TRUE(),INDEX((A488:A$996&lt;&gt;""),0),0),COUNTA(B487:B$996))),"")</f>
        <v/>
      </c>
      <c r="L487" s="20"/>
    </row>
    <row r="488" customFormat="false" ht="13.8" hidden="false" customHeight="false" outlineLevel="0" collapsed="false">
      <c r="A488" s="16"/>
      <c r="B488" s="16"/>
      <c r="C488" s="17"/>
      <c r="D488" s="17"/>
      <c r="E488" s="17"/>
      <c r="F488" s="18"/>
      <c r="G488" s="19" t="str">
        <f aca="true">IF(F488="", "", DATEDIF(F488, TODAY(), "Y"))</f>
        <v/>
      </c>
      <c r="H488" s="18"/>
      <c r="I488" s="18"/>
      <c r="J488" s="19" t="str">
        <f aca="true">IF(ISBLANK(H488), "", I488-TODAY())</f>
        <v/>
      </c>
      <c r="K488" s="19" t="str">
        <f aca="false" t="array" ref="K488:K488">IF(A488&lt;&gt;"",IF(COUNTIF(A489:A$996,"&lt;&gt;")=0,COUNTA(B488:B$996),IFERROR(MATCH(TRUE(),INDEX((A489:A$996&lt;&gt;""),0),0),COUNTA(B488:B$996))),"")</f>
        <v/>
      </c>
      <c r="L488" s="20"/>
    </row>
    <row r="489" customFormat="false" ht="13.8" hidden="false" customHeight="false" outlineLevel="0" collapsed="false">
      <c r="A489" s="16"/>
      <c r="B489" s="16"/>
      <c r="C489" s="17"/>
      <c r="D489" s="17"/>
      <c r="E489" s="17"/>
      <c r="F489" s="18"/>
      <c r="G489" s="19" t="str">
        <f aca="true">IF(F489="", "", DATEDIF(F489, TODAY(), "Y"))</f>
        <v/>
      </c>
      <c r="H489" s="18"/>
      <c r="I489" s="18"/>
      <c r="J489" s="19" t="str">
        <f aca="true">IF(ISBLANK(H489), "", I489-TODAY())</f>
        <v/>
      </c>
      <c r="K489" s="19" t="str">
        <f aca="false" t="array" ref="K489:K489">IF(A489&lt;&gt;"",IF(COUNTIF(A490:A$996,"&lt;&gt;")=0,COUNTA(B489:B$996),IFERROR(MATCH(TRUE(),INDEX((A490:A$996&lt;&gt;""),0),0),COUNTA(B489:B$996))),"")</f>
        <v/>
      </c>
      <c r="L489" s="20"/>
    </row>
    <row r="490" customFormat="false" ht="13.8" hidden="false" customHeight="false" outlineLevel="0" collapsed="false">
      <c r="A490" s="16"/>
      <c r="B490" s="16"/>
      <c r="C490" s="17"/>
      <c r="D490" s="17"/>
      <c r="E490" s="17"/>
      <c r="F490" s="18"/>
      <c r="G490" s="19" t="str">
        <f aca="true">IF(F490="", "", DATEDIF(F490, TODAY(), "Y"))</f>
        <v/>
      </c>
      <c r="H490" s="18"/>
      <c r="I490" s="18"/>
      <c r="J490" s="19" t="str">
        <f aca="true">IF(ISBLANK(H490), "", I490-TODAY())</f>
        <v/>
      </c>
      <c r="K490" s="19" t="str">
        <f aca="false" t="array" ref="K490:K490">IF(A490&lt;&gt;"",IF(COUNTIF(A491:A$996,"&lt;&gt;")=0,COUNTA(B490:B$996),IFERROR(MATCH(TRUE(),INDEX((A491:A$996&lt;&gt;""),0),0),COUNTA(B490:B$996))),"")</f>
        <v/>
      </c>
      <c r="L490" s="20"/>
    </row>
    <row r="491" customFormat="false" ht="13.8" hidden="false" customHeight="false" outlineLevel="0" collapsed="false">
      <c r="A491" s="16"/>
      <c r="B491" s="16"/>
      <c r="C491" s="17"/>
      <c r="D491" s="17"/>
      <c r="E491" s="17"/>
      <c r="F491" s="18"/>
      <c r="G491" s="19" t="str">
        <f aca="true">IF(F491="", "", DATEDIF(F491, TODAY(), "Y"))</f>
        <v/>
      </c>
      <c r="H491" s="18"/>
      <c r="I491" s="18"/>
      <c r="J491" s="19" t="str">
        <f aca="true">IF(ISBLANK(H491), "", I491-TODAY())</f>
        <v/>
      </c>
      <c r="K491" s="19" t="str">
        <f aca="false" t="array" ref="K491:K491">IF(A491&lt;&gt;"",IF(COUNTIF(A492:A$996,"&lt;&gt;")=0,COUNTA(B491:B$996),IFERROR(MATCH(TRUE(),INDEX((A492:A$996&lt;&gt;""),0),0),COUNTA(B491:B$996))),"")</f>
        <v/>
      </c>
      <c r="L491" s="20"/>
    </row>
    <row r="492" customFormat="false" ht="13.8" hidden="false" customHeight="false" outlineLevel="0" collapsed="false">
      <c r="A492" s="16"/>
      <c r="B492" s="16"/>
      <c r="C492" s="17"/>
      <c r="D492" s="17"/>
      <c r="E492" s="17"/>
      <c r="F492" s="18"/>
      <c r="G492" s="19" t="str">
        <f aca="true">IF(F492="", "", DATEDIF(F492, TODAY(), "Y"))</f>
        <v/>
      </c>
      <c r="H492" s="18"/>
      <c r="I492" s="18"/>
      <c r="J492" s="19" t="str">
        <f aca="true">IF(ISBLANK(H492), "", I492-TODAY())</f>
        <v/>
      </c>
      <c r="K492" s="19" t="str">
        <f aca="false" t="array" ref="K492:K492">IF(A492&lt;&gt;"",IF(COUNTIF(A493:A$996,"&lt;&gt;")=0,COUNTA(B492:B$996),IFERROR(MATCH(TRUE(),INDEX((A493:A$996&lt;&gt;""),0),0),COUNTA(B492:B$996))),"")</f>
        <v/>
      </c>
      <c r="L492" s="20"/>
    </row>
    <row r="493" customFormat="false" ht="13.8" hidden="false" customHeight="false" outlineLevel="0" collapsed="false">
      <c r="A493" s="16"/>
      <c r="B493" s="16"/>
      <c r="C493" s="17"/>
      <c r="D493" s="17"/>
      <c r="E493" s="17"/>
      <c r="F493" s="18"/>
      <c r="G493" s="19" t="str">
        <f aca="true">IF(F493="", "", DATEDIF(F493, TODAY(), "Y"))</f>
        <v/>
      </c>
      <c r="H493" s="18"/>
      <c r="I493" s="18"/>
      <c r="J493" s="19" t="str">
        <f aca="true">IF(ISBLANK(H493), "", I493-TODAY())</f>
        <v/>
      </c>
      <c r="K493" s="19" t="str">
        <f aca="false" t="array" ref="K493:K493">IF(A493&lt;&gt;"",IF(COUNTIF(A494:A$996,"&lt;&gt;")=0,COUNTA(B493:B$996),IFERROR(MATCH(TRUE(),INDEX((A494:A$996&lt;&gt;""),0),0),COUNTA(B493:B$996))),"")</f>
        <v/>
      </c>
      <c r="L493" s="20"/>
    </row>
    <row r="494" customFormat="false" ht="13.8" hidden="false" customHeight="false" outlineLevel="0" collapsed="false">
      <c r="A494" s="16"/>
      <c r="B494" s="16"/>
      <c r="C494" s="17"/>
      <c r="D494" s="17"/>
      <c r="E494" s="17"/>
      <c r="F494" s="18"/>
      <c r="G494" s="19" t="str">
        <f aca="true">IF(F494="", "", DATEDIF(F494, TODAY(), "Y"))</f>
        <v/>
      </c>
      <c r="H494" s="18"/>
      <c r="I494" s="18"/>
      <c r="J494" s="19" t="str">
        <f aca="true">IF(ISBLANK(H494), "", I494-TODAY())</f>
        <v/>
      </c>
      <c r="K494" s="19" t="str">
        <f aca="false" t="array" ref="K494:K494">IF(A494&lt;&gt;"",IF(COUNTIF(A495:A$996,"&lt;&gt;")=0,COUNTA(B494:B$996),IFERROR(MATCH(TRUE(),INDEX((A495:A$996&lt;&gt;""),0),0),COUNTA(B494:B$996))),"")</f>
        <v/>
      </c>
      <c r="L494" s="20"/>
    </row>
    <row r="495" customFormat="false" ht="13.8" hidden="false" customHeight="false" outlineLevel="0" collapsed="false">
      <c r="A495" s="16"/>
      <c r="B495" s="16"/>
      <c r="C495" s="17"/>
      <c r="D495" s="17"/>
      <c r="E495" s="17"/>
      <c r="F495" s="18"/>
      <c r="G495" s="19" t="str">
        <f aca="true">IF(F495="", "", DATEDIF(F495, TODAY(), "Y"))</f>
        <v/>
      </c>
      <c r="H495" s="18"/>
      <c r="I495" s="18"/>
      <c r="J495" s="19" t="str">
        <f aca="true">IF(ISBLANK(H495), "", I495-TODAY())</f>
        <v/>
      </c>
      <c r="K495" s="19" t="str">
        <f aca="false" t="array" ref="K495:K495">IF(A495&lt;&gt;"",IF(COUNTIF(A496:A$996,"&lt;&gt;")=0,COUNTA(B495:B$996),IFERROR(MATCH(TRUE(),INDEX((A496:A$996&lt;&gt;""),0),0),COUNTA(B495:B$996))),"")</f>
        <v/>
      </c>
      <c r="L495" s="20"/>
    </row>
    <row r="496" customFormat="false" ht="13.8" hidden="false" customHeight="false" outlineLevel="0" collapsed="false">
      <c r="A496" s="16"/>
      <c r="B496" s="16"/>
      <c r="C496" s="17"/>
      <c r="D496" s="17"/>
      <c r="E496" s="17"/>
      <c r="F496" s="18"/>
      <c r="G496" s="19" t="str">
        <f aca="true">IF(F496="", "", DATEDIF(F496, TODAY(), "Y"))</f>
        <v/>
      </c>
      <c r="H496" s="18"/>
      <c r="I496" s="18"/>
      <c r="J496" s="19" t="str">
        <f aca="true">IF(ISBLANK(H496), "", I496-TODAY())</f>
        <v/>
      </c>
      <c r="K496" s="19" t="str">
        <f aca="false" t="array" ref="K496:K496">IF(A496&lt;&gt;"",IF(COUNTIF(A497:A$996,"&lt;&gt;")=0,COUNTA(B496:B$996),IFERROR(MATCH(TRUE(),INDEX((A497:A$996&lt;&gt;""),0),0),COUNTA(B496:B$996))),"")</f>
        <v/>
      </c>
      <c r="L496" s="20"/>
    </row>
    <row r="497" customFormat="false" ht="13.8" hidden="false" customHeight="false" outlineLevel="0" collapsed="false">
      <c r="A497" s="16"/>
      <c r="B497" s="16"/>
      <c r="C497" s="17"/>
      <c r="D497" s="17"/>
      <c r="E497" s="17"/>
      <c r="F497" s="18"/>
      <c r="G497" s="19" t="str">
        <f aca="true">IF(F497="", "", DATEDIF(F497, TODAY(), "Y"))</f>
        <v/>
      </c>
      <c r="H497" s="18"/>
      <c r="I497" s="18"/>
      <c r="J497" s="19" t="str">
        <f aca="true">IF(ISBLANK(H497), "", I497-TODAY())</f>
        <v/>
      </c>
      <c r="K497" s="19" t="str">
        <f aca="false" t="array" ref="K497:K497">IF(A497&lt;&gt;"",IF(COUNTIF(A498:A$996,"&lt;&gt;")=0,COUNTA(B497:B$996),IFERROR(MATCH(TRUE(),INDEX((A498:A$996&lt;&gt;""),0),0),COUNTA(B497:B$996))),"")</f>
        <v/>
      </c>
      <c r="L497" s="20"/>
    </row>
    <row r="498" customFormat="false" ht="13.8" hidden="false" customHeight="false" outlineLevel="0" collapsed="false">
      <c r="A498" s="16"/>
      <c r="B498" s="16"/>
      <c r="C498" s="17"/>
      <c r="D498" s="17"/>
      <c r="E498" s="17"/>
      <c r="F498" s="18"/>
      <c r="G498" s="19" t="str">
        <f aca="true">IF(F498="", "", DATEDIF(F498, TODAY(), "Y"))</f>
        <v/>
      </c>
      <c r="H498" s="18"/>
      <c r="I498" s="18"/>
      <c r="J498" s="19" t="str">
        <f aca="true">IF(ISBLANK(H498), "", I498-TODAY())</f>
        <v/>
      </c>
      <c r="K498" s="19" t="str">
        <f aca="false" t="array" ref="K498:K498">IF(A498&lt;&gt;"",IF(COUNTIF(A499:A$996,"&lt;&gt;")=0,COUNTA(B498:B$996),IFERROR(MATCH(TRUE(),INDEX((A499:A$996&lt;&gt;""),0),0),COUNTA(B498:B$996))),"")</f>
        <v/>
      </c>
      <c r="L498" s="20"/>
    </row>
    <row r="499" customFormat="false" ht="13.8" hidden="false" customHeight="false" outlineLevel="0" collapsed="false">
      <c r="A499" s="16"/>
      <c r="B499" s="16"/>
      <c r="C499" s="17"/>
      <c r="D499" s="17"/>
      <c r="E499" s="17"/>
      <c r="F499" s="18"/>
      <c r="G499" s="19" t="str">
        <f aca="true">IF(F499="", "", DATEDIF(F499, TODAY(), "Y"))</f>
        <v/>
      </c>
      <c r="H499" s="18"/>
      <c r="I499" s="18"/>
      <c r="J499" s="19" t="str">
        <f aca="true">IF(ISBLANK(H499), "", I499-TODAY())</f>
        <v/>
      </c>
      <c r="K499" s="19" t="str">
        <f aca="false" t="array" ref="K499:K499">IF(A499&lt;&gt;"",IF(COUNTIF(A500:A$996,"&lt;&gt;")=0,COUNTA(B499:B$996),IFERROR(MATCH(TRUE(),INDEX((A500:A$996&lt;&gt;""),0),0),COUNTA(B499:B$996))),"")</f>
        <v/>
      </c>
      <c r="L499" s="20"/>
    </row>
    <row r="500" customFormat="false" ht="13.8" hidden="false" customHeight="false" outlineLevel="0" collapsed="false">
      <c r="A500" s="16"/>
      <c r="B500" s="16"/>
      <c r="C500" s="17"/>
      <c r="D500" s="17"/>
      <c r="E500" s="17"/>
      <c r="F500" s="18"/>
      <c r="G500" s="19" t="str">
        <f aca="true">IF(F500="", "", DATEDIF(F500, TODAY(), "Y"))</f>
        <v/>
      </c>
      <c r="H500" s="18"/>
      <c r="I500" s="18"/>
      <c r="J500" s="19" t="str">
        <f aca="true">IF(ISBLANK(H500), "", I500-TODAY())</f>
        <v/>
      </c>
      <c r="K500" s="19" t="str">
        <f aca="false" t="array" ref="K500:K500">IF(A500&lt;&gt;"",IF(COUNTIF(A501:A$996,"&lt;&gt;")=0,COUNTA(B500:B$996),IFERROR(MATCH(TRUE(),INDEX((A501:A$996&lt;&gt;""),0),0),COUNTA(B500:B$996))),"")</f>
        <v/>
      </c>
      <c r="L500" s="20"/>
    </row>
    <row r="501" customFormat="false" ht="13.8" hidden="false" customHeight="false" outlineLevel="0" collapsed="false">
      <c r="A501" s="16"/>
      <c r="B501" s="16"/>
      <c r="C501" s="17"/>
      <c r="D501" s="17"/>
      <c r="E501" s="17"/>
      <c r="F501" s="18"/>
      <c r="G501" s="19" t="str">
        <f aca="true">IF(F501="", "", DATEDIF(F501, TODAY(), "Y"))</f>
        <v/>
      </c>
      <c r="H501" s="18"/>
      <c r="I501" s="18"/>
      <c r="J501" s="19" t="str">
        <f aca="true">IF(ISBLANK(H501), "", I501-TODAY())</f>
        <v/>
      </c>
      <c r="K501" s="19" t="str">
        <f aca="false" t="array" ref="K501:K501">IF(A501&lt;&gt;"",IF(COUNTIF(A502:A$996,"&lt;&gt;")=0,COUNTA(B501:B$996),IFERROR(MATCH(TRUE(),INDEX((A502:A$996&lt;&gt;""),0),0),COUNTA(B501:B$996))),"")</f>
        <v/>
      </c>
      <c r="L501" s="20"/>
    </row>
    <row r="502" customFormat="false" ht="13.8" hidden="false" customHeight="false" outlineLevel="0" collapsed="false">
      <c r="A502" s="16"/>
      <c r="B502" s="16"/>
      <c r="C502" s="17"/>
      <c r="D502" s="17"/>
      <c r="E502" s="17"/>
      <c r="F502" s="18"/>
      <c r="G502" s="19" t="str">
        <f aca="true">IF(F502="", "", DATEDIF(F502, TODAY(), "Y"))</f>
        <v/>
      </c>
      <c r="H502" s="18"/>
      <c r="I502" s="18"/>
      <c r="J502" s="19" t="str">
        <f aca="true">IF(ISBLANK(H502), "", I502-TODAY())</f>
        <v/>
      </c>
      <c r="K502" s="19" t="str">
        <f aca="false" t="array" ref="K502:K502">IF(A502&lt;&gt;"",IF(COUNTIF(A503:A$996,"&lt;&gt;")=0,COUNTA(B502:B$996),IFERROR(MATCH(TRUE(),INDEX((A503:A$996&lt;&gt;""),0),0),COUNTA(B502:B$996))),"")</f>
        <v/>
      </c>
      <c r="L502" s="20"/>
    </row>
    <row r="503" customFormat="false" ht="13.8" hidden="false" customHeight="false" outlineLevel="0" collapsed="false">
      <c r="A503" s="16"/>
      <c r="B503" s="16"/>
      <c r="C503" s="17"/>
      <c r="D503" s="17"/>
      <c r="E503" s="17"/>
      <c r="F503" s="18"/>
      <c r="G503" s="19" t="str">
        <f aca="true">IF(F503="", "", DATEDIF(F503, TODAY(), "Y"))</f>
        <v/>
      </c>
      <c r="H503" s="18"/>
      <c r="I503" s="18"/>
      <c r="J503" s="19" t="str">
        <f aca="true">IF(ISBLANK(H503), "", I503-TODAY())</f>
        <v/>
      </c>
      <c r="K503" s="19" t="str">
        <f aca="false" t="array" ref="K503:K503">IF(A503&lt;&gt;"",IF(COUNTIF(A504:A$996,"&lt;&gt;")=0,COUNTA(B503:B$996),IFERROR(MATCH(TRUE(),INDEX((A504:A$996&lt;&gt;""),0),0),COUNTA(B503:B$996))),"")</f>
        <v/>
      </c>
      <c r="L503" s="20"/>
    </row>
    <row r="504" customFormat="false" ht="13.8" hidden="false" customHeight="false" outlineLevel="0" collapsed="false">
      <c r="A504" s="16"/>
      <c r="B504" s="16"/>
      <c r="C504" s="17"/>
      <c r="D504" s="17"/>
      <c r="E504" s="17"/>
      <c r="F504" s="18"/>
      <c r="G504" s="19" t="str">
        <f aca="true">IF(F504="", "", DATEDIF(F504, TODAY(), "Y"))</f>
        <v/>
      </c>
      <c r="H504" s="18"/>
      <c r="I504" s="18"/>
      <c r="J504" s="19" t="str">
        <f aca="true">IF(ISBLANK(H504), "", I504-TODAY())</f>
        <v/>
      </c>
      <c r="K504" s="19" t="str">
        <f aca="false" t="array" ref="K504:K504">IF(A504&lt;&gt;"",IF(COUNTIF(A505:A$996,"&lt;&gt;")=0,COUNTA(B504:B$996),IFERROR(MATCH(TRUE(),INDEX((A505:A$996&lt;&gt;""),0),0),COUNTA(B504:B$996))),"")</f>
        <v/>
      </c>
      <c r="L504" s="20"/>
    </row>
    <row r="505" customFormat="false" ht="13.8" hidden="false" customHeight="false" outlineLevel="0" collapsed="false">
      <c r="A505" s="16"/>
      <c r="B505" s="16"/>
      <c r="C505" s="17"/>
      <c r="D505" s="17"/>
      <c r="E505" s="17"/>
      <c r="F505" s="18"/>
      <c r="G505" s="19" t="str">
        <f aca="true">IF(F505="", "", DATEDIF(F505, TODAY(), "Y"))</f>
        <v/>
      </c>
      <c r="H505" s="18"/>
      <c r="I505" s="18"/>
      <c r="J505" s="19" t="str">
        <f aca="true">IF(ISBLANK(H505), "", I505-TODAY())</f>
        <v/>
      </c>
      <c r="K505" s="19" t="str">
        <f aca="false" t="array" ref="K505:K505">IF(A505&lt;&gt;"",IF(COUNTIF(A506:A$996,"&lt;&gt;")=0,COUNTA(B505:B$996),IFERROR(MATCH(TRUE(),INDEX((A506:A$996&lt;&gt;""),0),0),COUNTA(B505:B$996))),"")</f>
        <v/>
      </c>
      <c r="L505" s="20"/>
    </row>
    <row r="506" customFormat="false" ht="13.8" hidden="false" customHeight="false" outlineLevel="0" collapsed="false">
      <c r="A506" s="16"/>
      <c r="B506" s="16"/>
      <c r="C506" s="17"/>
      <c r="D506" s="17"/>
      <c r="E506" s="17"/>
      <c r="F506" s="18"/>
      <c r="G506" s="19" t="str">
        <f aca="true">IF(F506="", "", DATEDIF(F506, TODAY(), "Y"))</f>
        <v/>
      </c>
      <c r="H506" s="18"/>
      <c r="I506" s="18"/>
      <c r="J506" s="19" t="str">
        <f aca="true">IF(ISBLANK(H506), "", I506-TODAY())</f>
        <v/>
      </c>
      <c r="K506" s="19" t="str">
        <f aca="false" t="array" ref="K506:K506">IF(A506&lt;&gt;"",IF(COUNTIF(A507:A$996,"&lt;&gt;")=0,COUNTA(B506:B$996),IFERROR(MATCH(TRUE(),INDEX((A507:A$996&lt;&gt;""),0),0),COUNTA(B506:B$996))),"")</f>
        <v/>
      </c>
      <c r="L506" s="20"/>
    </row>
    <row r="507" customFormat="false" ht="13.8" hidden="false" customHeight="false" outlineLevel="0" collapsed="false">
      <c r="A507" s="16"/>
      <c r="B507" s="16"/>
      <c r="C507" s="17"/>
      <c r="D507" s="17"/>
      <c r="E507" s="17"/>
      <c r="F507" s="18"/>
      <c r="G507" s="19" t="str">
        <f aca="true">IF(F507="", "", DATEDIF(F507, TODAY(), "Y"))</f>
        <v/>
      </c>
      <c r="H507" s="18"/>
      <c r="I507" s="18"/>
      <c r="J507" s="19" t="str">
        <f aca="true">IF(ISBLANK(H507), "", I507-TODAY())</f>
        <v/>
      </c>
      <c r="K507" s="19" t="str">
        <f aca="false" t="array" ref="K507:K507">IF(A507&lt;&gt;"",IF(COUNTIF(A508:A$996,"&lt;&gt;")=0,COUNTA(B507:B$996),IFERROR(MATCH(TRUE(),INDEX((A508:A$996&lt;&gt;""),0),0),COUNTA(B507:B$996))),"")</f>
        <v/>
      </c>
      <c r="L507" s="20"/>
    </row>
    <row r="508" customFormat="false" ht="13.8" hidden="false" customHeight="false" outlineLevel="0" collapsed="false">
      <c r="A508" s="16"/>
      <c r="B508" s="16"/>
      <c r="C508" s="17"/>
      <c r="D508" s="17"/>
      <c r="E508" s="17"/>
      <c r="F508" s="18"/>
      <c r="G508" s="19" t="str">
        <f aca="true">IF(F508="", "", DATEDIF(F508, TODAY(), "Y"))</f>
        <v/>
      </c>
      <c r="H508" s="18"/>
      <c r="I508" s="18"/>
      <c r="J508" s="19" t="str">
        <f aca="true">IF(ISBLANK(H508), "", I508-TODAY())</f>
        <v/>
      </c>
      <c r="K508" s="19" t="str">
        <f aca="false" t="array" ref="K508:K508">IF(A508&lt;&gt;"",IF(COUNTIF(A509:A$996,"&lt;&gt;")=0,COUNTA(B508:B$996),IFERROR(MATCH(TRUE(),INDEX((A509:A$996&lt;&gt;""),0),0),COUNTA(B508:B$996))),"")</f>
        <v/>
      </c>
      <c r="L508" s="20"/>
    </row>
    <row r="509" customFormat="false" ht="13.8" hidden="false" customHeight="false" outlineLevel="0" collapsed="false">
      <c r="A509" s="16"/>
      <c r="B509" s="16"/>
      <c r="C509" s="17"/>
      <c r="D509" s="17"/>
      <c r="E509" s="17"/>
      <c r="F509" s="18"/>
      <c r="G509" s="19" t="str">
        <f aca="true">IF(F509="", "", DATEDIF(F509, TODAY(), "Y"))</f>
        <v/>
      </c>
      <c r="H509" s="18"/>
      <c r="I509" s="18"/>
      <c r="J509" s="19" t="str">
        <f aca="true">IF(ISBLANK(H509), "", I509-TODAY())</f>
        <v/>
      </c>
      <c r="K509" s="19" t="str">
        <f aca="false" t="array" ref="K509:K509">IF(A509&lt;&gt;"",IF(COUNTIF(A510:A$996,"&lt;&gt;")=0,COUNTA(B509:B$996),IFERROR(MATCH(TRUE(),INDEX((A510:A$996&lt;&gt;""),0),0),COUNTA(B509:B$996))),"")</f>
        <v/>
      </c>
      <c r="L509" s="20"/>
    </row>
    <row r="510" customFormat="false" ht="13.8" hidden="false" customHeight="false" outlineLevel="0" collapsed="false">
      <c r="A510" s="16"/>
      <c r="B510" s="16"/>
      <c r="C510" s="17"/>
      <c r="D510" s="17"/>
      <c r="E510" s="17"/>
      <c r="F510" s="18"/>
      <c r="G510" s="19" t="str">
        <f aca="true">IF(F510="", "", DATEDIF(F510, TODAY(), "Y"))</f>
        <v/>
      </c>
      <c r="H510" s="18"/>
      <c r="I510" s="18"/>
      <c r="J510" s="19" t="str">
        <f aca="true">IF(ISBLANK(H510), "", I510-TODAY())</f>
        <v/>
      </c>
      <c r="K510" s="19" t="str">
        <f aca="false" t="array" ref="K510:K510">IF(A510&lt;&gt;"",IF(COUNTIF(A511:A$996,"&lt;&gt;")=0,COUNTA(B510:B$996),IFERROR(MATCH(TRUE(),INDEX((A511:A$996&lt;&gt;""),0),0),COUNTA(B510:B$996))),"")</f>
        <v/>
      </c>
      <c r="L510" s="20"/>
    </row>
    <row r="511" customFormat="false" ht="13.8" hidden="false" customHeight="false" outlineLevel="0" collapsed="false">
      <c r="A511" s="16"/>
      <c r="B511" s="16"/>
      <c r="C511" s="17"/>
      <c r="D511" s="17"/>
      <c r="E511" s="17"/>
      <c r="F511" s="18"/>
      <c r="G511" s="19" t="str">
        <f aca="true">IF(F511="", "", DATEDIF(F511, TODAY(), "Y"))</f>
        <v/>
      </c>
      <c r="H511" s="18"/>
      <c r="I511" s="18"/>
      <c r="J511" s="19" t="str">
        <f aca="true">IF(ISBLANK(H511), "", I511-TODAY())</f>
        <v/>
      </c>
      <c r="K511" s="19" t="str">
        <f aca="false" t="array" ref="K511:K511">IF(A511&lt;&gt;"",IF(COUNTIF(A512:A$996,"&lt;&gt;")=0,COUNTA(B511:B$996),IFERROR(MATCH(TRUE(),INDEX((A512:A$996&lt;&gt;""),0),0),COUNTA(B511:B$996))),"")</f>
        <v/>
      </c>
      <c r="L511" s="20"/>
    </row>
    <row r="512" customFormat="false" ht="13.8" hidden="false" customHeight="false" outlineLevel="0" collapsed="false">
      <c r="A512" s="16"/>
      <c r="B512" s="16"/>
      <c r="C512" s="17"/>
      <c r="D512" s="17"/>
      <c r="E512" s="17"/>
      <c r="F512" s="18"/>
      <c r="G512" s="19" t="str">
        <f aca="true">IF(F512="", "", DATEDIF(F512, TODAY(), "Y"))</f>
        <v/>
      </c>
      <c r="H512" s="18"/>
      <c r="I512" s="18"/>
      <c r="J512" s="19" t="str">
        <f aca="true">IF(ISBLANK(H512), "", I512-TODAY())</f>
        <v/>
      </c>
      <c r="K512" s="19" t="str">
        <f aca="false" t="array" ref="K512:K512">IF(A512&lt;&gt;"",IF(COUNTIF(A513:A$996,"&lt;&gt;")=0,COUNTA(B512:B$996),IFERROR(MATCH(TRUE(),INDEX((A513:A$996&lt;&gt;""),0),0),COUNTA(B512:B$996))),"")</f>
        <v/>
      </c>
      <c r="L512" s="20"/>
    </row>
    <row r="513" customFormat="false" ht="13.8" hidden="false" customHeight="false" outlineLevel="0" collapsed="false">
      <c r="A513" s="16"/>
      <c r="B513" s="16"/>
      <c r="C513" s="17"/>
      <c r="D513" s="17"/>
      <c r="E513" s="17"/>
      <c r="F513" s="18"/>
      <c r="G513" s="19" t="str">
        <f aca="true">IF(F513="", "", DATEDIF(F513, TODAY(), "Y"))</f>
        <v/>
      </c>
      <c r="H513" s="18"/>
      <c r="I513" s="18"/>
      <c r="J513" s="19" t="str">
        <f aca="true">IF(ISBLANK(H513), "", I513-TODAY())</f>
        <v/>
      </c>
      <c r="K513" s="19" t="str">
        <f aca="false" t="array" ref="K513:K513">IF(A513&lt;&gt;"",IF(COUNTIF(A514:A$996,"&lt;&gt;")=0,COUNTA(B513:B$996),IFERROR(MATCH(TRUE(),INDEX((A514:A$996&lt;&gt;""),0),0),COUNTA(B513:B$996))),"")</f>
        <v/>
      </c>
      <c r="L513" s="20"/>
    </row>
    <row r="514" customFormat="false" ht="13.8" hidden="false" customHeight="false" outlineLevel="0" collapsed="false">
      <c r="A514" s="16"/>
      <c r="B514" s="16"/>
      <c r="C514" s="17"/>
      <c r="D514" s="17"/>
      <c r="E514" s="17"/>
      <c r="F514" s="18"/>
      <c r="G514" s="19" t="str">
        <f aca="true">IF(F514="", "", DATEDIF(F514, TODAY(), "Y"))</f>
        <v/>
      </c>
      <c r="H514" s="18"/>
      <c r="I514" s="18"/>
      <c r="J514" s="19" t="str">
        <f aca="true">IF(ISBLANK(H514), "", I514-TODAY())</f>
        <v/>
      </c>
      <c r="K514" s="19" t="str">
        <f aca="false" t="array" ref="K514:K514">IF(A514&lt;&gt;"",IF(COUNTIF(A515:A$996,"&lt;&gt;")=0,COUNTA(B514:B$996),IFERROR(MATCH(TRUE(),INDEX((A515:A$996&lt;&gt;""),0),0),COUNTA(B514:B$996))),"")</f>
        <v/>
      </c>
      <c r="L514" s="20"/>
    </row>
    <row r="515" customFormat="false" ht="13.8" hidden="false" customHeight="false" outlineLevel="0" collapsed="false">
      <c r="A515" s="16"/>
      <c r="B515" s="16"/>
      <c r="C515" s="17"/>
      <c r="D515" s="17"/>
      <c r="E515" s="17"/>
      <c r="F515" s="18"/>
      <c r="G515" s="19" t="str">
        <f aca="true">IF(F515="", "", DATEDIF(F515, TODAY(), "Y"))</f>
        <v/>
      </c>
      <c r="H515" s="18"/>
      <c r="I515" s="18"/>
      <c r="J515" s="19" t="str">
        <f aca="true">IF(ISBLANK(H515), "", I515-TODAY())</f>
        <v/>
      </c>
      <c r="K515" s="19" t="str">
        <f aca="false" t="array" ref="K515:K515">IF(A515&lt;&gt;"",IF(COUNTIF(A516:A$996,"&lt;&gt;")=0,COUNTA(B515:B$996),IFERROR(MATCH(TRUE(),INDEX((A516:A$996&lt;&gt;""),0),0),COUNTA(B515:B$996))),"")</f>
        <v/>
      </c>
      <c r="L515" s="20"/>
    </row>
    <row r="516" customFormat="false" ht="13.8" hidden="false" customHeight="false" outlineLevel="0" collapsed="false">
      <c r="A516" s="16"/>
      <c r="B516" s="16"/>
      <c r="C516" s="17"/>
      <c r="D516" s="17"/>
      <c r="E516" s="17"/>
      <c r="F516" s="18"/>
      <c r="G516" s="19" t="str">
        <f aca="true">IF(F516="", "", DATEDIF(F516, TODAY(), "Y"))</f>
        <v/>
      </c>
      <c r="H516" s="18"/>
      <c r="I516" s="18"/>
      <c r="J516" s="19" t="str">
        <f aca="true">IF(ISBLANK(H516), "", I516-TODAY())</f>
        <v/>
      </c>
      <c r="K516" s="19" t="str">
        <f aca="false" t="array" ref="K516:K516">IF(A516&lt;&gt;"",IF(COUNTIF(A517:A$996,"&lt;&gt;")=0,COUNTA(B516:B$996),IFERROR(MATCH(TRUE(),INDEX((A517:A$996&lt;&gt;""),0),0),COUNTA(B516:B$996))),"")</f>
        <v/>
      </c>
      <c r="L516" s="20"/>
    </row>
    <row r="517" customFormat="false" ht="13.8" hidden="false" customHeight="false" outlineLevel="0" collapsed="false">
      <c r="A517" s="16"/>
      <c r="B517" s="16"/>
      <c r="C517" s="17"/>
      <c r="D517" s="17"/>
      <c r="E517" s="17"/>
      <c r="F517" s="18"/>
      <c r="G517" s="19" t="str">
        <f aca="true">IF(F517="", "", DATEDIF(F517, TODAY(), "Y"))</f>
        <v/>
      </c>
      <c r="H517" s="18"/>
      <c r="I517" s="18"/>
      <c r="J517" s="19" t="str">
        <f aca="true">IF(ISBLANK(H517), "", I517-TODAY())</f>
        <v/>
      </c>
      <c r="K517" s="19" t="str">
        <f aca="false" t="array" ref="K517:K517">IF(A517&lt;&gt;"",IF(COUNTIF(A518:A$996,"&lt;&gt;")=0,COUNTA(B517:B$996),IFERROR(MATCH(TRUE(),INDEX((A518:A$996&lt;&gt;""),0),0),COUNTA(B517:B$996))),"")</f>
        <v/>
      </c>
      <c r="L517" s="20"/>
    </row>
    <row r="518" customFormat="false" ht="13.8" hidden="false" customHeight="false" outlineLevel="0" collapsed="false">
      <c r="A518" s="16"/>
      <c r="B518" s="16"/>
      <c r="C518" s="17"/>
      <c r="D518" s="17"/>
      <c r="E518" s="17"/>
      <c r="F518" s="18"/>
      <c r="G518" s="19" t="str">
        <f aca="true">IF(F518="", "", DATEDIF(F518, TODAY(), "Y"))</f>
        <v/>
      </c>
      <c r="H518" s="18"/>
      <c r="I518" s="18"/>
      <c r="J518" s="19" t="str">
        <f aca="true">IF(ISBLANK(H518), "", I518-TODAY())</f>
        <v/>
      </c>
      <c r="K518" s="19" t="str">
        <f aca="false" t="array" ref="K518:K518">IF(A518&lt;&gt;"",IF(COUNTIF(A519:A$996,"&lt;&gt;")=0,COUNTA(B518:B$996),IFERROR(MATCH(TRUE(),INDEX((A519:A$996&lt;&gt;""),0),0),COUNTA(B518:B$996))),"")</f>
        <v/>
      </c>
      <c r="L518" s="20"/>
    </row>
    <row r="519" customFormat="false" ht="13.8" hidden="false" customHeight="false" outlineLevel="0" collapsed="false">
      <c r="A519" s="16"/>
      <c r="B519" s="16"/>
      <c r="C519" s="17"/>
      <c r="D519" s="17"/>
      <c r="E519" s="17"/>
      <c r="F519" s="18"/>
      <c r="G519" s="19" t="str">
        <f aca="true">IF(F519="", "", DATEDIF(F519, TODAY(), "Y"))</f>
        <v/>
      </c>
      <c r="H519" s="18"/>
      <c r="I519" s="18"/>
      <c r="J519" s="19" t="str">
        <f aca="true">IF(ISBLANK(H519), "", I519-TODAY())</f>
        <v/>
      </c>
      <c r="K519" s="19" t="str">
        <f aca="false" t="array" ref="K519:K519">IF(A519&lt;&gt;"",IF(COUNTIF(A520:A$996,"&lt;&gt;")=0,COUNTA(B519:B$996),IFERROR(MATCH(TRUE(),INDEX((A520:A$996&lt;&gt;""),0),0),COUNTA(B519:B$996))),"")</f>
        <v/>
      </c>
      <c r="L519" s="20"/>
    </row>
    <row r="520" customFormat="false" ht="13.8" hidden="false" customHeight="false" outlineLevel="0" collapsed="false">
      <c r="A520" s="16"/>
      <c r="B520" s="16"/>
      <c r="C520" s="17"/>
      <c r="D520" s="17"/>
      <c r="E520" s="17"/>
      <c r="F520" s="18"/>
      <c r="G520" s="19" t="str">
        <f aca="true">IF(F520="", "", DATEDIF(F520, TODAY(), "Y"))</f>
        <v/>
      </c>
      <c r="H520" s="18"/>
      <c r="I520" s="18"/>
      <c r="J520" s="19" t="str">
        <f aca="true">IF(ISBLANK(H520), "", I520-TODAY())</f>
        <v/>
      </c>
      <c r="K520" s="19" t="str">
        <f aca="false" t="array" ref="K520:K520">IF(A520&lt;&gt;"",IF(COUNTIF(A521:A$996,"&lt;&gt;")=0,COUNTA(B520:B$996),IFERROR(MATCH(TRUE(),INDEX((A521:A$996&lt;&gt;""),0),0),COUNTA(B520:B$996))),"")</f>
        <v/>
      </c>
      <c r="L520" s="20"/>
    </row>
    <row r="521" customFormat="false" ht="13.8" hidden="false" customHeight="false" outlineLevel="0" collapsed="false">
      <c r="A521" s="16"/>
      <c r="B521" s="16"/>
      <c r="C521" s="17"/>
      <c r="D521" s="17"/>
      <c r="E521" s="17"/>
      <c r="F521" s="18"/>
      <c r="G521" s="19" t="str">
        <f aca="true">IF(F521="", "", DATEDIF(F521, TODAY(), "Y"))</f>
        <v/>
      </c>
      <c r="H521" s="18"/>
      <c r="I521" s="18"/>
      <c r="J521" s="19" t="str">
        <f aca="true">IF(ISBLANK(H521), "", I521-TODAY())</f>
        <v/>
      </c>
      <c r="K521" s="19" t="str">
        <f aca="false" t="array" ref="K521:K521">IF(A521&lt;&gt;"",IF(COUNTIF(A522:A$996,"&lt;&gt;")=0,COUNTA(B521:B$996),IFERROR(MATCH(TRUE(),INDEX((A522:A$996&lt;&gt;""),0),0),COUNTA(B521:B$996))),"")</f>
        <v/>
      </c>
      <c r="L521" s="20"/>
    </row>
    <row r="522" customFormat="false" ht="13.8" hidden="false" customHeight="false" outlineLevel="0" collapsed="false">
      <c r="A522" s="16"/>
      <c r="B522" s="16"/>
      <c r="C522" s="17"/>
      <c r="D522" s="17"/>
      <c r="E522" s="17"/>
      <c r="F522" s="18"/>
      <c r="G522" s="19" t="str">
        <f aca="true">IF(F522="", "", DATEDIF(F522, TODAY(), "Y"))</f>
        <v/>
      </c>
      <c r="H522" s="18"/>
      <c r="I522" s="18"/>
      <c r="J522" s="19" t="str">
        <f aca="true">IF(ISBLANK(H522), "", I522-TODAY())</f>
        <v/>
      </c>
      <c r="K522" s="19" t="str">
        <f aca="false" t="array" ref="K522:K522">IF(A522&lt;&gt;"",IF(COUNTIF(A523:A$996,"&lt;&gt;")=0,COUNTA(B522:B$996),IFERROR(MATCH(TRUE(),INDEX((A523:A$996&lt;&gt;""),0),0),COUNTA(B522:B$996))),"")</f>
        <v/>
      </c>
      <c r="L522" s="20"/>
    </row>
    <row r="523" customFormat="false" ht="13.8" hidden="false" customHeight="false" outlineLevel="0" collapsed="false">
      <c r="A523" s="16"/>
      <c r="B523" s="16"/>
      <c r="C523" s="17"/>
      <c r="D523" s="17"/>
      <c r="E523" s="17"/>
      <c r="F523" s="18"/>
      <c r="G523" s="19" t="str">
        <f aca="true">IF(F523="", "", DATEDIF(F523, TODAY(), "Y"))</f>
        <v/>
      </c>
      <c r="H523" s="18"/>
      <c r="I523" s="18"/>
      <c r="J523" s="19" t="str">
        <f aca="true">IF(ISBLANK(H523), "", I523-TODAY())</f>
        <v/>
      </c>
      <c r="K523" s="19" t="str">
        <f aca="false" t="array" ref="K523:K523">IF(A523&lt;&gt;"",IF(COUNTIF(A524:A$996,"&lt;&gt;")=0,COUNTA(B523:B$996),IFERROR(MATCH(TRUE(),INDEX((A524:A$996&lt;&gt;""),0),0),COUNTA(B523:B$996))),"")</f>
        <v/>
      </c>
      <c r="L523" s="20"/>
    </row>
    <row r="524" customFormat="false" ht="13.8" hidden="false" customHeight="false" outlineLevel="0" collapsed="false">
      <c r="A524" s="16"/>
      <c r="B524" s="16"/>
      <c r="C524" s="17"/>
      <c r="D524" s="17"/>
      <c r="E524" s="17"/>
      <c r="F524" s="18"/>
      <c r="G524" s="19" t="str">
        <f aca="true">IF(F524="", "", DATEDIF(F524, TODAY(), "Y"))</f>
        <v/>
      </c>
      <c r="H524" s="18"/>
      <c r="I524" s="18"/>
      <c r="J524" s="19" t="str">
        <f aca="true">IF(ISBLANK(H524), "", I524-TODAY())</f>
        <v/>
      </c>
      <c r="K524" s="19" t="str">
        <f aca="false" t="array" ref="K524:K524">IF(A524&lt;&gt;"",IF(COUNTIF(A525:A$996,"&lt;&gt;")=0,COUNTA(B524:B$996),IFERROR(MATCH(TRUE(),INDEX((A525:A$996&lt;&gt;""),0),0),COUNTA(B524:B$996))),"")</f>
        <v/>
      </c>
      <c r="L524" s="20"/>
    </row>
    <row r="525" customFormat="false" ht="13.8" hidden="false" customHeight="false" outlineLevel="0" collapsed="false">
      <c r="A525" s="16"/>
      <c r="B525" s="16"/>
      <c r="C525" s="17"/>
      <c r="D525" s="17"/>
      <c r="E525" s="17"/>
      <c r="F525" s="18"/>
      <c r="G525" s="19" t="str">
        <f aca="true">IF(F525="", "", DATEDIF(F525, TODAY(), "Y"))</f>
        <v/>
      </c>
      <c r="H525" s="18"/>
      <c r="I525" s="18"/>
      <c r="J525" s="19" t="str">
        <f aca="true">IF(ISBLANK(H525), "", I525-TODAY())</f>
        <v/>
      </c>
      <c r="K525" s="19" t="str">
        <f aca="false" t="array" ref="K525:K525">IF(A525&lt;&gt;"",IF(COUNTIF(A526:A$996,"&lt;&gt;")=0,COUNTA(B525:B$996),IFERROR(MATCH(TRUE(),INDEX((A526:A$996&lt;&gt;""),0),0),COUNTA(B525:B$996))),"")</f>
        <v/>
      </c>
      <c r="L525" s="20"/>
    </row>
    <row r="526" customFormat="false" ht="13.8" hidden="false" customHeight="false" outlineLevel="0" collapsed="false">
      <c r="A526" s="16"/>
      <c r="B526" s="16"/>
      <c r="C526" s="17"/>
      <c r="D526" s="17"/>
      <c r="E526" s="17"/>
      <c r="F526" s="18"/>
      <c r="G526" s="19" t="str">
        <f aca="true">IF(F526="", "", DATEDIF(F526, TODAY(), "Y"))</f>
        <v/>
      </c>
      <c r="H526" s="18"/>
      <c r="I526" s="18"/>
      <c r="J526" s="19" t="str">
        <f aca="true">IF(ISBLANK(H526), "", I526-TODAY())</f>
        <v/>
      </c>
      <c r="K526" s="19" t="str">
        <f aca="false" t="array" ref="K526:K526">IF(A526&lt;&gt;"",IF(COUNTIF(A527:A$996,"&lt;&gt;")=0,COUNTA(B526:B$996),IFERROR(MATCH(TRUE(),INDEX((A527:A$996&lt;&gt;""),0),0),COUNTA(B526:B$996))),"")</f>
        <v/>
      </c>
      <c r="L526" s="20"/>
    </row>
    <row r="527" customFormat="false" ht="13.8" hidden="false" customHeight="false" outlineLevel="0" collapsed="false">
      <c r="A527" s="16"/>
      <c r="B527" s="16"/>
      <c r="C527" s="17"/>
      <c r="D527" s="17"/>
      <c r="E527" s="17"/>
      <c r="F527" s="18"/>
      <c r="G527" s="19" t="str">
        <f aca="true">IF(F527="", "", DATEDIF(F527, TODAY(), "Y"))</f>
        <v/>
      </c>
      <c r="H527" s="18"/>
      <c r="I527" s="18"/>
      <c r="J527" s="19" t="str">
        <f aca="true">IF(ISBLANK(H527), "", I527-TODAY())</f>
        <v/>
      </c>
      <c r="K527" s="19" t="str">
        <f aca="false" t="array" ref="K527:K527">IF(A527&lt;&gt;"",IF(COUNTIF(A528:A$996,"&lt;&gt;")=0,COUNTA(B527:B$996),IFERROR(MATCH(TRUE(),INDEX((A528:A$996&lt;&gt;""),0),0),COUNTA(B527:B$996))),"")</f>
        <v/>
      </c>
      <c r="L527" s="20"/>
    </row>
    <row r="528" customFormat="false" ht="13.8" hidden="false" customHeight="false" outlineLevel="0" collapsed="false">
      <c r="A528" s="16"/>
      <c r="B528" s="16"/>
      <c r="C528" s="17"/>
      <c r="D528" s="17"/>
      <c r="E528" s="17"/>
      <c r="F528" s="18"/>
      <c r="G528" s="19" t="str">
        <f aca="true">IF(F528="", "", DATEDIF(F528, TODAY(), "Y"))</f>
        <v/>
      </c>
      <c r="H528" s="18"/>
      <c r="I528" s="18"/>
      <c r="J528" s="19" t="str">
        <f aca="true">IF(ISBLANK(H528), "", I528-TODAY())</f>
        <v/>
      </c>
      <c r="K528" s="19" t="str">
        <f aca="false" t="array" ref="K528:K528">IF(A528&lt;&gt;"",IF(COUNTIF(A529:A$996,"&lt;&gt;")=0,COUNTA(B528:B$996),IFERROR(MATCH(TRUE(),INDEX((A529:A$996&lt;&gt;""),0),0),COUNTA(B528:B$996))),"")</f>
        <v/>
      </c>
      <c r="L528" s="20"/>
    </row>
    <row r="529" customFormat="false" ht="13.8" hidden="false" customHeight="false" outlineLevel="0" collapsed="false">
      <c r="A529" s="16"/>
      <c r="B529" s="16"/>
      <c r="C529" s="17"/>
      <c r="D529" s="17"/>
      <c r="E529" s="17"/>
      <c r="F529" s="18"/>
      <c r="G529" s="19" t="str">
        <f aca="true">IF(F529="", "", DATEDIF(F529, TODAY(), "Y"))</f>
        <v/>
      </c>
      <c r="H529" s="18"/>
      <c r="I529" s="18"/>
      <c r="J529" s="19" t="str">
        <f aca="true">IF(ISBLANK(H529), "", I529-TODAY())</f>
        <v/>
      </c>
      <c r="K529" s="19" t="str">
        <f aca="false" t="array" ref="K529:K529">IF(A529&lt;&gt;"",IF(COUNTIF(A530:A$996,"&lt;&gt;")=0,COUNTA(B529:B$996),IFERROR(MATCH(TRUE(),INDEX((A530:A$996&lt;&gt;""),0),0),COUNTA(B529:B$996))),"")</f>
        <v/>
      </c>
      <c r="L529" s="20"/>
    </row>
    <row r="530" customFormat="false" ht="13.8" hidden="false" customHeight="false" outlineLevel="0" collapsed="false">
      <c r="A530" s="16"/>
      <c r="B530" s="16"/>
      <c r="C530" s="17"/>
      <c r="D530" s="17"/>
      <c r="E530" s="17"/>
      <c r="F530" s="18"/>
      <c r="G530" s="19" t="str">
        <f aca="true">IF(F530="", "", DATEDIF(F530, TODAY(), "Y"))</f>
        <v/>
      </c>
      <c r="H530" s="18"/>
      <c r="I530" s="18"/>
      <c r="J530" s="19" t="str">
        <f aca="true">IF(ISBLANK(H530), "", I530-TODAY())</f>
        <v/>
      </c>
      <c r="K530" s="19" t="str">
        <f aca="false" t="array" ref="K530:K530">IF(A530&lt;&gt;"",IF(COUNTIF(A531:A$996,"&lt;&gt;")=0,COUNTA(B530:B$996),IFERROR(MATCH(TRUE(),INDEX((A531:A$996&lt;&gt;""),0),0),COUNTA(B530:B$996))),"")</f>
        <v/>
      </c>
      <c r="L530" s="20"/>
    </row>
    <row r="531" customFormat="false" ht="13.8" hidden="false" customHeight="false" outlineLevel="0" collapsed="false">
      <c r="A531" s="16"/>
      <c r="B531" s="16"/>
      <c r="C531" s="17"/>
      <c r="D531" s="17"/>
      <c r="E531" s="17"/>
      <c r="F531" s="18"/>
      <c r="G531" s="19" t="str">
        <f aca="true">IF(F531="", "", DATEDIF(F531, TODAY(), "Y"))</f>
        <v/>
      </c>
      <c r="H531" s="18"/>
      <c r="I531" s="18"/>
      <c r="J531" s="19" t="str">
        <f aca="true">IF(ISBLANK(H531), "", I531-TODAY())</f>
        <v/>
      </c>
      <c r="K531" s="19" t="str">
        <f aca="false" t="array" ref="K531:K531">IF(A531&lt;&gt;"",IF(COUNTIF(A532:A$996,"&lt;&gt;")=0,COUNTA(B531:B$996),IFERROR(MATCH(TRUE(),INDEX((A532:A$996&lt;&gt;""),0),0),COUNTA(B531:B$996))),"")</f>
        <v/>
      </c>
      <c r="L531" s="20"/>
    </row>
    <row r="532" customFormat="false" ht="13.8" hidden="false" customHeight="false" outlineLevel="0" collapsed="false">
      <c r="A532" s="16"/>
      <c r="B532" s="16"/>
      <c r="C532" s="17"/>
      <c r="D532" s="17"/>
      <c r="E532" s="17"/>
      <c r="F532" s="18"/>
      <c r="G532" s="19" t="str">
        <f aca="true">IF(F532="", "", DATEDIF(F532, TODAY(), "Y"))</f>
        <v/>
      </c>
      <c r="H532" s="18"/>
      <c r="I532" s="18"/>
      <c r="J532" s="19" t="str">
        <f aca="true">IF(ISBLANK(H532), "", I532-TODAY())</f>
        <v/>
      </c>
      <c r="K532" s="19" t="str">
        <f aca="false" t="array" ref="K532:K532">IF(A532&lt;&gt;"",IF(COUNTIF(A533:A$996,"&lt;&gt;")=0,COUNTA(B532:B$996),IFERROR(MATCH(TRUE(),INDEX((A533:A$996&lt;&gt;""),0),0),COUNTA(B532:B$996))),"")</f>
        <v/>
      </c>
      <c r="L532" s="20"/>
    </row>
    <row r="533" customFormat="false" ht="13.8" hidden="false" customHeight="false" outlineLevel="0" collapsed="false">
      <c r="A533" s="16"/>
      <c r="B533" s="16"/>
      <c r="C533" s="17"/>
      <c r="D533" s="17"/>
      <c r="E533" s="17"/>
      <c r="F533" s="18"/>
      <c r="G533" s="19" t="str">
        <f aca="true">IF(F533="", "", DATEDIF(F533, TODAY(), "Y"))</f>
        <v/>
      </c>
      <c r="H533" s="18"/>
      <c r="I533" s="18"/>
      <c r="J533" s="19" t="str">
        <f aca="true">IF(ISBLANK(H533), "", I533-TODAY())</f>
        <v/>
      </c>
      <c r="K533" s="19" t="str">
        <f aca="false" t="array" ref="K533:K533">IF(A533&lt;&gt;"",IF(COUNTIF(A534:A$996,"&lt;&gt;")=0,COUNTA(B533:B$996),IFERROR(MATCH(TRUE(),INDEX((A534:A$996&lt;&gt;""),0),0),COUNTA(B533:B$996))),"")</f>
        <v/>
      </c>
      <c r="L533" s="20"/>
    </row>
    <row r="534" customFormat="false" ht="13.8" hidden="false" customHeight="false" outlineLevel="0" collapsed="false">
      <c r="A534" s="16"/>
      <c r="B534" s="16"/>
      <c r="C534" s="17"/>
      <c r="D534" s="17"/>
      <c r="E534" s="17"/>
      <c r="F534" s="18"/>
      <c r="G534" s="19" t="str">
        <f aca="true">IF(F534="", "", DATEDIF(F534, TODAY(), "Y"))</f>
        <v/>
      </c>
      <c r="H534" s="18"/>
      <c r="I534" s="18"/>
      <c r="J534" s="19" t="str">
        <f aca="true">IF(ISBLANK(H534), "", I534-TODAY())</f>
        <v/>
      </c>
      <c r="K534" s="19" t="str">
        <f aca="false" t="array" ref="K534:K534">IF(A534&lt;&gt;"",IF(COUNTIF(A535:A$996,"&lt;&gt;")=0,COUNTA(B534:B$996),IFERROR(MATCH(TRUE(),INDEX((A535:A$996&lt;&gt;""),0),0),COUNTA(B534:B$996))),"")</f>
        <v/>
      </c>
      <c r="L534" s="20"/>
    </row>
    <row r="535" customFormat="false" ht="13.8" hidden="false" customHeight="false" outlineLevel="0" collapsed="false">
      <c r="A535" s="16"/>
      <c r="B535" s="16"/>
      <c r="C535" s="17"/>
      <c r="D535" s="17"/>
      <c r="E535" s="17"/>
      <c r="F535" s="18"/>
      <c r="G535" s="19" t="str">
        <f aca="true">IF(F535="", "", DATEDIF(F535, TODAY(), "Y"))</f>
        <v/>
      </c>
      <c r="H535" s="18"/>
      <c r="I535" s="18"/>
      <c r="J535" s="19" t="str">
        <f aca="true">IF(ISBLANK(H535), "", I535-TODAY())</f>
        <v/>
      </c>
      <c r="K535" s="19" t="str">
        <f aca="false" t="array" ref="K535:K535">IF(A535&lt;&gt;"",IF(COUNTIF(A536:A$996,"&lt;&gt;")=0,COUNTA(B535:B$996),IFERROR(MATCH(TRUE(),INDEX((A536:A$996&lt;&gt;""),0),0),COUNTA(B535:B$996))),"")</f>
        <v/>
      </c>
      <c r="L535" s="20"/>
    </row>
    <row r="536" customFormat="false" ht="13.8" hidden="false" customHeight="false" outlineLevel="0" collapsed="false">
      <c r="A536" s="16"/>
      <c r="B536" s="16"/>
      <c r="C536" s="17"/>
      <c r="D536" s="17"/>
      <c r="E536" s="17"/>
      <c r="F536" s="18"/>
      <c r="G536" s="19" t="str">
        <f aca="true">IF(F536="", "", DATEDIF(F536, TODAY(), "Y"))</f>
        <v/>
      </c>
      <c r="H536" s="18"/>
      <c r="I536" s="18"/>
      <c r="J536" s="19" t="str">
        <f aca="true">IF(ISBLANK(H536), "", I536-TODAY())</f>
        <v/>
      </c>
      <c r="K536" s="19" t="str">
        <f aca="false" t="array" ref="K536:K536">IF(A536&lt;&gt;"",IF(COUNTIF(A537:A$996,"&lt;&gt;")=0,COUNTA(B536:B$996),IFERROR(MATCH(TRUE(),INDEX((A537:A$996&lt;&gt;""),0),0),COUNTA(B536:B$996))),"")</f>
        <v/>
      </c>
      <c r="L536" s="20"/>
    </row>
    <row r="537" customFormat="false" ht="13.8" hidden="false" customHeight="false" outlineLevel="0" collapsed="false">
      <c r="A537" s="16"/>
      <c r="B537" s="16"/>
      <c r="C537" s="17"/>
      <c r="D537" s="17"/>
      <c r="E537" s="17"/>
      <c r="F537" s="18"/>
      <c r="G537" s="19" t="str">
        <f aca="true">IF(F537="", "", DATEDIF(F537, TODAY(), "Y"))</f>
        <v/>
      </c>
      <c r="H537" s="18"/>
      <c r="I537" s="18"/>
      <c r="J537" s="19" t="str">
        <f aca="true">IF(ISBLANK(H537), "", I537-TODAY())</f>
        <v/>
      </c>
      <c r="K537" s="19" t="str">
        <f aca="false" t="array" ref="K537:K537">IF(A537&lt;&gt;"",IF(COUNTIF(A538:A$996,"&lt;&gt;")=0,COUNTA(B537:B$996),IFERROR(MATCH(TRUE(),INDEX((A538:A$996&lt;&gt;""),0),0),COUNTA(B537:B$996))),"")</f>
        <v/>
      </c>
      <c r="L537" s="20"/>
    </row>
    <row r="538" customFormat="false" ht="13.8" hidden="false" customHeight="false" outlineLevel="0" collapsed="false">
      <c r="A538" s="16"/>
      <c r="B538" s="16"/>
      <c r="C538" s="17"/>
      <c r="D538" s="17"/>
      <c r="E538" s="17"/>
      <c r="F538" s="18"/>
      <c r="G538" s="19" t="str">
        <f aca="true">IF(F538="", "", DATEDIF(F538, TODAY(), "Y"))</f>
        <v/>
      </c>
      <c r="H538" s="18"/>
      <c r="I538" s="18"/>
      <c r="J538" s="19" t="str">
        <f aca="true">IF(ISBLANK(H538), "", I538-TODAY())</f>
        <v/>
      </c>
      <c r="K538" s="19" t="str">
        <f aca="false" t="array" ref="K538:K538">IF(A538&lt;&gt;"",IF(COUNTIF(A539:A$996,"&lt;&gt;")=0,COUNTA(B538:B$996),IFERROR(MATCH(TRUE(),INDEX((A539:A$996&lt;&gt;""),0),0),COUNTA(B538:B$996))),"")</f>
        <v/>
      </c>
      <c r="L538" s="20"/>
    </row>
    <row r="539" customFormat="false" ht="13.8" hidden="false" customHeight="false" outlineLevel="0" collapsed="false">
      <c r="A539" s="16"/>
      <c r="B539" s="16"/>
      <c r="C539" s="17"/>
      <c r="D539" s="17"/>
      <c r="E539" s="17"/>
      <c r="F539" s="18"/>
      <c r="G539" s="19" t="str">
        <f aca="true">IF(F539="", "", DATEDIF(F539, TODAY(), "Y"))</f>
        <v/>
      </c>
      <c r="H539" s="18"/>
      <c r="I539" s="18"/>
      <c r="J539" s="19" t="str">
        <f aca="true">IF(ISBLANK(H539), "", I539-TODAY())</f>
        <v/>
      </c>
      <c r="K539" s="19" t="str">
        <f aca="false" t="array" ref="K539:K539">IF(A539&lt;&gt;"",IF(COUNTIF(A540:A$996,"&lt;&gt;")=0,COUNTA(B539:B$996),IFERROR(MATCH(TRUE(),INDEX((A540:A$996&lt;&gt;""),0),0),COUNTA(B539:B$996))),"")</f>
        <v/>
      </c>
      <c r="L539" s="20"/>
    </row>
    <row r="540" customFormat="false" ht="13.8" hidden="false" customHeight="false" outlineLevel="0" collapsed="false">
      <c r="A540" s="16"/>
      <c r="B540" s="16"/>
      <c r="C540" s="17"/>
      <c r="D540" s="17"/>
      <c r="E540" s="17"/>
      <c r="F540" s="18"/>
      <c r="G540" s="19" t="str">
        <f aca="true">IF(F540="", "", DATEDIF(F540, TODAY(), "Y"))</f>
        <v/>
      </c>
      <c r="H540" s="18"/>
      <c r="I540" s="18"/>
      <c r="J540" s="19" t="str">
        <f aca="true">IF(ISBLANK(H540), "", I540-TODAY())</f>
        <v/>
      </c>
      <c r="K540" s="19" t="str">
        <f aca="false" t="array" ref="K540:K540">IF(A540&lt;&gt;"",IF(COUNTIF(A541:A$996,"&lt;&gt;")=0,COUNTA(B540:B$996),IFERROR(MATCH(TRUE(),INDEX((A541:A$996&lt;&gt;""),0),0),COUNTA(B540:B$996))),"")</f>
        <v/>
      </c>
      <c r="L540" s="20"/>
    </row>
    <row r="541" customFormat="false" ht="13.8" hidden="false" customHeight="false" outlineLevel="0" collapsed="false">
      <c r="A541" s="16"/>
      <c r="B541" s="16"/>
      <c r="C541" s="17"/>
      <c r="D541" s="17"/>
      <c r="E541" s="17"/>
      <c r="F541" s="18"/>
      <c r="G541" s="19" t="str">
        <f aca="true">IF(F541="", "", DATEDIF(F541, TODAY(), "Y"))</f>
        <v/>
      </c>
      <c r="H541" s="18"/>
      <c r="I541" s="18"/>
      <c r="J541" s="19" t="str">
        <f aca="true">IF(ISBLANK(H541), "", I541-TODAY())</f>
        <v/>
      </c>
      <c r="K541" s="19" t="str">
        <f aca="false" t="array" ref="K541:K541">IF(A541&lt;&gt;"",IF(COUNTIF(A542:A$996,"&lt;&gt;")=0,COUNTA(B541:B$996),IFERROR(MATCH(TRUE(),INDEX((A542:A$996&lt;&gt;""),0),0),COUNTA(B541:B$996))),"")</f>
        <v/>
      </c>
      <c r="L541" s="20"/>
    </row>
    <row r="542" customFormat="false" ht="13.8" hidden="false" customHeight="false" outlineLevel="0" collapsed="false">
      <c r="A542" s="16"/>
      <c r="B542" s="16"/>
      <c r="C542" s="17"/>
      <c r="D542" s="17"/>
      <c r="E542" s="17"/>
      <c r="F542" s="18"/>
      <c r="G542" s="19" t="str">
        <f aca="true">IF(F542="", "", DATEDIF(F542, TODAY(), "Y"))</f>
        <v/>
      </c>
      <c r="H542" s="18"/>
      <c r="I542" s="18"/>
      <c r="J542" s="19" t="str">
        <f aca="true">IF(ISBLANK(H542), "", I542-TODAY())</f>
        <v/>
      </c>
      <c r="K542" s="19" t="str">
        <f aca="false" t="array" ref="K542:K542">IF(A542&lt;&gt;"",IF(COUNTIF(A543:A$996,"&lt;&gt;")=0,COUNTA(B542:B$996),IFERROR(MATCH(TRUE(),INDEX((A543:A$996&lt;&gt;""),0),0),COUNTA(B542:B$996))),"")</f>
        <v/>
      </c>
      <c r="L542" s="20"/>
    </row>
    <row r="543" customFormat="false" ht="13.8" hidden="false" customHeight="false" outlineLevel="0" collapsed="false">
      <c r="A543" s="16"/>
      <c r="B543" s="16"/>
      <c r="C543" s="17"/>
      <c r="D543" s="17"/>
      <c r="E543" s="17"/>
      <c r="F543" s="18"/>
      <c r="G543" s="19" t="str">
        <f aca="true">IF(F543="", "", DATEDIF(F543, TODAY(), "Y"))</f>
        <v/>
      </c>
      <c r="H543" s="18"/>
      <c r="I543" s="18"/>
      <c r="J543" s="19" t="str">
        <f aca="true">IF(ISBLANK(H543), "", I543-TODAY())</f>
        <v/>
      </c>
      <c r="K543" s="19" t="str">
        <f aca="false" t="array" ref="K543:K543">IF(A543&lt;&gt;"",IF(COUNTIF(A544:A$996,"&lt;&gt;")=0,COUNTA(B543:B$996),IFERROR(MATCH(TRUE(),INDEX((A544:A$996&lt;&gt;""),0),0),COUNTA(B543:B$996))),"")</f>
        <v/>
      </c>
      <c r="L543" s="20"/>
    </row>
    <row r="544" customFormat="false" ht="13.8" hidden="false" customHeight="false" outlineLevel="0" collapsed="false">
      <c r="A544" s="16"/>
      <c r="B544" s="16"/>
      <c r="C544" s="17"/>
      <c r="D544" s="17"/>
      <c r="E544" s="17"/>
      <c r="F544" s="18"/>
      <c r="G544" s="19" t="str">
        <f aca="true">IF(F544="", "", DATEDIF(F544, TODAY(), "Y"))</f>
        <v/>
      </c>
      <c r="H544" s="18"/>
      <c r="I544" s="18"/>
      <c r="J544" s="19" t="str">
        <f aca="true">IF(ISBLANK(H544), "", I544-TODAY())</f>
        <v/>
      </c>
      <c r="K544" s="19" t="str">
        <f aca="false" t="array" ref="K544:K544">IF(A544&lt;&gt;"",IF(COUNTIF(A545:A$996,"&lt;&gt;")=0,COUNTA(B544:B$996),IFERROR(MATCH(TRUE(),INDEX((A545:A$996&lt;&gt;""),0),0),COUNTA(B544:B$996))),"")</f>
        <v/>
      </c>
      <c r="L544" s="20"/>
    </row>
    <row r="545" customFormat="false" ht="13.8" hidden="false" customHeight="false" outlineLevel="0" collapsed="false">
      <c r="A545" s="16"/>
      <c r="B545" s="16"/>
      <c r="C545" s="17"/>
      <c r="D545" s="17"/>
      <c r="E545" s="17"/>
      <c r="F545" s="18"/>
      <c r="G545" s="19" t="str">
        <f aca="true">IF(F545="", "", DATEDIF(F545, TODAY(), "Y"))</f>
        <v/>
      </c>
      <c r="H545" s="18"/>
      <c r="I545" s="18"/>
      <c r="J545" s="19" t="str">
        <f aca="true">IF(ISBLANK(H545), "", I545-TODAY())</f>
        <v/>
      </c>
      <c r="K545" s="19" t="str">
        <f aca="false" t="array" ref="K545:K545">IF(A545&lt;&gt;"",IF(COUNTIF(A546:A$996,"&lt;&gt;")=0,COUNTA(B545:B$996),IFERROR(MATCH(TRUE(),INDEX((A546:A$996&lt;&gt;""),0),0),COUNTA(B545:B$996))),"")</f>
        <v/>
      </c>
      <c r="L545" s="20"/>
    </row>
    <row r="546" customFormat="false" ht="13.8" hidden="false" customHeight="false" outlineLevel="0" collapsed="false">
      <c r="A546" s="16"/>
      <c r="B546" s="16"/>
      <c r="C546" s="17"/>
      <c r="D546" s="17"/>
      <c r="E546" s="17"/>
      <c r="F546" s="18"/>
      <c r="G546" s="19" t="str">
        <f aca="true">IF(F546="", "", DATEDIF(F546, TODAY(), "Y"))</f>
        <v/>
      </c>
      <c r="H546" s="18"/>
      <c r="I546" s="18"/>
      <c r="J546" s="19" t="str">
        <f aca="true">IF(ISBLANK(H546), "", I546-TODAY())</f>
        <v/>
      </c>
      <c r="K546" s="19" t="str">
        <f aca="false" t="array" ref="K546:K546">IF(A546&lt;&gt;"",IF(COUNTIF(A547:A$996,"&lt;&gt;")=0,COUNTA(B546:B$996),IFERROR(MATCH(TRUE(),INDEX((A547:A$996&lt;&gt;""),0),0),COUNTA(B546:B$996))),"")</f>
        <v/>
      </c>
      <c r="L546" s="20"/>
    </row>
    <row r="547" customFormat="false" ht="13.8" hidden="false" customHeight="false" outlineLevel="0" collapsed="false">
      <c r="A547" s="16"/>
      <c r="B547" s="16"/>
      <c r="C547" s="17"/>
      <c r="D547" s="17"/>
      <c r="E547" s="17"/>
      <c r="F547" s="18"/>
      <c r="G547" s="19" t="str">
        <f aca="true">IF(F547="", "", DATEDIF(F547, TODAY(), "Y"))</f>
        <v/>
      </c>
      <c r="H547" s="18"/>
      <c r="I547" s="18"/>
      <c r="J547" s="19" t="str">
        <f aca="true">IF(ISBLANK(H547), "", I547-TODAY())</f>
        <v/>
      </c>
      <c r="K547" s="19" t="str">
        <f aca="false" t="array" ref="K547:K547">IF(A547&lt;&gt;"",IF(COUNTIF(A548:A$996,"&lt;&gt;")=0,COUNTA(B547:B$996),IFERROR(MATCH(TRUE(),INDEX((A548:A$996&lt;&gt;""),0),0),COUNTA(B547:B$996))),"")</f>
        <v/>
      </c>
      <c r="L547" s="20"/>
    </row>
    <row r="548" customFormat="false" ht="13.8" hidden="false" customHeight="false" outlineLevel="0" collapsed="false">
      <c r="A548" s="16"/>
      <c r="B548" s="16"/>
      <c r="C548" s="17"/>
      <c r="D548" s="17"/>
      <c r="E548" s="17"/>
      <c r="F548" s="18"/>
      <c r="G548" s="19" t="str">
        <f aca="true">IF(F548="", "", DATEDIF(F548, TODAY(), "Y"))</f>
        <v/>
      </c>
      <c r="H548" s="18"/>
      <c r="I548" s="18"/>
      <c r="J548" s="19" t="str">
        <f aca="true">IF(ISBLANK(H548), "", I548-TODAY())</f>
        <v/>
      </c>
      <c r="K548" s="19" t="str">
        <f aca="false" t="array" ref="K548:K548">IF(A548&lt;&gt;"",IF(COUNTIF(A549:A$996,"&lt;&gt;")=0,COUNTA(B548:B$996),IFERROR(MATCH(TRUE(),INDEX((A549:A$996&lt;&gt;""),0),0),COUNTA(B548:B$996))),"")</f>
        <v/>
      </c>
      <c r="L548" s="20"/>
    </row>
    <row r="549" customFormat="false" ht="13.8" hidden="false" customHeight="false" outlineLevel="0" collapsed="false">
      <c r="A549" s="16"/>
      <c r="B549" s="16"/>
      <c r="C549" s="17"/>
      <c r="D549" s="17"/>
      <c r="E549" s="17"/>
      <c r="F549" s="18"/>
      <c r="G549" s="19" t="str">
        <f aca="true">IF(F549="", "", DATEDIF(F549, TODAY(), "Y"))</f>
        <v/>
      </c>
      <c r="H549" s="18"/>
      <c r="I549" s="18"/>
      <c r="J549" s="19" t="str">
        <f aca="true">IF(ISBLANK(H549), "", I549-TODAY())</f>
        <v/>
      </c>
      <c r="K549" s="19" t="str">
        <f aca="false" t="array" ref="K549:K549">IF(A549&lt;&gt;"",IF(COUNTIF(A550:A$996,"&lt;&gt;")=0,COUNTA(B549:B$996),IFERROR(MATCH(TRUE(),INDEX((A550:A$996&lt;&gt;""),0),0),COUNTA(B549:B$996))),"")</f>
        <v/>
      </c>
      <c r="L549" s="20"/>
    </row>
    <row r="550" customFormat="false" ht="13.8" hidden="false" customHeight="false" outlineLevel="0" collapsed="false">
      <c r="A550" s="16"/>
      <c r="B550" s="16"/>
      <c r="C550" s="17"/>
      <c r="D550" s="17"/>
      <c r="E550" s="17"/>
      <c r="F550" s="18"/>
      <c r="G550" s="19" t="str">
        <f aca="true">IF(F550="", "", DATEDIF(F550, TODAY(), "Y"))</f>
        <v/>
      </c>
      <c r="H550" s="18"/>
      <c r="I550" s="18"/>
      <c r="J550" s="19" t="str">
        <f aca="true">IF(ISBLANK(H550), "", I550-TODAY())</f>
        <v/>
      </c>
      <c r="K550" s="19" t="str">
        <f aca="false" t="array" ref="K550:K550">IF(A550&lt;&gt;"",IF(COUNTIF(A551:A$996,"&lt;&gt;")=0,COUNTA(B550:B$996),IFERROR(MATCH(TRUE(),INDEX((A551:A$996&lt;&gt;""),0),0),COUNTA(B550:B$996))),"")</f>
        <v/>
      </c>
      <c r="L550" s="20"/>
    </row>
    <row r="551" customFormat="false" ht="13.8" hidden="false" customHeight="false" outlineLevel="0" collapsed="false">
      <c r="A551" s="16"/>
      <c r="B551" s="16"/>
      <c r="C551" s="17"/>
      <c r="D551" s="17"/>
      <c r="E551" s="17"/>
      <c r="F551" s="18"/>
      <c r="G551" s="19" t="str">
        <f aca="true">IF(F551="", "", DATEDIF(F551, TODAY(), "Y"))</f>
        <v/>
      </c>
      <c r="H551" s="18"/>
      <c r="I551" s="18"/>
      <c r="J551" s="19" t="str">
        <f aca="true">IF(ISBLANK(H551), "", I551-TODAY())</f>
        <v/>
      </c>
      <c r="K551" s="19" t="str">
        <f aca="false" t="array" ref="K551:K551">IF(A551&lt;&gt;"",IF(COUNTIF(A552:A$996,"&lt;&gt;")=0,COUNTA(B551:B$996),IFERROR(MATCH(TRUE(),INDEX((A552:A$996&lt;&gt;""),0),0),COUNTA(B551:B$996))),"")</f>
        <v/>
      </c>
      <c r="L551" s="20"/>
    </row>
    <row r="552" customFormat="false" ht="13.8" hidden="false" customHeight="false" outlineLevel="0" collapsed="false">
      <c r="A552" s="16"/>
      <c r="B552" s="16"/>
      <c r="C552" s="17"/>
      <c r="D552" s="17"/>
      <c r="E552" s="17"/>
      <c r="F552" s="18"/>
      <c r="G552" s="19" t="str">
        <f aca="true">IF(F552="", "", DATEDIF(F552, TODAY(), "Y"))</f>
        <v/>
      </c>
      <c r="H552" s="18"/>
      <c r="I552" s="18"/>
      <c r="J552" s="19" t="str">
        <f aca="true">IF(ISBLANK(H552), "", I552-TODAY())</f>
        <v/>
      </c>
      <c r="K552" s="19" t="str">
        <f aca="false" t="array" ref="K552:K552">IF(A552&lt;&gt;"",IF(COUNTIF(A553:A$996,"&lt;&gt;")=0,COUNTA(B552:B$996),IFERROR(MATCH(TRUE(),INDEX((A553:A$996&lt;&gt;""),0),0),COUNTA(B552:B$996))),"")</f>
        <v/>
      </c>
      <c r="L552" s="20"/>
    </row>
    <row r="553" customFormat="false" ht="13.8" hidden="false" customHeight="false" outlineLevel="0" collapsed="false">
      <c r="A553" s="16"/>
      <c r="B553" s="16"/>
      <c r="C553" s="17"/>
      <c r="D553" s="17"/>
      <c r="E553" s="17"/>
      <c r="F553" s="18"/>
      <c r="G553" s="19" t="str">
        <f aca="true">IF(F553="", "", DATEDIF(F553, TODAY(), "Y"))</f>
        <v/>
      </c>
      <c r="H553" s="18"/>
      <c r="I553" s="18"/>
      <c r="J553" s="19" t="str">
        <f aca="true">IF(ISBLANK(H553), "", I553-TODAY())</f>
        <v/>
      </c>
      <c r="K553" s="19" t="str">
        <f aca="false" t="array" ref="K553:K553">IF(A553&lt;&gt;"",IF(COUNTIF(A554:A$996,"&lt;&gt;")=0,COUNTA(B553:B$996),IFERROR(MATCH(TRUE(),INDEX((A554:A$996&lt;&gt;""),0),0),COUNTA(B553:B$996))),"")</f>
        <v/>
      </c>
      <c r="L553" s="20"/>
    </row>
    <row r="554" customFormat="false" ht="13.8" hidden="false" customHeight="false" outlineLevel="0" collapsed="false">
      <c r="A554" s="16"/>
      <c r="B554" s="16"/>
      <c r="C554" s="17"/>
      <c r="D554" s="17"/>
      <c r="E554" s="17"/>
      <c r="F554" s="18"/>
      <c r="G554" s="19" t="str">
        <f aca="true">IF(F554="", "", DATEDIF(F554, TODAY(), "Y"))</f>
        <v/>
      </c>
      <c r="H554" s="18"/>
      <c r="I554" s="18"/>
      <c r="J554" s="19" t="str">
        <f aca="true">IF(ISBLANK(H554), "", I554-TODAY())</f>
        <v/>
      </c>
      <c r="K554" s="19" t="str">
        <f aca="false" t="array" ref="K554:K554">IF(A554&lt;&gt;"",IF(COUNTIF(A555:A$996,"&lt;&gt;")=0,COUNTA(B554:B$996),IFERROR(MATCH(TRUE(),INDEX((A555:A$996&lt;&gt;""),0),0),COUNTA(B554:B$996))),"")</f>
        <v/>
      </c>
      <c r="L554" s="20"/>
    </row>
    <row r="555" customFormat="false" ht="13.8" hidden="false" customHeight="false" outlineLevel="0" collapsed="false">
      <c r="A555" s="16"/>
      <c r="B555" s="16"/>
      <c r="C555" s="17"/>
      <c r="D555" s="17"/>
      <c r="E555" s="17"/>
      <c r="F555" s="18"/>
      <c r="G555" s="19" t="str">
        <f aca="true">IF(F555="", "", DATEDIF(F555, TODAY(), "Y"))</f>
        <v/>
      </c>
      <c r="H555" s="18"/>
      <c r="I555" s="18"/>
      <c r="J555" s="19" t="str">
        <f aca="true">IF(ISBLANK(H555), "", I555-TODAY())</f>
        <v/>
      </c>
      <c r="K555" s="19" t="str">
        <f aca="false" t="array" ref="K555:K555">IF(A555&lt;&gt;"",IF(COUNTIF(A556:A$996,"&lt;&gt;")=0,COUNTA(B555:B$996),IFERROR(MATCH(TRUE(),INDEX((A556:A$996&lt;&gt;""),0),0),COUNTA(B555:B$996))),"")</f>
        <v/>
      </c>
      <c r="L555" s="20"/>
    </row>
    <row r="556" customFormat="false" ht="13.8" hidden="false" customHeight="false" outlineLevel="0" collapsed="false">
      <c r="A556" s="16"/>
      <c r="B556" s="16"/>
      <c r="C556" s="17"/>
      <c r="D556" s="17"/>
      <c r="E556" s="17"/>
      <c r="F556" s="18"/>
      <c r="G556" s="19" t="str">
        <f aca="true">IF(F556="", "", DATEDIF(F556, TODAY(), "Y"))</f>
        <v/>
      </c>
      <c r="H556" s="18"/>
      <c r="I556" s="18"/>
      <c r="J556" s="19" t="str">
        <f aca="true">IF(ISBLANK(H556), "", I556-TODAY())</f>
        <v/>
      </c>
      <c r="K556" s="19" t="str">
        <f aca="false" t="array" ref="K556:K556">IF(A556&lt;&gt;"",IF(COUNTIF(A557:A$996,"&lt;&gt;")=0,COUNTA(B556:B$996),IFERROR(MATCH(TRUE(),INDEX((A557:A$996&lt;&gt;""),0),0),COUNTA(B556:B$996))),"")</f>
        <v/>
      </c>
      <c r="L556" s="20"/>
    </row>
    <row r="557" customFormat="false" ht="13.8" hidden="false" customHeight="false" outlineLevel="0" collapsed="false">
      <c r="A557" s="16"/>
      <c r="B557" s="16"/>
      <c r="C557" s="17"/>
      <c r="D557" s="17"/>
      <c r="E557" s="17"/>
      <c r="F557" s="18"/>
      <c r="G557" s="19" t="str">
        <f aca="true">IF(F557="", "", DATEDIF(F557, TODAY(), "Y"))</f>
        <v/>
      </c>
      <c r="H557" s="18"/>
      <c r="I557" s="18"/>
      <c r="J557" s="19" t="str">
        <f aca="true">IF(ISBLANK(H557), "", I557-TODAY())</f>
        <v/>
      </c>
      <c r="K557" s="19" t="str">
        <f aca="false" t="array" ref="K557:K557">IF(A557&lt;&gt;"",IF(COUNTIF(A558:A$996,"&lt;&gt;")=0,COUNTA(B557:B$996),IFERROR(MATCH(TRUE(),INDEX((A558:A$996&lt;&gt;""),0),0),COUNTA(B557:B$996))),"")</f>
        <v/>
      </c>
      <c r="L557" s="20"/>
    </row>
    <row r="558" customFormat="false" ht="13.8" hidden="false" customHeight="false" outlineLevel="0" collapsed="false">
      <c r="A558" s="16"/>
      <c r="B558" s="16"/>
      <c r="C558" s="17"/>
      <c r="D558" s="17"/>
      <c r="E558" s="17"/>
      <c r="F558" s="18"/>
      <c r="G558" s="19" t="str">
        <f aca="true">IF(F558="", "", DATEDIF(F558, TODAY(), "Y"))</f>
        <v/>
      </c>
      <c r="H558" s="18"/>
      <c r="I558" s="18"/>
      <c r="J558" s="19" t="str">
        <f aca="true">IF(ISBLANK(H558), "", I558-TODAY())</f>
        <v/>
      </c>
      <c r="K558" s="19" t="str">
        <f aca="false" t="array" ref="K558:K558">IF(A558&lt;&gt;"",IF(COUNTIF(A559:A$996,"&lt;&gt;")=0,COUNTA(B558:B$996),IFERROR(MATCH(TRUE(),INDEX((A559:A$996&lt;&gt;""),0),0),COUNTA(B558:B$996))),"")</f>
        <v/>
      </c>
      <c r="L558" s="20"/>
    </row>
    <row r="559" customFormat="false" ht="13.8" hidden="false" customHeight="false" outlineLevel="0" collapsed="false">
      <c r="A559" s="16"/>
      <c r="B559" s="16"/>
      <c r="C559" s="17"/>
      <c r="D559" s="17"/>
      <c r="E559" s="17"/>
      <c r="F559" s="18"/>
      <c r="G559" s="19" t="str">
        <f aca="true">IF(F559="", "", DATEDIF(F559, TODAY(), "Y"))</f>
        <v/>
      </c>
      <c r="H559" s="18"/>
      <c r="I559" s="18"/>
      <c r="J559" s="19" t="str">
        <f aca="true">IF(ISBLANK(H559), "", I559-TODAY())</f>
        <v/>
      </c>
      <c r="K559" s="19" t="str">
        <f aca="false" t="array" ref="K559:K559">IF(A559&lt;&gt;"",IF(COUNTIF(A560:A$996,"&lt;&gt;")=0,COUNTA(B559:B$996),IFERROR(MATCH(TRUE(),INDEX((A560:A$996&lt;&gt;""),0),0),COUNTA(B559:B$996))),"")</f>
        <v/>
      </c>
      <c r="L559" s="20"/>
    </row>
    <row r="560" customFormat="false" ht="13.8" hidden="false" customHeight="false" outlineLevel="0" collapsed="false">
      <c r="A560" s="16"/>
      <c r="B560" s="16"/>
      <c r="C560" s="17"/>
      <c r="D560" s="17"/>
      <c r="E560" s="17"/>
      <c r="F560" s="18"/>
      <c r="G560" s="19" t="str">
        <f aca="true">IF(F560="", "", DATEDIF(F560, TODAY(), "Y"))</f>
        <v/>
      </c>
      <c r="H560" s="18"/>
      <c r="I560" s="18"/>
      <c r="J560" s="19" t="str">
        <f aca="true">IF(ISBLANK(H560), "", I560-TODAY())</f>
        <v/>
      </c>
      <c r="K560" s="19" t="str">
        <f aca="false" t="array" ref="K560:K560">IF(A560&lt;&gt;"",IF(COUNTIF(A561:A$996,"&lt;&gt;")=0,COUNTA(B560:B$996),IFERROR(MATCH(TRUE(),INDEX((A561:A$996&lt;&gt;""),0),0),COUNTA(B560:B$996))),"")</f>
        <v/>
      </c>
      <c r="L560" s="20"/>
    </row>
    <row r="561" customFormat="false" ht="13.8" hidden="false" customHeight="false" outlineLevel="0" collapsed="false">
      <c r="A561" s="16"/>
      <c r="B561" s="16"/>
      <c r="C561" s="17"/>
      <c r="D561" s="17"/>
      <c r="E561" s="17"/>
      <c r="F561" s="18"/>
      <c r="G561" s="19" t="str">
        <f aca="true">IF(F561="", "", DATEDIF(F561, TODAY(), "Y"))</f>
        <v/>
      </c>
      <c r="H561" s="18"/>
      <c r="I561" s="18"/>
      <c r="J561" s="19" t="str">
        <f aca="true">IF(ISBLANK(H561), "", I561-TODAY())</f>
        <v/>
      </c>
      <c r="K561" s="19" t="str">
        <f aca="false" t="array" ref="K561:K561">IF(A561&lt;&gt;"",IF(COUNTIF(A562:A$996,"&lt;&gt;")=0,COUNTA(B561:B$996),IFERROR(MATCH(TRUE(),INDEX((A562:A$996&lt;&gt;""),0),0),COUNTA(B561:B$996))),"")</f>
        <v/>
      </c>
      <c r="L561" s="20"/>
    </row>
    <row r="562" customFormat="false" ht="13.8" hidden="false" customHeight="false" outlineLevel="0" collapsed="false">
      <c r="A562" s="16"/>
      <c r="B562" s="16"/>
      <c r="C562" s="17"/>
      <c r="D562" s="17"/>
      <c r="E562" s="17"/>
      <c r="F562" s="18"/>
      <c r="G562" s="19" t="str">
        <f aca="true">IF(F562="", "", DATEDIF(F562, TODAY(), "Y"))</f>
        <v/>
      </c>
      <c r="H562" s="18"/>
      <c r="I562" s="18"/>
      <c r="J562" s="19" t="str">
        <f aca="true">IF(ISBLANK(H562), "", I562-TODAY())</f>
        <v/>
      </c>
      <c r="K562" s="19" t="str">
        <f aca="false" t="array" ref="K562:K562">IF(A562&lt;&gt;"",IF(COUNTIF(A563:A$996,"&lt;&gt;")=0,COUNTA(B562:B$996),IFERROR(MATCH(TRUE(),INDEX((A563:A$996&lt;&gt;""),0),0),COUNTA(B562:B$996))),"")</f>
        <v/>
      </c>
      <c r="L562" s="20"/>
    </row>
    <row r="563" customFormat="false" ht="13.8" hidden="false" customHeight="false" outlineLevel="0" collapsed="false">
      <c r="A563" s="16"/>
      <c r="B563" s="16"/>
      <c r="C563" s="17"/>
      <c r="D563" s="17"/>
      <c r="E563" s="17"/>
      <c r="F563" s="18"/>
      <c r="G563" s="19" t="str">
        <f aca="true">IF(F563="", "", DATEDIF(F563, TODAY(), "Y"))</f>
        <v/>
      </c>
      <c r="H563" s="18"/>
      <c r="I563" s="18"/>
      <c r="J563" s="19" t="str">
        <f aca="true">IF(ISBLANK(H563), "", I563-TODAY())</f>
        <v/>
      </c>
      <c r="K563" s="19" t="str">
        <f aca="false" t="array" ref="K563:K563">IF(A563&lt;&gt;"",IF(COUNTIF(A564:A$996,"&lt;&gt;")=0,COUNTA(B563:B$996),IFERROR(MATCH(TRUE(),INDEX((A564:A$996&lt;&gt;""),0),0),COUNTA(B563:B$996))),"")</f>
        <v/>
      </c>
      <c r="L563" s="20"/>
    </row>
    <row r="564" customFormat="false" ht="13.8" hidden="false" customHeight="false" outlineLevel="0" collapsed="false">
      <c r="A564" s="16"/>
      <c r="B564" s="16"/>
      <c r="C564" s="17"/>
      <c r="D564" s="17"/>
      <c r="E564" s="17"/>
      <c r="F564" s="18"/>
      <c r="G564" s="19" t="str">
        <f aca="true">IF(F564="", "", DATEDIF(F564, TODAY(), "Y"))</f>
        <v/>
      </c>
      <c r="H564" s="18"/>
      <c r="I564" s="18"/>
      <c r="J564" s="19" t="str">
        <f aca="true">IF(ISBLANK(H564), "", I564-TODAY())</f>
        <v/>
      </c>
      <c r="K564" s="19" t="str">
        <f aca="false" t="array" ref="K564:K564">IF(A564&lt;&gt;"",IF(COUNTIF(A565:A$996,"&lt;&gt;")=0,COUNTA(B564:B$996),IFERROR(MATCH(TRUE(),INDEX((A565:A$996&lt;&gt;""),0),0),COUNTA(B564:B$996))),"")</f>
        <v/>
      </c>
      <c r="L564" s="20"/>
    </row>
    <row r="565" customFormat="false" ht="13.8" hidden="false" customHeight="false" outlineLevel="0" collapsed="false">
      <c r="A565" s="16"/>
      <c r="B565" s="16"/>
      <c r="C565" s="17"/>
      <c r="D565" s="17"/>
      <c r="E565" s="17"/>
      <c r="F565" s="18"/>
      <c r="G565" s="19" t="str">
        <f aca="true">IF(F565="", "", DATEDIF(F565, TODAY(), "Y"))</f>
        <v/>
      </c>
      <c r="H565" s="18"/>
      <c r="I565" s="18"/>
      <c r="J565" s="19" t="str">
        <f aca="true">IF(ISBLANK(H565), "", I565-TODAY())</f>
        <v/>
      </c>
      <c r="K565" s="19" t="str">
        <f aca="false" t="array" ref="K565:K565">IF(A565&lt;&gt;"",IF(COUNTIF(A566:A$996,"&lt;&gt;")=0,COUNTA(B565:B$996),IFERROR(MATCH(TRUE(),INDEX((A566:A$996&lt;&gt;""),0),0),COUNTA(B565:B$996))),"")</f>
        <v/>
      </c>
      <c r="L565" s="20"/>
    </row>
    <row r="566" customFormat="false" ht="13.8" hidden="false" customHeight="false" outlineLevel="0" collapsed="false">
      <c r="A566" s="16"/>
      <c r="B566" s="16"/>
      <c r="C566" s="17"/>
      <c r="D566" s="17"/>
      <c r="E566" s="17"/>
      <c r="F566" s="18"/>
      <c r="G566" s="19" t="str">
        <f aca="true">IF(F566="", "", DATEDIF(F566, TODAY(), "Y"))</f>
        <v/>
      </c>
      <c r="H566" s="18"/>
      <c r="I566" s="18"/>
      <c r="J566" s="19" t="str">
        <f aca="true">IF(ISBLANK(H566), "", I566-TODAY())</f>
        <v/>
      </c>
      <c r="K566" s="19" t="str">
        <f aca="false" t="array" ref="K566:K566">IF(A566&lt;&gt;"",IF(COUNTIF(A567:A$996,"&lt;&gt;")=0,COUNTA(B566:B$996),IFERROR(MATCH(TRUE(),INDEX((A567:A$996&lt;&gt;""),0),0),COUNTA(B566:B$996))),"")</f>
        <v/>
      </c>
      <c r="L566" s="20"/>
    </row>
    <row r="567" customFormat="false" ht="13.8" hidden="false" customHeight="false" outlineLevel="0" collapsed="false">
      <c r="A567" s="16"/>
      <c r="B567" s="16"/>
      <c r="C567" s="17"/>
      <c r="D567" s="17"/>
      <c r="E567" s="17"/>
      <c r="F567" s="18"/>
      <c r="G567" s="19" t="str">
        <f aca="true">IF(F567="", "", DATEDIF(F567, TODAY(), "Y"))</f>
        <v/>
      </c>
      <c r="H567" s="18"/>
      <c r="I567" s="18"/>
      <c r="J567" s="19" t="str">
        <f aca="true">IF(ISBLANK(H567), "", I567-TODAY())</f>
        <v/>
      </c>
      <c r="K567" s="19" t="str">
        <f aca="false" t="array" ref="K567:K567">IF(A567&lt;&gt;"",IF(COUNTIF(A568:A$996,"&lt;&gt;")=0,COUNTA(B567:B$996),IFERROR(MATCH(TRUE(),INDEX((A568:A$996&lt;&gt;""),0),0),COUNTA(B567:B$996))),"")</f>
        <v/>
      </c>
      <c r="L567" s="20"/>
    </row>
    <row r="568" customFormat="false" ht="13.8" hidden="false" customHeight="false" outlineLevel="0" collapsed="false">
      <c r="A568" s="16"/>
      <c r="B568" s="16"/>
      <c r="C568" s="17"/>
      <c r="D568" s="17"/>
      <c r="E568" s="17"/>
      <c r="F568" s="18"/>
      <c r="G568" s="19" t="str">
        <f aca="true">IF(F568="", "", DATEDIF(F568, TODAY(), "Y"))</f>
        <v/>
      </c>
      <c r="H568" s="18"/>
      <c r="I568" s="18"/>
      <c r="J568" s="19" t="str">
        <f aca="true">IF(ISBLANK(H568), "", I568-TODAY())</f>
        <v/>
      </c>
      <c r="K568" s="19" t="str">
        <f aca="false" t="array" ref="K568:K568">IF(A568&lt;&gt;"",IF(COUNTIF(A569:A$996,"&lt;&gt;")=0,COUNTA(B568:B$996),IFERROR(MATCH(TRUE(),INDEX((A569:A$996&lt;&gt;""),0),0),COUNTA(B568:B$996))),"")</f>
        <v/>
      </c>
      <c r="L568" s="20"/>
    </row>
    <row r="569" customFormat="false" ht="13.8" hidden="false" customHeight="false" outlineLevel="0" collapsed="false">
      <c r="A569" s="16"/>
      <c r="B569" s="16"/>
      <c r="C569" s="17"/>
      <c r="D569" s="17"/>
      <c r="E569" s="17"/>
      <c r="F569" s="18"/>
      <c r="G569" s="19" t="str">
        <f aca="true">IF(F569="", "", DATEDIF(F569, TODAY(), "Y"))</f>
        <v/>
      </c>
      <c r="H569" s="18"/>
      <c r="I569" s="18"/>
      <c r="J569" s="19" t="str">
        <f aca="true">IF(ISBLANK(H569), "", I569-TODAY())</f>
        <v/>
      </c>
      <c r="K569" s="19" t="str">
        <f aca="false" t="array" ref="K569:K569">IF(A569&lt;&gt;"",IF(COUNTIF(A570:A$996,"&lt;&gt;")=0,COUNTA(B569:B$996),IFERROR(MATCH(TRUE(),INDEX((A570:A$996&lt;&gt;""),0),0),COUNTA(B569:B$996))),"")</f>
        <v/>
      </c>
      <c r="L569" s="20"/>
    </row>
    <row r="570" customFormat="false" ht="13.8" hidden="false" customHeight="false" outlineLevel="0" collapsed="false">
      <c r="A570" s="16"/>
      <c r="B570" s="16"/>
      <c r="C570" s="17"/>
      <c r="D570" s="17"/>
      <c r="E570" s="17"/>
      <c r="F570" s="18"/>
      <c r="G570" s="19" t="str">
        <f aca="true">IF(F570="", "", DATEDIF(F570, TODAY(), "Y"))</f>
        <v/>
      </c>
      <c r="H570" s="18"/>
      <c r="I570" s="18"/>
      <c r="J570" s="19" t="str">
        <f aca="true">IF(ISBLANK(H570), "", I570-TODAY())</f>
        <v/>
      </c>
      <c r="K570" s="19" t="str">
        <f aca="false" t="array" ref="K570:K570">IF(A570&lt;&gt;"",IF(COUNTIF(A571:A$996,"&lt;&gt;")=0,COUNTA(B570:B$996),IFERROR(MATCH(TRUE(),INDEX((A571:A$996&lt;&gt;""),0),0),COUNTA(B570:B$996))),"")</f>
        <v/>
      </c>
      <c r="L570" s="20"/>
    </row>
    <row r="571" customFormat="false" ht="13.8" hidden="false" customHeight="false" outlineLevel="0" collapsed="false">
      <c r="A571" s="16"/>
      <c r="B571" s="16"/>
      <c r="C571" s="17"/>
      <c r="D571" s="17"/>
      <c r="E571" s="17"/>
      <c r="F571" s="18"/>
      <c r="G571" s="19" t="str">
        <f aca="true">IF(F571="", "", DATEDIF(F571, TODAY(), "Y"))</f>
        <v/>
      </c>
      <c r="H571" s="18"/>
      <c r="I571" s="18"/>
      <c r="J571" s="19" t="str">
        <f aca="true">IF(ISBLANK(H571), "", I571-TODAY())</f>
        <v/>
      </c>
      <c r="K571" s="19" t="str">
        <f aca="false" t="array" ref="K571:K571">IF(A571&lt;&gt;"",IF(COUNTIF(A572:A$996,"&lt;&gt;")=0,COUNTA(B571:B$996),IFERROR(MATCH(TRUE(),INDEX((A572:A$996&lt;&gt;""),0),0),COUNTA(B571:B$996))),"")</f>
        <v/>
      </c>
      <c r="L571" s="20"/>
    </row>
    <row r="572" customFormat="false" ht="13.8" hidden="false" customHeight="false" outlineLevel="0" collapsed="false">
      <c r="A572" s="16"/>
      <c r="B572" s="16"/>
      <c r="C572" s="17"/>
      <c r="D572" s="17"/>
      <c r="E572" s="17"/>
      <c r="F572" s="18"/>
      <c r="G572" s="19" t="str">
        <f aca="true">IF(F572="", "", DATEDIF(F572, TODAY(), "Y"))</f>
        <v/>
      </c>
      <c r="H572" s="18"/>
      <c r="I572" s="18"/>
      <c r="J572" s="19" t="str">
        <f aca="true">IF(ISBLANK(H572), "", I572-TODAY())</f>
        <v/>
      </c>
      <c r="K572" s="19" t="str">
        <f aca="false" t="array" ref="K572:K572">IF(A572&lt;&gt;"",IF(COUNTIF(A573:A$996,"&lt;&gt;")=0,COUNTA(B572:B$996),IFERROR(MATCH(TRUE(),INDEX((A573:A$996&lt;&gt;""),0),0),COUNTA(B572:B$996))),"")</f>
        <v/>
      </c>
      <c r="L572" s="20"/>
    </row>
    <row r="573" customFormat="false" ht="13.8" hidden="false" customHeight="false" outlineLevel="0" collapsed="false">
      <c r="A573" s="16"/>
      <c r="B573" s="16"/>
      <c r="C573" s="17"/>
      <c r="D573" s="17"/>
      <c r="E573" s="17"/>
      <c r="F573" s="18"/>
      <c r="G573" s="19" t="str">
        <f aca="true">IF(F573="", "", DATEDIF(F573, TODAY(), "Y"))</f>
        <v/>
      </c>
      <c r="H573" s="18"/>
      <c r="I573" s="18"/>
      <c r="J573" s="19" t="str">
        <f aca="true">IF(ISBLANK(H573), "", I573-TODAY())</f>
        <v/>
      </c>
      <c r="K573" s="19" t="str">
        <f aca="false" t="array" ref="K573:K573">IF(A573&lt;&gt;"",IF(COUNTIF(A574:A$996,"&lt;&gt;")=0,COUNTA(B573:B$996),IFERROR(MATCH(TRUE(),INDEX((A574:A$996&lt;&gt;""),0),0),COUNTA(B573:B$996))),"")</f>
        <v/>
      </c>
      <c r="L573" s="20"/>
    </row>
    <row r="574" customFormat="false" ht="13.8" hidden="false" customHeight="false" outlineLevel="0" collapsed="false">
      <c r="A574" s="16"/>
      <c r="B574" s="16"/>
      <c r="C574" s="17"/>
      <c r="D574" s="17"/>
      <c r="E574" s="17"/>
      <c r="F574" s="18"/>
      <c r="G574" s="19" t="str">
        <f aca="true">IF(F574="", "", DATEDIF(F574, TODAY(), "Y"))</f>
        <v/>
      </c>
      <c r="H574" s="18"/>
      <c r="I574" s="18"/>
      <c r="J574" s="19" t="str">
        <f aca="true">IF(ISBLANK(H574), "", I574-TODAY())</f>
        <v/>
      </c>
      <c r="K574" s="19" t="str">
        <f aca="false" t="array" ref="K574:K574">IF(A574&lt;&gt;"",IF(COUNTIF(A575:A$996,"&lt;&gt;")=0,COUNTA(B574:B$996),IFERROR(MATCH(TRUE(),INDEX((A575:A$996&lt;&gt;""),0),0),COUNTA(B574:B$996))),"")</f>
        <v/>
      </c>
      <c r="L574" s="20"/>
    </row>
    <row r="575" customFormat="false" ht="13.8" hidden="false" customHeight="false" outlineLevel="0" collapsed="false">
      <c r="A575" s="16"/>
      <c r="B575" s="16"/>
      <c r="C575" s="17"/>
      <c r="D575" s="17"/>
      <c r="E575" s="17"/>
      <c r="F575" s="18"/>
      <c r="G575" s="19" t="str">
        <f aca="true">IF(F575="", "", DATEDIF(F575, TODAY(), "Y"))</f>
        <v/>
      </c>
      <c r="H575" s="18"/>
      <c r="I575" s="18"/>
      <c r="J575" s="19" t="str">
        <f aca="true">IF(ISBLANK(H575), "", I575-TODAY())</f>
        <v/>
      </c>
      <c r="K575" s="19" t="str">
        <f aca="false" t="array" ref="K575:K575">IF(A575&lt;&gt;"",IF(COUNTIF(A576:A$996,"&lt;&gt;")=0,COUNTA(B575:B$996),IFERROR(MATCH(TRUE(),INDEX((A576:A$996&lt;&gt;""),0),0),COUNTA(B575:B$996))),"")</f>
        <v/>
      </c>
      <c r="L575" s="20"/>
    </row>
    <row r="576" customFormat="false" ht="13.8" hidden="false" customHeight="false" outlineLevel="0" collapsed="false">
      <c r="A576" s="16"/>
      <c r="B576" s="16"/>
      <c r="C576" s="17"/>
      <c r="D576" s="17"/>
      <c r="E576" s="17"/>
      <c r="F576" s="18"/>
      <c r="G576" s="19" t="str">
        <f aca="true">IF(F576="", "", DATEDIF(F576, TODAY(), "Y"))</f>
        <v/>
      </c>
      <c r="H576" s="18"/>
      <c r="I576" s="18"/>
      <c r="J576" s="19" t="str">
        <f aca="true">IF(ISBLANK(H576), "", I576-TODAY())</f>
        <v/>
      </c>
      <c r="K576" s="19" t="str">
        <f aca="false" t="array" ref="K576:K576">IF(A576&lt;&gt;"",IF(COUNTIF(A577:A$996,"&lt;&gt;")=0,COUNTA(B576:B$996),IFERROR(MATCH(TRUE(),INDEX((A577:A$996&lt;&gt;""),0),0),COUNTA(B576:B$996))),"")</f>
        <v/>
      </c>
      <c r="L576" s="20"/>
    </row>
    <row r="577" customFormat="false" ht="13.8" hidden="false" customHeight="false" outlineLevel="0" collapsed="false">
      <c r="A577" s="16"/>
      <c r="B577" s="16"/>
      <c r="C577" s="17"/>
      <c r="D577" s="17"/>
      <c r="E577" s="17"/>
      <c r="F577" s="18"/>
      <c r="G577" s="19" t="str">
        <f aca="true">IF(F577="", "", DATEDIF(F577, TODAY(), "Y"))</f>
        <v/>
      </c>
      <c r="H577" s="18"/>
      <c r="I577" s="18"/>
      <c r="J577" s="19" t="str">
        <f aca="true">IF(ISBLANK(H577), "", I577-TODAY())</f>
        <v/>
      </c>
      <c r="K577" s="19" t="str">
        <f aca="false" t="array" ref="K577:K577">IF(A577&lt;&gt;"",IF(COUNTIF(A578:A$996,"&lt;&gt;")=0,COUNTA(B577:B$996),IFERROR(MATCH(TRUE(),INDEX((A578:A$996&lt;&gt;""),0),0),COUNTA(B577:B$996))),"")</f>
        <v/>
      </c>
      <c r="L577" s="20"/>
    </row>
    <row r="578" customFormat="false" ht="13.8" hidden="false" customHeight="false" outlineLevel="0" collapsed="false">
      <c r="A578" s="16"/>
      <c r="B578" s="16"/>
      <c r="C578" s="17"/>
      <c r="D578" s="17"/>
      <c r="E578" s="17"/>
      <c r="F578" s="18"/>
      <c r="G578" s="19" t="str">
        <f aca="true">IF(F578="", "", DATEDIF(F578, TODAY(), "Y"))</f>
        <v/>
      </c>
      <c r="H578" s="18"/>
      <c r="I578" s="18"/>
      <c r="J578" s="19" t="str">
        <f aca="true">IF(ISBLANK(H578), "", I578-TODAY())</f>
        <v/>
      </c>
      <c r="K578" s="19" t="str">
        <f aca="false" t="array" ref="K578:K578">IF(A578&lt;&gt;"",IF(COUNTIF(A579:A$996,"&lt;&gt;")=0,COUNTA(B578:B$996),IFERROR(MATCH(TRUE(),INDEX((A579:A$996&lt;&gt;""),0),0),COUNTA(B578:B$996))),"")</f>
        <v/>
      </c>
      <c r="L578" s="20"/>
    </row>
    <row r="579" customFormat="false" ht="13.8" hidden="false" customHeight="false" outlineLevel="0" collapsed="false">
      <c r="A579" s="16"/>
      <c r="B579" s="16"/>
      <c r="C579" s="17"/>
      <c r="D579" s="17"/>
      <c r="E579" s="17"/>
      <c r="F579" s="18"/>
      <c r="G579" s="19" t="str">
        <f aca="true">IF(F579="", "", DATEDIF(F579, TODAY(), "Y"))</f>
        <v/>
      </c>
      <c r="H579" s="18"/>
      <c r="I579" s="18"/>
      <c r="J579" s="19" t="str">
        <f aca="true">IF(ISBLANK(H579), "", I579-TODAY())</f>
        <v/>
      </c>
      <c r="K579" s="19" t="str">
        <f aca="false" t="array" ref="K579:K579">IF(A579&lt;&gt;"",IF(COUNTIF(A580:A$996,"&lt;&gt;")=0,COUNTA(B579:B$996),IFERROR(MATCH(TRUE(),INDEX((A580:A$996&lt;&gt;""),0),0),COUNTA(B579:B$996))),"")</f>
        <v/>
      </c>
      <c r="L579" s="20"/>
    </row>
    <row r="580" customFormat="false" ht="13.8" hidden="false" customHeight="false" outlineLevel="0" collapsed="false">
      <c r="A580" s="16"/>
      <c r="B580" s="16"/>
      <c r="C580" s="17"/>
      <c r="D580" s="17"/>
      <c r="E580" s="17"/>
      <c r="F580" s="18"/>
      <c r="G580" s="19" t="str">
        <f aca="true">IF(F580="", "", DATEDIF(F580, TODAY(), "Y"))</f>
        <v/>
      </c>
      <c r="H580" s="18"/>
      <c r="I580" s="18"/>
      <c r="J580" s="19" t="str">
        <f aca="true">IF(ISBLANK(H580), "", I580-TODAY())</f>
        <v/>
      </c>
      <c r="K580" s="19" t="str">
        <f aca="false" t="array" ref="K580:K580">IF(A580&lt;&gt;"",IF(COUNTIF(A581:A$996,"&lt;&gt;")=0,COUNTA(B580:B$996),IFERROR(MATCH(TRUE(),INDEX((A581:A$996&lt;&gt;""),0),0),COUNTA(B580:B$996))),"")</f>
        <v/>
      </c>
      <c r="L580" s="20"/>
    </row>
    <row r="581" customFormat="false" ht="13.8" hidden="false" customHeight="false" outlineLevel="0" collapsed="false">
      <c r="A581" s="16"/>
      <c r="B581" s="16"/>
      <c r="C581" s="17"/>
      <c r="D581" s="17"/>
      <c r="E581" s="17"/>
      <c r="F581" s="18"/>
      <c r="G581" s="19" t="str">
        <f aca="true">IF(F581="", "", DATEDIF(F581, TODAY(), "Y"))</f>
        <v/>
      </c>
      <c r="H581" s="18"/>
      <c r="I581" s="18"/>
      <c r="J581" s="19" t="str">
        <f aca="true">IF(ISBLANK(H581), "", I581-TODAY())</f>
        <v/>
      </c>
      <c r="K581" s="19" t="str">
        <f aca="false" t="array" ref="K581:K581">IF(A581&lt;&gt;"",IF(COUNTIF(A582:A$996,"&lt;&gt;")=0,COUNTA(B581:B$996),IFERROR(MATCH(TRUE(),INDEX((A582:A$996&lt;&gt;""),0),0),COUNTA(B581:B$996))),"")</f>
        <v/>
      </c>
      <c r="L581" s="20"/>
    </row>
    <row r="582" customFormat="false" ht="13.8" hidden="false" customHeight="false" outlineLevel="0" collapsed="false">
      <c r="A582" s="16"/>
      <c r="B582" s="16"/>
      <c r="C582" s="17"/>
      <c r="D582" s="17"/>
      <c r="E582" s="17"/>
      <c r="F582" s="18"/>
      <c r="G582" s="19" t="str">
        <f aca="true">IF(F582="", "", DATEDIF(F582, TODAY(), "Y"))</f>
        <v/>
      </c>
      <c r="H582" s="18"/>
      <c r="I582" s="18"/>
      <c r="J582" s="19" t="str">
        <f aca="true">IF(ISBLANK(H582), "", I582-TODAY())</f>
        <v/>
      </c>
      <c r="K582" s="19" t="str">
        <f aca="false" t="array" ref="K582:K582">IF(A582&lt;&gt;"",IF(COUNTIF(A583:A$996,"&lt;&gt;")=0,COUNTA(B582:B$996),IFERROR(MATCH(TRUE(),INDEX((A583:A$996&lt;&gt;""),0),0),COUNTA(B582:B$996))),"")</f>
        <v/>
      </c>
      <c r="L582" s="20"/>
    </row>
    <row r="583" customFormat="false" ht="13.8" hidden="false" customHeight="false" outlineLevel="0" collapsed="false">
      <c r="A583" s="16"/>
      <c r="B583" s="16"/>
      <c r="C583" s="17"/>
      <c r="D583" s="17"/>
      <c r="E583" s="17"/>
      <c r="F583" s="18"/>
      <c r="G583" s="19" t="str">
        <f aca="true">IF(F583="", "", DATEDIF(F583, TODAY(), "Y"))</f>
        <v/>
      </c>
      <c r="H583" s="18"/>
      <c r="I583" s="18"/>
      <c r="J583" s="19" t="str">
        <f aca="true">IF(ISBLANK(H583), "", I583-TODAY())</f>
        <v/>
      </c>
      <c r="K583" s="19" t="str">
        <f aca="false" t="array" ref="K583:K583">IF(A583&lt;&gt;"",IF(COUNTIF(A584:A$996,"&lt;&gt;")=0,COUNTA(B583:B$996),IFERROR(MATCH(TRUE(),INDEX((A584:A$996&lt;&gt;""),0),0),COUNTA(B583:B$996))),"")</f>
        <v/>
      </c>
      <c r="L583" s="20"/>
    </row>
    <row r="584" customFormat="false" ht="13.8" hidden="false" customHeight="false" outlineLevel="0" collapsed="false">
      <c r="A584" s="16"/>
      <c r="B584" s="16"/>
      <c r="C584" s="17"/>
      <c r="D584" s="17"/>
      <c r="E584" s="17"/>
      <c r="F584" s="18"/>
      <c r="G584" s="19" t="str">
        <f aca="true">IF(F584="", "", DATEDIF(F584, TODAY(), "Y"))</f>
        <v/>
      </c>
      <c r="H584" s="18"/>
      <c r="I584" s="18"/>
      <c r="J584" s="19" t="str">
        <f aca="true">IF(ISBLANK(H584), "", I584-TODAY())</f>
        <v/>
      </c>
      <c r="K584" s="19" t="str">
        <f aca="false" t="array" ref="K584:K584">IF(A584&lt;&gt;"",IF(COUNTIF(A585:A$996,"&lt;&gt;")=0,COUNTA(B584:B$996),IFERROR(MATCH(TRUE(),INDEX((A585:A$996&lt;&gt;""),0),0),COUNTA(B584:B$996))),"")</f>
        <v/>
      </c>
      <c r="L584" s="20"/>
    </row>
    <row r="585" customFormat="false" ht="13.8" hidden="false" customHeight="false" outlineLevel="0" collapsed="false">
      <c r="A585" s="16"/>
      <c r="B585" s="16"/>
      <c r="C585" s="17"/>
      <c r="D585" s="17"/>
      <c r="E585" s="17"/>
      <c r="F585" s="18"/>
      <c r="G585" s="19" t="str">
        <f aca="true">IF(F585="", "", DATEDIF(F585, TODAY(), "Y"))</f>
        <v/>
      </c>
      <c r="H585" s="18"/>
      <c r="I585" s="18"/>
      <c r="J585" s="19" t="str">
        <f aca="true">IF(ISBLANK(H585), "", I585-TODAY())</f>
        <v/>
      </c>
      <c r="K585" s="19" t="str">
        <f aca="false" t="array" ref="K585:K585">IF(A585&lt;&gt;"",IF(COUNTIF(A586:A$996,"&lt;&gt;")=0,COUNTA(B585:B$996),IFERROR(MATCH(TRUE(),INDEX((A586:A$996&lt;&gt;""),0),0),COUNTA(B585:B$996))),"")</f>
        <v/>
      </c>
      <c r="L585" s="20"/>
    </row>
    <row r="586" customFormat="false" ht="13.8" hidden="false" customHeight="false" outlineLevel="0" collapsed="false">
      <c r="A586" s="16"/>
      <c r="B586" s="16"/>
      <c r="C586" s="17"/>
      <c r="D586" s="17"/>
      <c r="E586" s="17"/>
      <c r="F586" s="18"/>
      <c r="G586" s="19" t="str">
        <f aca="true">IF(F586="", "", DATEDIF(F586, TODAY(), "Y"))</f>
        <v/>
      </c>
      <c r="H586" s="18"/>
      <c r="I586" s="18"/>
      <c r="J586" s="19" t="str">
        <f aca="true">IF(ISBLANK(H586), "", I586-TODAY())</f>
        <v/>
      </c>
      <c r="K586" s="19" t="str">
        <f aca="false" t="array" ref="K586:K586">IF(A586&lt;&gt;"",IF(COUNTIF(A587:A$996,"&lt;&gt;")=0,COUNTA(B586:B$996),IFERROR(MATCH(TRUE(),INDEX((A587:A$996&lt;&gt;""),0),0),COUNTA(B586:B$996))),"")</f>
        <v/>
      </c>
      <c r="L586" s="20"/>
    </row>
    <row r="587" customFormat="false" ht="13.8" hidden="false" customHeight="false" outlineLevel="0" collapsed="false">
      <c r="A587" s="16"/>
      <c r="B587" s="16"/>
      <c r="C587" s="17"/>
      <c r="D587" s="17"/>
      <c r="E587" s="17"/>
      <c r="F587" s="18"/>
      <c r="G587" s="19" t="str">
        <f aca="true">IF(F587="", "", DATEDIF(F587, TODAY(), "Y"))</f>
        <v/>
      </c>
      <c r="H587" s="18"/>
      <c r="I587" s="18"/>
      <c r="J587" s="19" t="str">
        <f aca="true">IF(ISBLANK(H587), "", I587-TODAY())</f>
        <v/>
      </c>
      <c r="K587" s="19" t="str">
        <f aca="false" t="array" ref="K587:K587">IF(A587&lt;&gt;"",IF(COUNTIF(A588:A$996,"&lt;&gt;")=0,COUNTA(B587:B$996),IFERROR(MATCH(TRUE(),INDEX((A588:A$996&lt;&gt;""),0),0),COUNTA(B587:B$996))),"")</f>
        <v/>
      </c>
      <c r="L587" s="20"/>
    </row>
    <row r="588" customFormat="false" ht="13.8" hidden="false" customHeight="false" outlineLevel="0" collapsed="false">
      <c r="A588" s="16"/>
      <c r="B588" s="16"/>
      <c r="C588" s="17"/>
      <c r="D588" s="17"/>
      <c r="E588" s="17"/>
      <c r="F588" s="18"/>
      <c r="G588" s="19" t="str">
        <f aca="true">IF(F588="", "", DATEDIF(F588, TODAY(), "Y"))</f>
        <v/>
      </c>
      <c r="H588" s="18"/>
      <c r="I588" s="18"/>
      <c r="J588" s="19" t="str">
        <f aca="true">IF(ISBLANK(H588), "", I588-TODAY())</f>
        <v/>
      </c>
      <c r="K588" s="19" t="str">
        <f aca="false" t="array" ref="K588:K588">IF(A588&lt;&gt;"",IF(COUNTIF(A589:A$996,"&lt;&gt;")=0,COUNTA(B588:B$996),IFERROR(MATCH(TRUE(),INDEX((A589:A$996&lt;&gt;""),0),0),COUNTA(B588:B$996))),"")</f>
        <v/>
      </c>
      <c r="L588" s="20"/>
    </row>
    <row r="589" customFormat="false" ht="13.8" hidden="false" customHeight="false" outlineLevel="0" collapsed="false">
      <c r="A589" s="16"/>
      <c r="B589" s="16"/>
      <c r="C589" s="17"/>
      <c r="D589" s="17"/>
      <c r="E589" s="17"/>
      <c r="F589" s="18"/>
      <c r="G589" s="19" t="str">
        <f aca="true">IF(F589="", "", DATEDIF(F589, TODAY(), "Y"))</f>
        <v/>
      </c>
      <c r="H589" s="18"/>
      <c r="I589" s="18"/>
      <c r="J589" s="19" t="str">
        <f aca="true">IF(ISBLANK(H589), "", I589-TODAY())</f>
        <v/>
      </c>
      <c r="K589" s="19" t="str">
        <f aca="false" t="array" ref="K589:K589">IF(A589&lt;&gt;"",IF(COUNTIF(A590:A$996,"&lt;&gt;")=0,COUNTA(B589:B$996),IFERROR(MATCH(TRUE(),INDEX((A590:A$996&lt;&gt;""),0),0),COUNTA(B589:B$996))),"")</f>
        <v/>
      </c>
      <c r="L589" s="20"/>
    </row>
    <row r="590" customFormat="false" ht="13.8" hidden="false" customHeight="false" outlineLevel="0" collapsed="false">
      <c r="A590" s="16"/>
      <c r="B590" s="16"/>
      <c r="C590" s="17"/>
      <c r="D590" s="17"/>
      <c r="E590" s="17"/>
      <c r="F590" s="18"/>
      <c r="G590" s="19" t="str">
        <f aca="true">IF(F590="", "", DATEDIF(F590, TODAY(), "Y"))</f>
        <v/>
      </c>
      <c r="H590" s="18"/>
      <c r="I590" s="18"/>
      <c r="J590" s="19" t="str">
        <f aca="true">IF(ISBLANK(H590), "", I590-TODAY())</f>
        <v/>
      </c>
      <c r="K590" s="19" t="str">
        <f aca="false" t="array" ref="K590:K590">IF(A590&lt;&gt;"",IF(COUNTIF(A591:A$996,"&lt;&gt;")=0,COUNTA(B590:B$996),IFERROR(MATCH(TRUE(),INDEX((A591:A$996&lt;&gt;""),0),0),COUNTA(B590:B$996))),"")</f>
        <v/>
      </c>
      <c r="L590" s="20"/>
    </row>
    <row r="591" customFormat="false" ht="13.8" hidden="false" customHeight="false" outlineLevel="0" collapsed="false">
      <c r="A591" s="16"/>
      <c r="B591" s="16"/>
      <c r="C591" s="17"/>
      <c r="D591" s="17"/>
      <c r="E591" s="17"/>
      <c r="F591" s="18"/>
      <c r="G591" s="19" t="str">
        <f aca="true">IF(F591="", "", DATEDIF(F591, TODAY(), "Y"))</f>
        <v/>
      </c>
      <c r="H591" s="18"/>
      <c r="I591" s="18"/>
      <c r="J591" s="19" t="str">
        <f aca="true">IF(ISBLANK(H591), "", I591-TODAY())</f>
        <v/>
      </c>
      <c r="K591" s="19" t="str">
        <f aca="false" t="array" ref="K591:K591">IF(A591&lt;&gt;"",IF(COUNTIF(A592:A$996,"&lt;&gt;")=0,COUNTA(B591:B$996),IFERROR(MATCH(TRUE(),INDEX((A592:A$996&lt;&gt;""),0),0),COUNTA(B591:B$996))),"")</f>
        <v/>
      </c>
      <c r="L591" s="20"/>
    </row>
    <row r="592" customFormat="false" ht="13.8" hidden="false" customHeight="false" outlineLevel="0" collapsed="false">
      <c r="A592" s="16"/>
      <c r="B592" s="16"/>
      <c r="C592" s="17"/>
      <c r="D592" s="17"/>
      <c r="E592" s="17"/>
      <c r="F592" s="18"/>
      <c r="G592" s="19" t="str">
        <f aca="true">IF(F592="", "", DATEDIF(F592, TODAY(), "Y"))</f>
        <v/>
      </c>
      <c r="H592" s="18"/>
      <c r="I592" s="18"/>
      <c r="J592" s="19" t="str">
        <f aca="true">IF(ISBLANK(H592), "", I592-TODAY())</f>
        <v/>
      </c>
      <c r="K592" s="19" t="str">
        <f aca="false" t="array" ref="K592:K592">IF(A592&lt;&gt;"",IF(COUNTIF(A593:A$996,"&lt;&gt;")=0,COUNTA(B592:B$996),IFERROR(MATCH(TRUE(),INDEX((A593:A$996&lt;&gt;""),0),0),COUNTA(B592:B$996))),"")</f>
        <v/>
      </c>
      <c r="L592" s="20"/>
    </row>
    <row r="593" customFormat="false" ht="13.8" hidden="false" customHeight="false" outlineLevel="0" collapsed="false">
      <c r="A593" s="16"/>
      <c r="B593" s="16"/>
      <c r="C593" s="17"/>
      <c r="D593" s="17"/>
      <c r="E593" s="17"/>
      <c r="F593" s="18"/>
      <c r="G593" s="19" t="str">
        <f aca="true">IF(F593="", "", DATEDIF(F593, TODAY(), "Y"))</f>
        <v/>
      </c>
      <c r="H593" s="18"/>
      <c r="I593" s="18"/>
      <c r="J593" s="19" t="str">
        <f aca="true">IF(ISBLANK(H593), "", I593-TODAY())</f>
        <v/>
      </c>
      <c r="K593" s="19" t="str">
        <f aca="false" t="array" ref="K593:K593">IF(A593&lt;&gt;"",IF(COUNTIF(A594:A$996,"&lt;&gt;")=0,COUNTA(B593:B$996),IFERROR(MATCH(TRUE(),INDEX((A594:A$996&lt;&gt;""),0),0),COUNTA(B593:B$996))),"")</f>
        <v/>
      </c>
      <c r="L593" s="20"/>
    </row>
    <row r="594" customFormat="false" ht="13.8" hidden="false" customHeight="false" outlineLevel="0" collapsed="false">
      <c r="A594" s="16"/>
      <c r="B594" s="16"/>
      <c r="C594" s="17"/>
      <c r="D594" s="17"/>
      <c r="E594" s="17"/>
      <c r="F594" s="18"/>
      <c r="G594" s="19" t="str">
        <f aca="true">IF(F594="", "", DATEDIF(F594, TODAY(), "Y"))</f>
        <v/>
      </c>
      <c r="H594" s="18"/>
      <c r="I594" s="18"/>
      <c r="J594" s="19" t="str">
        <f aca="true">IF(ISBLANK(H594), "", I594-TODAY())</f>
        <v/>
      </c>
      <c r="K594" s="19" t="str">
        <f aca="false" t="array" ref="K594:K594">IF(A594&lt;&gt;"",IF(COUNTIF(A595:A$996,"&lt;&gt;")=0,COUNTA(B594:B$996),IFERROR(MATCH(TRUE(),INDEX((A595:A$996&lt;&gt;""),0),0),COUNTA(B594:B$996))),"")</f>
        <v/>
      </c>
      <c r="L594" s="20"/>
    </row>
    <row r="595" customFormat="false" ht="13.8" hidden="false" customHeight="false" outlineLevel="0" collapsed="false">
      <c r="A595" s="16"/>
      <c r="B595" s="16"/>
      <c r="C595" s="17"/>
      <c r="D595" s="17"/>
      <c r="E595" s="17"/>
      <c r="F595" s="18"/>
      <c r="G595" s="19" t="str">
        <f aca="true">IF(F595="", "", DATEDIF(F595, TODAY(), "Y"))</f>
        <v/>
      </c>
      <c r="H595" s="18"/>
      <c r="I595" s="18"/>
      <c r="J595" s="19" t="str">
        <f aca="true">IF(ISBLANK(H595), "", I595-TODAY())</f>
        <v/>
      </c>
      <c r="K595" s="19" t="str">
        <f aca="false" t="array" ref="K595:K595">IF(A595&lt;&gt;"",IF(COUNTIF(A596:A$996,"&lt;&gt;")=0,COUNTA(B595:B$996),IFERROR(MATCH(TRUE(),INDEX((A596:A$996&lt;&gt;""),0),0),COUNTA(B595:B$996))),"")</f>
        <v/>
      </c>
      <c r="L595" s="20"/>
    </row>
    <row r="596" customFormat="false" ht="13.8" hidden="false" customHeight="false" outlineLevel="0" collapsed="false">
      <c r="A596" s="16"/>
      <c r="B596" s="16"/>
      <c r="C596" s="17"/>
      <c r="D596" s="17"/>
      <c r="E596" s="17"/>
      <c r="F596" s="18"/>
      <c r="G596" s="19" t="str">
        <f aca="true">IF(F596="", "", DATEDIF(F596, TODAY(), "Y"))</f>
        <v/>
      </c>
      <c r="H596" s="18"/>
      <c r="I596" s="18"/>
      <c r="J596" s="19" t="str">
        <f aca="true">IF(ISBLANK(H596), "", I596-TODAY())</f>
        <v/>
      </c>
      <c r="K596" s="19" t="str">
        <f aca="false" t="array" ref="K596:K596">IF(A596&lt;&gt;"",IF(COUNTIF(A597:A$996,"&lt;&gt;")=0,COUNTA(B596:B$996),IFERROR(MATCH(TRUE(),INDEX((A597:A$996&lt;&gt;""),0),0),COUNTA(B596:B$996))),"")</f>
        <v/>
      </c>
      <c r="L596" s="20"/>
    </row>
    <row r="597" customFormat="false" ht="13.8" hidden="false" customHeight="false" outlineLevel="0" collapsed="false">
      <c r="A597" s="16"/>
      <c r="B597" s="16"/>
      <c r="C597" s="17"/>
      <c r="D597" s="17"/>
      <c r="E597" s="17"/>
      <c r="F597" s="18"/>
      <c r="G597" s="19" t="str">
        <f aca="true">IF(F597="", "", DATEDIF(F597, TODAY(), "Y"))</f>
        <v/>
      </c>
      <c r="H597" s="18"/>
      <c r="I597" s="18"/>
      <c r="J597" s="19" t="str">
        <f aca="true">IF(ISBLANK(H597), "", I597-TODAY())</f>
        <v/>
      </c>
      <c r="K597" s="19" t="str">
        <f aca="false" t="array" ref="K597:K597">IF(A597&lt;&gt;"",IF(COUNTIF(A598:A$996,"&lt;&gt;")=0,COUNTA(B597:B$996),IFERROR(MATCH(TRUE(),INDEX((A598:A$996&lt;&gt;""),0),0),COUNTA(B597:B$996))),"")</f>
        <v/>
      </c>
      <c r="L597" s="20"/>
    </row>
    <row r="598" customFormat="false" ht="13.8" hidden="false" customHeight="false" outlineLevel="0" collapsed="false">
      <c r="A598" s="16"/>
      <c r="B598" s="16"/>
      <c r="C598" s="17"/>
      <c r="D598" s="17"/>
      <c r="E598" s="17"/>
      <c r="F598" s="18"/>
      <c r="G598" s="19" t="str">
        <f aca="true">IF(F598="", "", DATEDIF(F598, TODAY(), "Y"))</f>
        <v/>
      </c>
      <c r="H598" s="18"/>
      <c r="I598" s="18"/>
      <c r="J598" s="19" t="str">
        <f aca="true">IF(ISBLANK(H598), "", I598-TODAY())</f>
        <v/>
      </c>
      <c r="K598" s="19" t="str">
        <f aca="false" t="array" ref="K598:K598">IF(A598&lt;&gt;"",IF(COUNTIF(A599:A$996,"&lt;&gt;")=0,COUNTA(B598:B$996),IFERROR(MATCH(TRUE(),INDEX((A599:A$996&lt;&gt;""),0),0),COUNTA(B598:B$996))),"")</f>
        <v/>
      </c>
      <c r="L598" s="20"/>
    </row>
    <row r="599" customFormat="false" ht="13.8" hidden="false" customHeight="false" outlineLevel="0" collapsed="false">
      <c r="A599" s="16"/>
      <c r="B599" s="16"/>
      <c r="C599" s="17"/>
      <c r="D599" s="17"/>
      <c r="E599" s="17"/>
      <c r="F599" s="18"/>
      <c r="G599" s="19" t="str">
        <f aca="true">IF(F599="", "", DATEDIF(F599, TODAY(), "Y"))</f>
        <v/>
      </c>
      <c r="H599" s="18"/>
      <c r="I599" s="18"/>
      <c r="J599" s="19" t="str">
        <f aca="true">IF(ISBLANK(H599), "", I599-TODAY())</f>
        <v/>
      </c>
      <c r="K599" s="19" t="str">
        <f aca="false" t="array" ref="K599:K599">IF(A599&lt;&gt;"",IF(COUNTIF(A600:A$996,"&lt;&gt;")=0,COUNTA(B599:B$996),IFERROR(MATCH(TRUE(),INDEX((A600:A$996&lt;&gt;""),0),0),COUNTA(B599:B$996))),"")</f>
        <v/>
      </c>
      <c r="L599" s="20"/>
    </row>
    <row r="600" customFormat="false" ht="13.8" hidden="false" customHeight="false" outlineLevel="0" collapsed="false">
      <c r="A600" s="16"/>
      <c r="B600" s="16"/>
      <c r="C600" s="17"/>
      <c r="D600" s="17"/>
      <c r="E600" s="17"/>
      <c r="F600" s="18"/>
      <c r="G600" s="19" t="str">
        <f aca="true">IF(F600="", "", DATEDIF(F600, TODAY(), "Y"))</f>
        <v/>
      </c>
      <c r="H600" s="18"/>
      <c r="I600" s="18"/>
      <c r="J600" s="19" t="str">
        <f aca="true">IF(ISBLANK(H600), "", I600-TODAY())</f>
        <v/>
      </c>
      <c r="K600" s="19" t="str">
        <f aca="false" t="array" ref="K600:K600">IF(A600&lt;&gt;"",IF(COUNTIF(A601:A$996,"&lt;&gt;")=0,COUNTA(B600:B$996),IFERROR(MATCH(TRUE(),INDEX((A601:A$996&lt;&gt;""),0),0),COUNTA(B600:B$996))),"")</f>
        <v/>
      </c>
      <c r="L600" s="20"/>
    </row>
    <row r="601" customFormat="false" ht="13.8" hidden="false" customHeight="false" outlineLevel="0" collapsed="false">
      <c r="A601" s="16"/>
      <c r="B601" s="16"/>
      <c r="C601" s="17"/>
      <c r="D601" s="17"/>
      <c r="E601" s="17"/>
      <c r="F601" s="18"/>
      <c r="G601" s="19" t="str">
        <f aca="true">IF(F601="", "", DATEDIF(F601, TODAY(), "Y"))</f>
        <v/>
      </c>
      <c r="H601" s="18"/>
      <c r="I601" s="18"/>
      <c r="J601" s="19" t="str">
        <f aca="true">IF(ISBLANK(H601), "", I601-TODAY())</f>
        <v/>
      </c>
      <c r="K601" s="19" t="str">
        <f aca="false" t="array" ref="K601:K601">IF(A601&lt;&gt;"",IF(COUNTIF(A602:A$996,"&lt;&gt;")=0,COUNTA(B601:B$996),IFERROR(MATCH(TRUE(),INDEX((A602:A$996&lt;&gt;""),0),0),COUNTA(B601:B$996))),"")</f>
        <v/>
      </c>
      <c r="L601" s="20"/>
    </row>
    <row r="602" customFormat="false" ht="13.8" hidden="false" customHeight="false" outlineLevel="0" collapsed="false">
      <c r="A602" s="16"/>
      <c r="B602" s="16"/>
      <c r="C602" s="17"/>
      <c r="D602" s="17"/>
      <c r="E602" s="17"/>
      <c r="F602" s="18"/>
      <c r="G602" s="19" t="str">
        <f aca="true">IF(F602="", "", DATEDIF(F602, TODAY(), "Y"))</f>
        <v/>
      </c>
      <c r="H602" s="18"/>
      <c r="I602" s="18"/>
      <c r="J602" s="19" t="str">
        <f aca="true">IF(ISBLANK(H602), "", I602-TODAY())</f>
        <v/>
      </c>
      <c r="K602" s="19" t="str">
        <f aca="false" t="array" ref="K602:K602">IF(A602&lt;&gt;"",IF(COUNTIF(A603:A$996,"&lt;&gt;")=0,COUNTA(B602:B$996),IFERROR(MATCH(TRUE(),INDEX((A603:A$996&lt;&gt;""),0),0),COUNTA(B602:B$996))),"")</f>
        <v/>
      </c>
      <c r="L602" s="20"/>
    </row>
    <row r="603" customFormat="false" ht="13.8" hidden="false" customHeight="false" outlineLevel="0" collapsed="false">
      <c r="A603" s="16"/>
      <c r="B603" s="16"/>
      <c r="C603" s="17"/>
      <c r="D603" s="17"/>
      <c r="E603" s="17"/>
      <c r="F603" s="18"/>
      <c r="G603" s="19" t="str">
        <f aca="true">IF(F603="", "", DATEDIF(F603, TODAY(), "Y"))</f>
        <v/>
      </c>
      <c r="H603" s="18"/>
      <c r="I603" s="18"/>
      <c r="J603" s="19" t="str">
        <f aca="true">IF(ISBLANK(H603), "", I603-TODAY())</f>
        <v/>
      </c>
      <c r="K603" s="19" t="str">
        <f aca="false" t="array" ref="K603:K603">IF(A603&lt;&gt;"",IF(COUNTIF(A604:A$996,"&lt;&gt;")=0,COUNTA(B603:B$996),IFERROR(MATCH(TRUE(),INDEX((A604:A$996&lt;&gt;""),0),0),COUNTA(B603:B$996))),"")</f>
        <v/>
      </c>
      <c r="L603" s="20"/>
    </row>
    <row r="604" customFormat="false" ht="13.8" hidden="false" customHeight="false" outlineLevel="0" collapsed="false">
      <c r="A604" s="16"/>
      <c r="B604" s="16"/>
      <c r="C604" s="17"/>
      <c r="D604" s="17"/>
      <c r="E604" s="17"/>
      <c r="F604" s="18"/>
      <c r="G604" s="19" t="str">
        <f aca="true">IF(F604="", "", DATEDIF(F604, TODAY(), "Y"))</f>
        <v/>
      </c>
      <c r="H604" s="18"/>
      <c r="I604" s="18"/>
      <c r="J604" s="19" t="str">
        <f aca="true">IF(ISBLANK(H604), "", I604-TODAY())</f>
        <v/>
      </c>
      <c r="K604" s="19" t="str">
        <f aca="false" t="array" ref="K604:K604">IF(A604&lt;&gt;"",IF(COUNTIF(A605:A$996,"&lt;&gt;")=0,COUNTA(B604:B$996),IFERROR(MATCH(TRUE(),INDEX((A605:A$996&lt;&gt;""),0),0),COUNTA(B604:B$996))),"")</f>
        <v/>
      </c>
      <c r="L604" s="20"/>
    </row>
    <row r="605" customFormat="false" ht="13.8" hidden="false" customHeight="false" outlineLevel="0" collapsed="false">
      <c r="A605" s="16"/>
      <c r="B605" s="16"/>
      <c r="C605" s="17"/>
      <c r="D605" s="17"/>
      <c r="E605" s="17"/>
      <c r="F605" s="18"/>
      <c r="G605" s="19" t="str">
        <f aca="true">IF(F605="", "", DATEDIF(F605, TODAY(), "Y"))</f>
        <v/>
      </c>
      <c r="H605" s="18"/>
      <c r="I605" s="18"/>
      <c r="J605" s="19" t="str">
        <f aca="true">IF(ISBLANK(H605), "", I605-TODAY())</f>
        <v/>
      </c>
      <c r="K605" s="19" t="str">
        <f aca="false" t="array" ref="K605:K605">IF(A605&lt;&gt;"",IF(COUNTIF(A606:A$996,"&lt;&gt;")=0,COUNTA(B605:B$996),IFERROR(MATCH(TRUE(),INDEX((A606:A$996&lt;&gt;""),0),0),COUNTA(B605:B$996))),"")</f>
        <v/>
      </c>
      <c r="L605" s="20"/>
    </row>
    <row r="606" customFormat="false" ht="13.8" hidden="false" customHeight="false" outlineLevel="0" collapsed="false">
      <c r="A606" s="16"/>
      <c r="B606" s="16"/>
      <c r="C606" s="17"/>
      <c r="D606" s="17"/>
      <c r="E606" s="17"/>
      <c r="F606" s="18"/>
      <c r="G606" s="19" t="str">
        <f aca="true">IF(F606="", "", DATEDIF(F606, TODAY(), "Y"))</f>
        <v/>
      </c>
      <c r="H606" s="18"/>
      <c r="I606" s="18"/>
      <c r="J606" s="19" t="str">
        <f aca="true">IF(ISBLANK(H606), "", I606-TODAY())</f>
        <v/>
      </c>
      <c r="K606" s="19" t="str">
        <f aca="false" t="array" ref="K606:K606">IF(A606&lt;&gt;"",IF(COUNTIF(A607:A$996,"&lt;&gt;")=0,COUNTA(B606:B$996),IFERROR(MATCH(TRUE(),INDEX((A607:A$996&lt;&gt;""),0),0),COUNTA(B606:B$996))),"")</f>
        <v/>
      </c>
      <c r="L606" s="20"/>
    </row>
    <row r="607" customFormat="false" ht="13.8" hidden="false" customHeight="false" outlineLevel="0" collapsed="false">
      <c r="A607" s="16"/>
      <c r="B607" s="16"/>
      <c r="C607" s="17"/>
      <c r="D607" s="17"/>
      <c r="E607" s="17"/>
      <c r="F607" s="18"/>
      <c r="G607" s="19" t="str">
        <f aca="true">IF(F607="", "", DATEDIF(F607, TODAY(), "Y"))</f>
        <v/>
      </c>
      <c r="H607" s="18"/>
      <c r="I607" s="18"/>
      <c r="J607" s="19" t="str">
        <f aca="true">IF(ISBLANK(H607), "", I607-TODAY())</f>
        <v/>
      </c>
      <c r="K607" s="19" t="str">
        <f aca="false" t="array" ref="K607:K607">IF(A607&lt;&gt;"",IF(COUNTIF(A608:A$996,"&lt;&gt;")=0,COUNTA(B607:B$996),IFERROR(MATCH(TRUE(),INDEX((A608:A$996&lt;&gt;""),0),0),COUNTA(B607:B$996))),"")</f>
        <v/>
      </c>
      <c r="L607" s="20"/>
    </row>
    <row r="608" customFormat="false" ht="13.8" hidden="false" customHeight="false" outlineLevel="0" collapsed="false">
      <c r="A608" s="16"/>
      <c r="B608" s="16"/>
      <c r="C608" s="17"/>
      <c r="D608" s="17"/>
      <c r="E608" s="17"/>
      <c r="F608" s="18"/>
      <c r="G608" s="19" t="str">
        <f aca="true">IF(F608="", "", DATEDIF(F608, TODAY(), "Y"))</f>
        <v/>
      </c>
      <c r="H608" s="18"/>
      <c r="I608" s="18"/>
      <c r="J608" s="19" t="str">
        <f aca="true">IF(ISBLANK(H608), "", I608-TODAY())</f>
        <v/>
      </c>
      <c r="K608" s="19" t="str">
        <f aca="false" t="array" ref="K608:K608">IF(A608&lt;&gt;"",IF(COUNTIF(A609:A$996,"&lt;&gt;")=0,COUNTA(B608:B$996),IFERROR(MATCH(TRUE(),INDEX((A609:A$996&lt;&gt;""),0),0),COUNTA(B608:B$996))),"")</f>
        <v/>
      </c>
      <c r="L608" s="20"/>
    </row>
    <row r="609" customFormat="false" ht="13.8" hidden="false" customHeight="false" outlineLevel="0" collapsed="false">
      <c r="A609" s="16"/>
      <c r="B609" s="16"/>
      <c r="C609" s="17"/>
      <c r="D609" s="17"/>
      <c r="E609" s="17"/>
      <c r="F609" s="18"/>
      <c r="G609" s="19" t="str">
        <f aca="true">IF(F609="", "", DATEDIF(F609, TODAY(), "Y"))</f>
        <v/>
      </c>
      <c r="H609" s="18"/>
      <c r="I609" s="18"/>
      <c r="J609" s="19" t="str">
        <f aca="true">IF(ISBLANK(H609), "", I609-TODAY())</f>
        <v/>
      </c>
      <c r="K609" s="19" t="str">
        <f aca="false" t="array" ref="K609:K609">IF(A609&lt;&gt;"",IF(COUNTIF(A610:A$996,"&lt;&gt;")=0,COUNTA(B609:B$996),IFERROR(MATCH(TRUE(),INDEX((A610:A$996&lt;&gt;""),0),0),COUNTA(B609:B$996))),"")</f>
        <v/>
      </c>
      <c r="L609" s="20"/>
    </row>
    <row r="610" customFormat="false" ht="13.8" hidden="false" customHeight="false" outlineLevel="0" collapsed="false">
      <c r="A610" s="16"/>
      <c r="B610" s="16"/>
      <c r="C610" s="17"/>
      <c r="D610" s="17"/>
      <c r="E610" s="17"/>
      <c r="F610" s="18"/>
      <c r="G610" s="19" t="str">
        <f aca="true">IF(F610="", "", DATEDIF(F610, TODAY(), "Y"))</f>
        <v/>
      </c>
      <c r="H610" s="18"/>
      <c r="I610" s="18"/>
      <c r="J610" s="19" t="str">
        <f aca="true">IF(ISBLANK(H610), "", I610-TODAY())</f>
        <v/>
      </c>
      <c r="K610" s="19" t="str">
        <f aca="false" t="array" ref="K610:K610">IF(A610&lt;&gt;"",IF(COUNTIF(A611:A$996,"&lt;&gt;")=0,COUNTA(B610:B$996),IFERROR(MATCH(TRUE(),INDEX((A611:A$996&lt;&gt;""),0),0),COUNTA(B610:B$996))),"")</f>
        <v/>
      </c>
      <c r="L610" s="20"/>
    </row>
    <row r="611" customFormat="false" ht="13.8" hidden="false" customHeight="false" outlineLevel="0" collapsed="false">
      <c r="A611" s="16"/>
      <c r="B611" s="16"/>
      <c r="C611" s="17"/>
      <c r="D611" s="17"/>
      <c r="E611" s="17"/>
      <c r="F611" s="18"/>
      <c r="G611" s="19" t="str">
        <f aca="true">IF(F611="", "", DATEDIF(F611, TODAY(), "Y"))</f>
        <v/>
      </c>
      <c r="H611" s="18"/>
      <c r="I611" s="18"/>
      <c r="J611" s="19" t="str">
        <f aca="true">IF(ISBLANK(H611), "", I611-TODAY())</f>
        <v/>
      </c>
      <c r="K611" s="19" t="str">
        <f aca="false" t="array" ref="K611:K611">IF(A611&lt;&gt;"",IF(COUNTIF(A612:A$996,"&lt;&gt;")=0,COUNTA(B611:B$996),IFERROR(MATCH(TRUE(),INDEX((A612:A$996&lt;&gt;""),0),0),COUNTA(B611:B$996))),"")</f>
        <v/>
      </c>
      <c r="L611" s="20"/>
    </row>
    <row r="612" customFormat="false" ht="13.8" hidden="false" customHeight="false" outlineLevel="0" collapsed="false">
      <c r="A612" s="16"/>
      <c r="B612" s="16"/>
      <c r="C612" s="17"/>
      <c r="D612" s="17"/>
      <c r="E612" s="17"/>
      <c r="F612" s="18"/>
      <c r="G612" s="19" t="str">
        <f aca="true">IF(F612="", "", DATEDIF(F612, TODAY(), "Y"))</f>
        <v/>
      </c>
      <c r="H612" s="18"/>
      <c r="I612" s="18"/>
      <c r="J612" s="19" t="str">
        <f aca="true">IF(ISBLANK(H612), "", I612-TODAY())</f>
        <v/>
      </c>
      <c r="K612" s="19" t="str">
        <f aca="false" t="array" ref="K612:K612">IF(A612&lt;&gt;"",IF(COUNTIF(A613:A$996,"&lt;&gt;")=0,COUNTA(B612:B$996),IFERROR(MATCH(TRUE(),INDEX((A613:A$996&lt;&gt;""),0),0),COUNTA(B612:B$996))),"")</f>
        <v/>
      </c>
      <c r="L612" s="20"/>
    </row>
    <row r="613" customFormat="false" ht="13.8" hidden="false" customHeight="false" outlineLevel="0" collapsed="false">
      <c r="A613" s="16"/>
      <c r="B613" s="16"/>
      <c r="C613" s="17"/>
      <c r="D613" s="17"/>
      <c r="E613" s="17"/>
      <c r="F613" s="18"/>
      <c r="G613" s="19" t="str">
        <f aca="true">IF(F613="", "", DATEDIF(F613, TODAY(), "Y"))</f>
        <v/>
      </c>
      <c r="H613" s="18"/>
      <c r="I613" s="18"/>
      <c r="J613" s="19" t="str">
        <f aca="true">IF(ISBLANK(H613), "", I613-TODAY())</f>
        <v/>
      </c>
      <c r="K613" s="19" t="str">
        <f aca="false" t="array" ref="K613:K613">IF(A613&lt;&gt;"",IF(COUNTIF(A614:A$996,"&lt;&gt;")=0,COUNTA(B613:B$996),IFERROR(MATCH(TRUE(),INDEX((A614:A$996&lt;&gt;""),0),0),COUNTA(B613:B$996))),"")</f>
        <v/>
      </c>
      <c r="L613" s="20"/>
    </row>
    <row r="614" customFormat="false" ht="13.8" hidden="false" customHeight="false" outlineLevel="0" collapsed="false">
      <c r="A614" s="16"/>
      <c r="B614" s="16"/>
      <c r="C614" s="17"/>
      <c r="D614" s="17"/>
      <c r="E614" s="17"/>
      <c r="F614" s="18"/>
      <c r="G614" s="19" t="str">
        <f aca="true">IF(F614="", "", DATEDIF(F614, TODAY(), "Y"))</f>
        <v/>
      </c>
      <c r="H614" s="18"/>
      <c r="I614" s="18"/>
      <c r="J614" s="19" t="str">
        <f aca="true">IF(ISBLANK(H614), "", I614-TODAY())</f>
        <v/>
      </c>
      <c r="K614" s="19" t="str">
        <f aca="false" t="array" ref="K614:K614">IF(A614&lt;&gt;"",IF(COUNTIF(A615:A$996,"&lt;&gt;")=0,COUNTA(B614:B$996),IFERROR(MATCH(TRUE(),INDEX((A615:A$996&lt;&gt;""),0),0),COUNTA(B614:B$996))),"")</f>
        <v/>
      </c>
      <c r="L614" s="20"/>
    </row>
    <row r="615" customFormat="false" ht="13.8" hidden="false" customHeight="false" outlineLevel="0" collapsed="false">
      <c r="A615" s="16"/>
      <c r="B615" s="16"/>
      <c r="C615" s="17"/>
      <c r="D615" s="17"/>
      <c r="E615" s="17"/>
      <c r="F615" s="18"/>
      <c r="G615" s="19" t="str">
        <f aca="true">IF(F615="", "", DATEDIF(F615, TODAY(), "Y"))</f>
        <v/>
      </c>
      <c r="H615" s="18"/>
      <c r="I615" s="18"/>
      <c r="J615" s="19" t="str">
        <f aca="true">IF(ISBLANK(H615), "", I615-TODAY())</f>
        <v/>
      </c>
      <c r="K615" s="19" t="str">
        <f aca="false" t="array" ref="K615:K615">IF(A615&lt;&gt;"",IF(COUNTIF(A616:A$996,"&lt;&gt;")=0,COUNTA(B615:B$996),IFERROR(MATCH(TRUE(),INDEX((A616:A$996&lt;&gt;""),0),0),COUNTA(B615:B$996))),"")</f>
        <v/>
      </c>
      <c r="L615" s="20"/>
    </row>
    <row r="616" customFormat="false" ht="13.8" hidden="false" customHeight="false" outlineLevel="0" collapsed="false">
      <c r="A616" s="16"/>
      <c r="B616" s="16"/>
      <c r="C616" s="17"/>
      <c r="D616" s="17"/>
      <c r="E616" s="17"/>
      <c r="F616" s="18"/>
      <c r="G616" s="19" t="str">
        <f aca="true">IF(F616="", "", DATEDIF(F616, TODAY(), "Y"))</f>
        <v/>
      </c>
      <c r="H616" s="18"/>
      <c r="I616" s="18"/>
      <c r="J616" s="19" t="str">
        <f aca="true">IF(ISBLANK(H616), "", I616-TODAY())</f>
        <v/>
      </c>
      <c r="K616" s="19" t="str">
        <f aca="false" t="array" ref="K616:K616">IF(A616&lt;&gt;"",IF(COUNTIF(A617:A$996,"&lt;&gt;")=0,COUNTA(B616:B$996),IFERROR(MATCH(TRUE(),INDEX((A617:A$996&lt;&gt;""),0),0),COUNTA(B616:B$996))),"")</f>
        <v/>
      </c>
      <c r="L616" s="20"/>
    </row>
    <row r="617" customFormat="false" ht="13.8" hidden="false" customHeight="false" outlineLevel="0" collapsed="false">
      <c r="A617" s="16"/>
      <c r="B617" s="16"/>
      <c r="C617" s="17"/>
      <c r="D617" s="17"/>
      <c r="E617" s="17"/>
      <c r="F617" s="18"/>
      <c r="G617" s="19" t="str">
        <f aca="true">IF(F617="", "", DATEDIF(F617, TODAY(), "Y"))</f>
        <v/>
      </c>
      <c r="H617" s="18"/>
      <c r="I617" s="18"/>
      <c r="J617" s="19" t="str">
        <f aca="true">IF(ISBLANK(H617), "", I617-TODAY())</f>
        <v/>
      </c>
      <c r="K617" s="19" t="str">
        <f aca="false" t="array" ref="K617:K617">IF(A617&lt;&gt;"",IF(COUNTIF(A618:A$996,"&lt;&gt;")=0,COUNTA(B617:B$996),IFERROR(MATCH(TRUE(),INDEX((A618:A$996&lt;&gt;""),0),0),COUNTA(B617:B$996))),"")</f>
        <v/>
      </c>
      <c r="L617" s="20"/>
    </row>
    <row r="618" customFormat="false" ht="13.8" hidden="false" customHeight="false" outlineLevel="0" collapsed="false">
      <c r="A618" s="16"/>
      <c r="B618" s="16"/>
      <c r="C618" s="17"/>
      <c r="D618" s="17"/>
      <c r="E618" s="17"/>
      <c r="F618" s="18"/>
      <c r="G618" s="19" t="str">
        <f aca="true">IF(F618="", "", DATEDIF(F618, TODAY(), "Y"))</f>
        <v/>
      </c>
      <c r="H618" s="18"/>
      <c r="I618" s="18"/>
      <c r="J618" s="19" t="str">
        <f aca="true">IF(ISBLANK(H618), "", I618-TODAY())</f>
        <v/>
      </c>
      <c r="K618" s="19" t="str">
        <f aca="false" t="array" ref="K618:K618">IF(A618&lt;&gt;"",IF(COUNTIF(A619:A$996,"&lt;&gt;")=0,COUNTA(B618:B$996),IFERROR(MATCH(TRUE(),INDEX((A619:A$996&lt;&gt;""),0),0),COUNTA(B618:B$996))),"")</f>
        <v/>
      </c>
      <c r="L618" s="20"/>
    </row>
    <row r="619" customFormat="false" ht="13.8" hidden="false" customHeight="false" outlineLevel="0" collapsed="false">
      <c r="A619" s="16"/>
      <c r="B619" s="16"/>
      <c r="C619" s="17"/>
      <c r="D619" s="17"/>
      <c r="E619" s="17"/>
      <c r="F619" s="18"/>
      <c r="G619" s="19" t="str">
        <f aca="true">IF(F619="", "", DATEDIF(F619, TODAY(), "Y"))</f>
        <v/>
      </c>
      <c r="H619" s="18"/>
      <c r="I619" s="18"/>
      <c r="J619" s="19" t="str">
        <f aca="true">IF(ISBLANK(H619), "", I619-TODAY())</f>
        <v/>
      </c>
      <c r="K619" s="19" t="str">
        <f aca="false" t="array" ref="K619:K619">IF(A619&lt;&gt;"",IF(COUNTIF(A620:A$996,"&lt;&gt;")=0,COUNTA(B619:B$996),IFERROR(MATCH(TRUE(),INDEX((A620:A$996&lt;&gt;""),0),0),COUNTA(B619:B$996))),"")</f>
        <v/>
      </c>
      <c r="L619" s="20"/>
    </row>
    <row r="620" customFormat="false" ht="13.8" hidden="false" customHeight="false" outlineLevel="0" collapsed="false">
      <c r="A620" s="16"/>
      <c r="B620" s="16"/>
      <c r="C620" s="17"/>
      <c r="D620" s="17"/>
      <c r="E620" s="17"/>
      <c r="F620" s="18"/>
      <c r="G620" s="19" t="str">
        <f aca="true">IF(F620="", "", DATEDIF(F620, TODAY(), "Y"))</f>
        <v/>
      </c>
      <c r="H620" s="18"/>
      <c r="I620" s="18"/>
      <c r="J620" s="19" t="str">
        <f aca="true">IF(ISBLANK(H620), "", I620-TODAY())</f>
        <v/>
      </c>
      <c r="K620" s="19" t="str">
        <f aca="false" t="array" ref="K620:K620">IF(A620&lt;&gt;"",IF(COUNTIF(A621:A$996,"&lt;&gt;")=0,COUNTA(B620:B$996),IFERROR(MATCH(TRUE(),INDEX((A621:A$996&lt;&gt;""),0),0),COUNTA(B620:B$996))),"")</f>
        <v/>
      </c>
      <c r="L620" s="20"/>
    </row>
    <row r="621" customFormat="false" ht="13.8" hidden="false" customHeight="false" outlineLevel="0" collapsed="false">
      <c r="A621" s="16"/>
      <c r="B621" s="16"/>
      <c r="C621" s="17"/>
      <c r="D621" s="17"/>
      <c r="E621" s="17"/>
      <c r="F621" s="18"/>
      <c r="G621" s="19" t="str">
        <f aca="true">IF(F621="", "", DATEDIF(F621, TODAY(), "Y"))</f>
        <v/>
      </c>
      <c r="H621" s="18"/>
      <c r="I621" s="18"/>
      <c r="J621" s="19" t="str">
        <f aca="true">IF(ISBLANK(H621), "", I621-TODAY())</f>
        <v/>
      </c>
      <c r="K621" s="19" t="str">
        <f aca="false" t="array" ref="K621:K621">IF(A621&lt;&gt;"",IF(COUNTIF(A622:A$996,"&lt;&gt;")=0,COUNTA(B621:B$996),IFERROR(MATCH(TRUE(),INDEX((A622:A$996&lt;&gt;""),0),0),COUNTA(B621:B$996))),"")</f>
        <v/>
      </c>
      <c r="L621" s="20"/>
    </row>
    <row r="622" customFormat="false" ht="13.8" hidden="false" customHeight="false" outlineLevel="0" collapsed="false">
      <c r="A622" s="16"/>
      <c r="B622" s="16"/>
      <c r="C622" s="17"/>
      <c r="D622" s="17"/>
      <c r="E622" s="17"/>
      <c r="F622" s="18"/>
      <c r="G622" s="19" t="str">
        <f aca="true">IF(F622="", "", DATEDIF(F622, TODAY(), "Y"))</f>
        <v/>
      </c>
      <c r="H622" s="18"/>
      <c r="I622" s="18"/>
      <c r="J622" s="19" t="str">
        <f aca="true">IF(ISBLANK(H622), "", I622-TODAY())</f>
        <v/>
      </c>
      <c r="K622" s="19" t="str">
        <f aca="false" t="array" ref="K622:K622">IF(A622&lt;&gt;"",IF(COUNTIF(A623:A$996,"&lt;&gt;")=0,COUNTA(B622:B$996),IFERROR(MATCH(TRUE(),INDEX((A623:A$996&lt;&gt;""),0),0),COUNTA(B622:B$996))),"")</f>
        <v/>
      </c>
      <c r="L622" s="20"/>
    </row>
    <row r="623" customFormat="false" ht="13.8" hidden="false" customHeight="false" outlineLevel="0" collapsed="false">
      <c r="A623" s="16"/>
      <c r="B623" s="16"/>
      <c r="C623" s="17"/>
      <c r="D623" s="17"/>
      <c r="E623" s="17"/>
      <c r="F623" s="18"/>
      <c r="G623" s="19" t="str">
        <f aca="true">IF(F623="", "", DATEDIF(F623, TODAY(), "Y"))</f>
        <v/>
      </c>
      <c r="H623" s="18"/>
      <c r="I623" s="18"/>
      <c r="J623" s="19" t="str">
        <f aca="true">IF(ISBLANK(H623), "", I623-TODAY())</f>
        <v/>
      </c>
      <c r="K623" s="19" t="str">
        <f aca="false" t="array" ref="K623:K623">IF(A623&lt;&gt;"",IF(COUNTIF(A624:A$996,"&lt;&gt;")=0,COUNTA(B623:B$996),IFERROR(MATCH(TRUE(),INDEX((A624:A$996&lt;&gt;""),0),0),COUNTA(B623:B$996))),"")</f>
        <v/>
      </c>
      <c r="L623" s="20"/>
    </row>
    <row r="624" customFormat="false" ht="13.8" hidden="false" customHeight="false" outlineLevel="0" collapsed="false">
      <c r="A624" s="16"/>
      <c r="B624" s="16"/>
      <c r="C624" s="17"/>
      <c r="D624" s="17"/>
      <c r="E624" s="17"/>
      <c r="F624" s="18"/>
      <c r="G624" s="19" t="str">
        <f aca="true">IF(F624="", "", DATEDIF(F624, TODAY(), "Y"))</f>
        <v/>
      </c>
      <c r="H624" s="18"/>
      <c r="I624" s="18"/>
      <c r="J624" s="19" t="str">
        <f aca="true">IF(ISBLANK(H624), "", I624-TODAY())</f>
        <v/>
      </c>
      <c r="K624" s="19" t="str">
        <f aca="false" t="array" ref="K624:K624">IF(A624&lt;&gt;"",IF(COUNTIF(A625:A$996,"&lt;&gt;")=0,COUNTA(B624:B$996),IFERROR(MATCH(TRUE(),INDEX((A625:A$996&lt;&gt;""),0),0),COUNTA(B624:B$996))),"")</f>
        <v/>
      </c>
      <c r="L624" s="20"/>
    </row>
    <row r="625" customFormat="false" ht="13.8" hidden="false" customHeight="false" outlineLevel="0" collapsed="false">
      <c r="A625" s="16"/>
      <c r="B625" s="16"/>
      <c r="C625" s="17"/>
      <c r="D625" s="17"/>
      <c r="E625" s="17"/>
      <c r="F625" s="18"/>
      <c r="G625" s="19" t="str">
        <f aca="true">IF(F625="", "", DATEDIF(F625, TODAY(), "Y"))</f>
        <v/>
      </c>
      <c r="H625" s="18"/>
      <c r="I625" s="18"/>
      <c r="J625" s="19" t="str">
        <f aca="true">IF(ISBLANK(H625), "", I625-TODAY())</f>
        <v/>
      </c>
      <c r="K625" s="19" t="str">
        <f aca="false" t="array" ref="K625:K625">IF(A625&lt;&gt;"",IF(COUNTIF(A626:A$996,"&lt;&gt;")=0,COUNTA(B625:B$996),IFERROR(MATCH(TRUE(),INDEX((A626:A$996&lt;&gt;""),0),0),COUNTA(B625:B$996))),"")</f>
        <v/>
      </c>
      <c r="L625" s="20"/>
    </row>
    <row r="626" customFormat="false" ht="13.8" hidden="false" customHeight="false" outlineLevel="0" collapsed="false">
      <c r="A626" s="16"/>
      <c r="B626" s="16"/>
      <c r="C626" s="17"/>
      <c r="D626" s="17"/>
      <c r="E626" s="17"/>
      <c r="F626" s="18"/>
      <c r="G626" s="19" t="str">
        <f aca="true">IF(F626="", "", DATEDIF(F626, TODAY(), "Y"))</f>
        <v/>
      </c>
      <c r="H626" s="18"/>
      <c r="I626" s="18"/>
      <c r="J626" s="19" t="str">
        <f aca="true">IF(ISBLANK(H626), "", I626-TODAY())</f>
        <v/>
      </c>
      <c r="K626" s="19" t="str">
        <f aca="false" t="array" ref="K626:K626">IF(A626&lt;&gt;"",IF(COUNTIF(A627:A$996,"&lt;&gt;")=0,COUNTA(B626:B$996),IFERROR(MATCH(TRUE(),INDEX((A627:A$996&lt;&gt;""),0),0),COUNTA(B626:B$996))),"")</f>
        <v/>
      </c>
      <c r="L626" s="20"/>
    </row>
    <row r="627" customFormat="false" ht="13.8" hidden="false" customHeight="false" outlineLevel="0" collapsed="false">
      <c r="A627" s="16"/>
      <c r="B627" s="16"/>
      <c r="C627" s="17"/>
      <c r="D627" s="17"/>
      <c r="E627" s="17"/>
      <c r="F627" s="18"/>
      <c r="G627" s="19" t="str">
        <f aca="true">IF(F627="", "", DATEDIF(F627, TODAY(), "Y"))</f>
        <v/>
      </c>
      <c r="H627" s="18"/>
      <c r="I627" s="18"/>
      <c r="J627" s="19" t="str">
        <f aca="true">IF(ISBLANK(H627), "", I627-TODAY())</f>
        <v/>
      </c>
      <c r="K627" s="19" t="str">
        <f aca="false" t="array" ref="K627:K627">IF(A627&lt;&gt;"",IF(COUNTIF(A628:A$996,"&lt;&gt;")=0,COUNTA(B627:B$996),IFERROR(MATCH(TRUE(),INDEX((A628:A$996&lt;&gt;""),0),0),COUNTA(B627:B$996))),"")</f>
        <v/>
      </c>
      <c r="L627" s="20"/>
    </row>
    <row r="628" customFormat="false" ht="13.8" hidden="false" customHeight="false" outlineLevel="0" collapsed="false">
      <c r="A628" s="16"/>
      <c r="B628" s="16"/>
      <c r="C628" s="17"/>
      <c r="D628" s="17"/>
      <c r="E628" s="17"/>
      <c r="F628" s="18"/>
      <c r="G628" s="19" t="str">
        <f aca="true">IF(F628="", "", DATEDIF(F628, TODAY(), "Y"))</f>
        <v/>
      </c>
      <c r="H628" s="18"/>
      <c r="I628" s="18"/>
      <c r="J628" s="19" t="str">
        <f aca="true">IF(ISBLANK(H628), "", I628-TODAY())</f>
        <v/>
      </c>
      <c r="K628" s="19" t="str">
        <f aca="false" t="array" ref="K628:K628">IF(A628&lt;&gt;"",IF(COUNTIF(A629:A$996,"&lt;&gt;")=0,COUNTA(B628:B$996),IFERROR(MATCH(TRUE(),INDEX((A629:A$996&lt;&gt;""),0),0),COUNTA(B628:B$996))),"")</f>
        <v/>
      </c>
      <c r="L628" s="20"/>
    </row>
    <row r="629" customFormat="false" ht="13.8" hidden="false" customHeight="false" outlineLevel="0" collapsed="false">
      <c r="A629" s="16"/>
      <c r="B629" s="16"/>
      <c r="C629" s="17"/>
      <c r="D629" s="17"/>
      <c r="E629" s="17"/>
      <c r="F629" s="18"/>
      <c r="G629" s="19" t="str">
        <f aca="true">IF(F629="", "", DATEDIF(F629, TODAY(), "Y"))</f>
        <v/>
      </c>
      <c r="H629" s="18"/>
      <c r="I629" s="18"/>
      <c r="J629" s="19" t="str">
        <f aca="true">IF(ISBLANK(H629), "", I629-TODAY())</f>
        <v/>
      </c>
      <c r="K629" s="19" t="str">
        <f aca="false" t="array" ref="K629:K629">IF(A629&lt;&gt;"",IF(COUNTIF(A630:A$996,"&lt;&gt;")=0,COUNTA(B629:B$996),IFERROR(MATCH(TRUE(),INDEX((A630:A$996&lt;&gt;""),0),0),COUNTA(B629:B$996))),"")</f>
        <v/>
      </c>
      <c r="L629" s="20"/>
    </row>
    <row r="630" customFormat="false" ht="13.8" hidden="false" customHeight="false" outlineLevel="0" collapsed="false">
      <c r="A630" s="16"/>
      <c r="B630" s="16"/>
      <c r="C630" s="17"/>
      <c r="D630" s="17"/>
      <c r="E630" s="17"/>
      <c r="F630" s="18"/>
      <c r="G630" s="19" t="str">
        <f aca="true">IF(F630="", "", DATEDIF(F630, TODAY(), "Y"))</f>
        <v/>
      </c>
      <c r="H630" s="18"/>
      <c r="I630" s="18"/>
      <c r="J630" s="19" t="str">
        <f aca="true">IF(ISBLANK(H630), "", I630-TODAY())</f>
        <v/>
      </c>
      <c r="K630" s="19" t="str">
        <f aca="false" t="array" ref="K630:K630">IF(A630&lt;&gt;"",IF(COUNTIF(A631:A$996,"&lt;&gt;")=0,COUNTA(B630:B$996),IFERROR(MATCH(TRUE(),INDEX((A631:A$996&lt;&gt;""),0),0),COUNTA(B630:B$996))),"")</f>
        <v/>
      </c>
      <c r="L630" s="20"/>
    </row>
    <row r="631" customFormat="false" ht="13.8" hidden="false" customHeight="false" outlineLevel="0" collapsed="false">
      <c r="A631" s="16"/>
      <c r="B631" s="16"/>
      <c r="C631" s="17"/>
      <c r="D631" s="17"/>
      <c r="E631" s="17"/>
      <c r="F631" s="18"/>
      <c r="G631" s="19" t="str">
        <f aca="true">IF(F631="", "", DATEDIF(F631, TODAY(), "Y"))</f>
        <v/>
      </c>
      <c r="H631" s="18"/>
      <c r="I631" s="18"/>
      <c r="J631" s="19" t="str">
        <f aca="true">IF(ISBLANK(H631), "", I631-TODAY())</f>
        <v/>
      </c>
      <c r="K631" s="19" t="str">
        <f aca="false" t="array" ref="K631:K631">IF(A631&lt;&gt;"",IF(COUNTIF(A632:A$996,"&lt;&gt;")=0,COUNTA(B631:B$996),IFERROR(MATCH(TRUE(),INDEX((A632:A$996&lt;&gt;""),0),0),COUNTA(B631:B$996))),"")</f>
        <v/>
      </c>
      <c r="L631" s="20"/>
    </row>
    <row r="632" customFormat="false" ht="13.8" hidden="false" customHeight="false" outlineLevel="0" collapsed="false">
      <c r="A632" s="16"/>
      <c r="B632" s="16"/>
      <c r="C632" s="17"/>
      <c r="D632" s="17"/>
      <c r="E632" s="17"/>
      <c r="F632" s="18"/>
      <c r="G632" s="19" t="str">
        <f aca="true">IF(F632="", "", DATEDIF(F632, TODAY(), "Y"))</f>
        <v/>
      </c>
      <c r="H632" s="18"/>
      <c r="I632" s="18"/>
      <c r="J632" s="19" t="str">
        <f aca="true">IF(ISBLANK(H632), "", I632-TODAY())</f>
        <v/>
      </c>
      <c r="K632" s="19" t="str">
        <f aca="false" t="array" ref="K632:K632">IF(A632&lt;&gt;"",IF(COUNTIF(A633:A$996,"&lt;&gt;")=0,COUNTA(B632:B$996),IFERROR(MATCH(TRUE(),INDEX((A633:A$996&lt;&gt;""),0),0),COUNTA(B632:B$996))),"")</f>
        <v/>
      </c>
      <c r="L632" s="20"/>
    </row>
    <row r="633" customFormat="false" ht="13.8" hidden="false" customHeight="false" outlineLevel="0" collapsed="false">
      <c r="A633" s="16"/>
      <c r="B633" s="16"/>
      <c r="C633" s="17"/>
      <c r="D633" s="17"/>
      <c r="E633" s="17"/>
      <c r="F633" s="18"/>
      <c r="G633" s="19" t="str">
        <f aca="true">IF(F633="", "", DATEDIF(F633, TODAY(), "Y"))</f>
        <v/>
      </c>
      <c r="H633" s="18"/>
      <c r="I633" s="18"/>
      <c r="J633" s="19" t="str">
        <f aca="true">IF(ISBLANK(H633), "", I633-TODAY())</f>
        <v/>
      </c>
      <c r="K633" s="19" t="str">
        <f aca="false" t="array" ref="K633:K633">IF(A633&lt;&gt;"",IF(COUNTIF(A634:A$996,"&lt;&gt;")=0,COUNTA(B633:B$996),IFERROR(MATCH(TRUE(),INDEX((A634:A$996&lt;&gt;""),0),0),COUNTA(B633:B$996))),"")</f>
        <v/>
      </c>
      <c r="L633" s="20"/>
    </row>
    <row r="634" customFormat="false" ht="13.8" hidden="false" customHeight="false" outlineLevel="0" collapsed="false">
      <c r="A634" s="16"/>
      <c r="B634" s="16"/>
      <c r="C634" s="17"/>
      <c r="D634" s="17"/>
      <c r="E634" s="17"/>
      <c r="F634" s="18"/>
      <c r="G634" s="19" t="str">
        <f aca="true">IF(F634="", "", DATEDIF(F634, TODAY(), "Y"))</f>
        <v/>
      </c>
      <c r="H634" s="18"/>
      <c r="I634" s="18"/>
      <c r="J634" s="19" t="str">
        <f aca="true">IF(ISBLANK(H634), "", I634-TODAY())</f>
        <v/>
      </c>
      <c r="K634" s="19" t="str">
        <f aca="false" t="array" ref="K634:K634">IF(A634&lt;&gt;"",IF(COUNTIF(A635:A$996,"&lt;&gt;")=0,COUNTA(B634:B$996),IFERROR(MATCH(TRUE(),INDEX((A635:A$996&lt;&gt;""),0),0),COUNTA(B634:B$996))),"")</f>
        <v/>
      </c>
      <c r="L634" s="20"/>
    </row>
    <row r="635" customFormat="false" ht="13.8" hidden="false" customHeight="false" outlineLevel="0" collapsed="false">
      <c r="A635" s="16"/>
      <c r="B635" s="16"/>
      <c r="C635" s="17"/>
      <c r="D635" s="17"/>
      <c r="E635" s="17"/>
      <c r="F635" s="18"/>
      <c r="G635" s="19" t="str">
        <f aca="true">IF(F635="", "", DATEDIF(F635, TODAY(), "Y"))</f>
        <v/>
      </c>
      <c r="H635" s="18"/>
      <c r="I635" s="18"/>
      <c r="J635" s="19" t="str">
        <f aca="true">IF(ISBLANK(H635), "", I635-TODAY())</f>
        <v/>
      </c>
      <c r="K635" s="19" t="str">
        <f aca="false" t="array" ref="K635:K635">IF(A635&lt;&gt;"",IF(COUNTIF(A636:A$996,"&lt;&gt;")=0,COUNTA(B635:B$996),IFERROR(MATCH(TRUE(),INDEX((A636:A$996&lt;&gt;""),0),0),COUNTA(B635:B$996))),"")</f>
        <v/>
      </c>
      <c r="L635" s="20"/>
    </row>
    <row r="636" customFormat="false" ht="13.8" hidden="false" customHeight="false" outlineLevel="0" collapsed="false">
      <c r="A636" s="16"/>
      <c r="B636" s="16"/>
      <c r="C636" s="17"/>
      <c r="D636" s="17"/>
      <c r="E636" s="17"/>
      <c r="F636" s="18"/>
      <c r="G636" s="19" t="str">
        <f aca="true">IF(F636="", "", DATEDIF(F636, TODAY(), "Y"))</f>
        <v/>
      </c>
      <c r="H636" s="18"/>
      <c r="I636" s="18"/>
      <c r="J636" s="19" t="str">
        <f aca="true">IF(ISBLANK(H636), "", I636-TODAY())</f>
        <v/>
      </c>
      <c r="K636" s="19" t="str">
        <f aca="false" t="array" ref="K636:K636">IF(A636&lt;&gt;"",IF(COUNTIF(A637:A$996,"&lt;&gt;")=0,COUNTA(B636:B$996),IFERROR(MATCH(TRUE(),INDEX((A637:A$996&lt;&gt;""),0),0),COUNTA(B636:B$996))),"")</f>
        <v/>
      </c>
      <c r="L636" s="20"/>
    </row>
    <row r="637" customFormat="false" ht="13.8" hidden="false" customHeight="false" outlineLevel="0" collapsed="false">
      <c r="A637" s="16"/>
      <c r="B637" s="16"/>
      <c r="C637" s="17"/>
      <c r="D637" s="17"/>
      <c r="E637" s="17"/>
      <c r="F637" s="18"/>
      <c r="G637" s="19" t="str">
        <f aca="true">IF(F637="", "", DATEDIF(F637, TODAY(), "Y"))</f>
        <v/>
      </c>
      <c r="H637" s="18"/>
      <c r="I637" s="18"/>
      <c r="J637" s="19" t="str">
        <f aca="true">IF(ISBLANK(H637), "", I637-TODAY())</f>
        <v/>
      </c>
      <c r="K637" s="19" t="str">
        <f aca="false" t="array" ref="K637:K637">IF(A637&lt;&gt;"",IF(COUNTIF(A638:A$996,"&lt;&gt;")=0,COUNTA(B637:B$996),IFERROR(MATCH(TRUE(),INDEX((A638:A$996&lt;&gt;""),0),0),COUNTA(B637:B$996))),"")</f>
        <v/>
      </c>
      <c r="L637" s="20"/>
    </row>
    <row r="638" customFormat="false" ht="13.8" hidden="false" customHeight="false" outlineLevel="0" collapsed="false">
      <c r="A638" s="16"/>
      <c r="B638" s="16"/>
      <c r="C638" s="17"/>
      <c r="D638" s="17"/>
      <c r="E638" s="17"/>
      <c r="F638" s="18"/>
      <c r="G638" s="19" t="str">
        <f aca="true">IF(F638="", "", DATEDIF(F638, TODAY(), "Y"))</f>
        <v/>
      </c>
      <c r="H638" s="18"/>
      <c r="I638" s="18"/>
      <c r="J638" s="19" t="str">
        <f aca="true">IF(ISBLANK(H638), "", I638-TODAY())</f>
        <v/>
      </c>
      <c r="K638" s="19" t="str">
        <f aca="false" t="array" ref="K638:K638">IF(A638&lt;&gt;"",IF(COUNTIF(A639:A$996,"&lt;&gt;")=0,COUNTA(B638:B$996),IFERROR(MATCH(TRUE(),INDEX((A639:A$996&lt;&gt;""),0),0),COUNTA(B638:B$996))),"")</f>
        <v/>
      </c>
      <c r="L638" s="20"/>
    </row>
    <row r="639" customFormat="false" ht="13.8" hidden="false" customHeight="false" outlineLevel="0" collapsed="false">
      <c r="A639" s="16"/>
      <c r="B639" s="16"/>
      <c r="C639" s="17"/>
      <c r="D639" s="17"/>
      <c r="E639" s="17"/>
      <c r="F639" s="18"/>
      <c r="G639" s="19" t="str">
        <f aca="true">IF(F639="", "", DATEDIF(F639, TODAY(), "Y"))</f>
        <v/>
      </c>
      <c r="H639" s="18"/>
      <c r="I639" s="18"/>
      <c r="J639" s="19" t="str">
        <f aca="true">IF(ISBLANK(H639), "", I639-TODAY())</f>
        <v/>
      </c>
      <c r="K639" s="19" t="str">
        <f aca="false" t="array" ref="K639:K639">IF(A639&lt;&gt;"",IF(COUNTIF(A640:A$996,"&lt;&gt;")=0,COUNTA(B639:B$996),IFERROR(MATCH(TRUE(),INDEX((A640:A$996&lt;&gt;""),0),0),COUNTA(B639:B$996))),"")</f>
        <v/>
      </c>
      <c r="L639" s="20"/>
    </row>
    <row r="640" customFormat="false" ht="13.8" hidden="false" customHeight="false" outlineLevel="0" collapsed="false">
      <c r="A640" s="16"/>
      <c r="B640" s="16"/>
      <c r="C640" s="17"/>
      <c r="D640" s="17"/>
      <c r="E640" s="17"/>
      <c r="F640" s="18"/>
      <c r="G640" s="19" t="str">
        <f aca="true">IF(F640="", "", DATEDIF(F640, TODAY(), "Y"))</f>
        <v/>
      </c>
      <c r="H640" s="18"/>
      <c r="I640" s="18"/>
      <c r="J640" s="19" t="str">
        <f aca="true">IF(ISBLANK(H640), "", I640-TODAY())</f>
        <v/>
      </c>
      <c r="K640" s="19" t="str">
        <f aca="false" t="array" ref="K640:K640">IF(A640&lt;&gt;"",IF(COUNTIF(A641:A$996,"&lt;&gt;")=0,COUNTA(B640:B$996),IFERROR(MATCH(TRUE(),INDEX((A641:A$996&lt;&gt;""),0),0),COUNTA(B640:B$996))),"")</f>
        <v/>
      </c>
      <c r="L640" s="20"/>
    </row>
    <row r="641" customFormat="false" ht="13.8" hidden="false" customHeight="false" outlineLevel="0" collapsed="false">
      <c r="A641" s="16"/>
      <c r="B641" s="16"/>
      <c r="C641" s="17"/>
      <c r="D641" s="17"/>
      <c r="E641" s="17"/>
      <c r="F641" s="18"/>
      <c r="G641" s="19" t="str">
        <f aca="true">IF(F641="", "", DATEDIF(F641, TODAY(), "Y"))</f>
        <v/>
      </c>
      <c r="H641" s="18"/>
      <c r="I641" s="18"/>
      <c r="J641" s="19" t="str">
        <f aca="true">IF(ISBLANK(H641), "", I641-TODAY())</f>
        <v/>
      </c>
      <c r="K641" s="19" t="str">
        <f aca="false" t="array" ref="K641:K641">IF(A641&lt;&gt;"",IF(COUNTIF(A642:A$996,"&lt;&gt;")=0,COUNTA(B641:B$996),IFERROR(MATCH(TRUE(),INDEX((A642:A$996&lt;&gt;""),0),0),COUNTA(B641:B$996))),"")</f>
        <v/>
      </c>
      <c r="L641" s="20"/>
    </row>
    <row r="642" customFormat="false" ht="13.8" hidden="false" customHeight="false" outlineLevel="0" collapsed="false">
      <c r="A642" s="16"/>
      <c r="B642" s="16"/>
      <c r="C642" s="17"/>
      <c r="D642" s="17"/>
      <c r="E642" s="17"/>
      <c r="F642" s="18"/>
      <c r="G642" s="19" t="str">
        <f aca="true">IF(F642="", "", DATEDIF(F642, TODAY(), "Y"))</f>
        <v/>
      </c>
      <c r="H642" s="18"/>
      <c r="I642" s="18"/>
      <c r="J642" s="19" t="str">
        <f aca="true">IF(ISBLANK(H642), "", I642-TODAY())</f>
        <v/>
      </c>
      <c r="K642" s="19" t="str">
        <f aca="false" t="array" ref="K642:K642">IF(A642&lt;&gt;"",IF(COUNTIF(A643:A$996,"&lt;&gt;")=0,COUNTA(B642:B$996),IFERROR(MATCH(TRUE(),INDEX((A643:A$996&lt;&gt;""),0),0),COUNTA(B642:B$996))),"")</f>
        <v/>
      </c>
      <c r="L642" s="20"/>
    </row>
    <row r="643" customFormat="false" ht="13.8" hidden="false" customHeight="false" outlineLevel="0" collapsed="false">
      <c r="A643" s="16"/>
      <c r="B643" s="16"/>
      <c r="C643" s="17"/>
      <c r="D643" s="17"/>
      <c r="E643" s="17"/>
      <c r="F643" s="18"/>
      <c r="G643" s="19" t="str">
        <f aca="true">IF(F643="", "", DATEDIF(F643, TODAY(), "Y"))</f>
        <v/>
      </c>
      <c r="H643" s="18"/>
      <c r="I643" s="18"/>
      <c r="J643" s="19" t="str">
        <f aca="true">IF(ISBLANK(H643), "", I643-TODAY())</f>
        <v/>
      </c>
      <c r="K643" s="19" t="str">
        <f aca="false" t="array" ref="K643:K643">IF(A643&lt;&gt;"",IF(COUNTIF(A644:A$996,"&lt;&gt;")=0,COUNTA(B643:B$996),IFERROR(MATCH(TRUE(),INDEX((A644:A$996&lt;&gt;""),0),0),COUNTA(B643:B$996))),"")</f>
        <v/>
      </c>
      <c r="L643" s="20"/>
    </row>
    <row r="644" customFormat="false" ht="13.8" hidden="false" customHeight="false" outlineLevel="0" collapsed="false">
      <c r="A644" s="16"/>
      <c r="B644" s="16"/>
      <c r="C644" s="17"/>
      <c r="D644" s="17"/>
      <c r="E644" s="17"/>
      <c r="F644" s="18"/>
      <c r="G644" s="19" t="str">
        <f aca="true">IF(F644="", "", DATEDIF(F644, TODAY(), "Y"))</f>
        <v/>
      </c>
      <c r="H644" s="18"/>
      <c r="I644" s="18"/>
      <c r="J644" s="19" t="str">
        <f aca="true">IF(ISBLANK(H644), "", I644-TODAY())</f>
        <v/>
      </c>
      <c r="K644" s="19" t="str">
        <f aca="false" t="array" ref="K644:K644">IF(A644&lt;&gt;"",IF(COUNTIF(A645:A$996,"&lt;&gt;")=0,COUNTA(B644:B$996),IFERROR(MATCH(TRUE(),INDEX((A645:A$996&lt;&gt;""),0),0),COUNTA(B644:B$996))),"")</f>
        <v/>
      </c>
      <c r="L644" s="20"/>
    </row>
    <row r="645" customFormat="false" ht="13.8" hidden="false" customHeight="false" outlineLevel="0" collapsed="false">
      <c r="A645" s="16"/>
      <c r="B645" s="16"/>
      <c r="C645" s="17"/>
      <c r="D645" s="17"/>
      <c r="E645" s="17"/>
      <c r="F645" s="18"/>
      <c r="G645" s="19" t="str">
        <f aca="true">IF(F645="", "", DATEDIF(F645, TODAY(), "Y"))</f>
        <v/>
      </c>
      <c r="H645" s="18"/>
      <c r="I645" s="18"/>
      <c r="J645" s="19" t="str">
        <f aca="true">IF(ISBLANK(H645), "", I645-TODAY())</f>
        <v/>
      </c>
      <c r="K645" s="19" t="str">
        <f aca="false" t="array" ref="K645:K645">IF(A645&lt;&gt;"",IF(COUNTIF(A646:A$996,"&lt;&gt;")=0,COUNTA(B645:B$996),IFERROR(MATCH(TRUE(),INDEX((A646:A$996&lt;&gt;""),0),0),COUNTA(B645:B$996))),"")</f>
        <v/>
      </c>
      <c r="L645" s="20"/>
    </row>
    <row r="646" customFormat="false" ht="13.8" hidden="false" customHeight="false" outlineLevel="0" collapsed="false">
      <c r="A646" s="16"/>
      <c r="B646" s="16"/>
      <c r="C646" s="17"/>
      <c r="D646" s="17"/>
      <c r="E646" s="17"/>
      <c r="F646" s="18"/>
      <c r="G646" s="19" t="str">
        <f aca="true">IF(F646="", "", DATEDIF(F646, TODAY(), "Y"))</f>
        <v/>
      </c>
      <c r="H646" s="18"/>
      <c r="I646" s="18"/>
      <c r="J646" s="19" t="str">
        <f aca="true">IF(ISBLANK(H646), "", I646-TODAY())</f>
        <v/>
      </c>
      <c r="K646" s="19" t="str">
        <f aca="false" t="array" ref="K646:K646">IF(A646&lt;&gt;"",IF(COUNTIF(A647:A$996,"&lt;&gt;")=0,COUNTA(B646:B$996),IFERROR(MATCH(TRUE(),INDEX((A647:A$996&lt;&gt;""),0),0),COUNTA(B646:B$996))),"")</f>
        <v/>
      </c>
      <c r="L646" s="20"/>
    </row>
    <row r="647" customFormat="false" ht="13.8" hidden="false" customHeight="false" outlineLevel="0" collapsed="false">
      <c r="A647" s="16"/>
      <c r="B647" s="16"/>
      <c r="C647" s="17"/>
      <c r="D647" s="17"/>
      <c r="E647" s="17"/>
      <c r="F647" s="18"/>
      <c r="G647" s="19" t="str">
        <f aca="true">IF(F647="", "", DATEDIF(F647, TODAY(), "Y"))</f>
        <v/>
      </c>
      <c r="H647" s="18"/>
      <c r="I647" s="18"/>
      <c r="J647" s="19" t="str">
        <f aca="true">IF(ISBLANK(H647), "", I647-TODAY())</f>
        <v/>
      </c>
      <c r="K647" s="19" t="str">
        <f aca="false" t="array" ref="K647:K647">IF(A647&lt;&gt;"",IF(COUNTIF(A648:A$996,"&lt;&gt;")=0,COUNTA(B647:B$996),IFERROR(MATCH(TRUE(),INDEX((A648:A$996&lt;&gt;""),0),0),COUNTA(B647:B$996))),"")</f>
        <v/>
      </c>
      <c r="L647" s="20"/>
    </row>
    <row r="648" customFormat="false" ht="13.8" hidden="false" customHeight="false" outlineLevel="0" collapsed="false">
      <c r="A648" s="16"/>
      <c r="B648" s="16"/>
      <c r="C648" s="17"/>
      <c r="D648" s="17"/>
      <c r="E648" s="17"/>
      <c r="F648" s="18"/>
      <c r="G648" s="19" t="str">
        <f aca="true">IF(F648="", "", DATEDIF(F648, TODAY(), "Y"))</f>
        <v/>
      </c>
      <c r="H648" s="18"/>
      <c r="I648" s="18"/>
      <c r="J648" s="19" t="str">
        <f aca="true">IF(ISBLANK(H648), "", I648-TODAY())</f>
        <v/>
      </c>
      <c r="K648" s="19" t="str">
        <f aca="false" t="array" ref="K648:K648">IF(A648&lt;&gt;"",IF(COUNTIF(A649:A$996,"&lt;&gt;")=0,COUNTA(B648:B$996),IFERROR(MATCH(TRUE(),INDEX((A649:A$996&lt;&gt;""),0),0),COUNTA(B648:B$996))),"")</f>
        <v/>
      </c>
      <c r="L648" s="20"/>
    </row>
    <row r="649" customFormat="false" ht="13.8" hidden="false" customHeight="false" outlineLevel="0" collapsed="false">
      <c r="A649" s="16"/>
      <c r="B649" s="16"/>
      <c r="C649" s="17"/>
      <c r="D649" s="17"/>
      <c r="E649" s="17"/>
      <c r="F649" s="18"/>
      <c r="G649" s="19" t="str">
        <f aca="true">IF(F649="", "", DATEDIF(F649, TODAY(), "Y"))</f>
        <v/>
      </c>
      <c r="H649" s="18"/>
      <c r="I649" s="18"/>
      <c r="J649" s="19" t="str">
        <f aca="true">IF(ISBLANK(H649), "", I649-TODAY())</f>
        <v/>
      </c>
      <c r="K649" s="19" t="str">
        <f aca="false" t="array" ref="K649:K649">IF(A649&lt;&gt;"",IF(COUNTIF(A650:A$996,"&lt;&gt;")=0,COUNTA(B649:B$996),IFERROR(MATCH(TRUE(),INDEX((A650:A$996&lt;&gt;""),0),0),COUNTA(B649:B$996))),"")</f>
        <v/>
      </c>
      <c r="L649" s="20"/>
    </row>
    <row r="650" customFormat="false" ht="13.8" hidden="false" customHeight="false" outlineLevel="0" collapsed="false">
      <c r="A650" s="16"/>
      <c r="B650" s="16"/>
      <c r="C650" s="17"/>
      <c r="D650" s="17"/>
      <c r="E650" s="17"/>
      <c r="F650" s="18"/>
      <c r="G650" s="19" t="str">
        <f aca="true">IF(F650="", "", DATEDIF(F650, TODAY(), "Y"))</f>
        <v/>
      </c>
      <c r="H650" s="18"/>
      <c r="I650" s="18"/>
      <c r="J650" s="19" t="str">
        <f aca="true">IF(ISBLANK(H650), "", I650-TODAY())</f>
        <v/>
      </c>
      <c r="K650" s="19" t="str">
        <f aca="false" t="array" ref="K650:K650">IF(A650&lt;&gt;"",IF(COUNTIF(A651:A$996,"&lt;&gt;")=0,COUNTA(B650:B$996),IFERROR(MATCH(TRUE(),INDEX((A651:A$996&lt;&gt;""),0),0),COUNTA(B650:B$996))),"")</f>
        <v/>
      </c>
      <c r="L650" s="20"/>
    </row>
    <row r="651" customFormat="false" ht="13.8" hidden="false" customHeight="false" outlineLevel="0" collapsed="false">
      <c r="A651" s="16"/>
      <c r="B651" s="16"/>
      <c r="C651" s="17"/>
      <c r="D651" s="17"/>
      <c r="E651" s="17"/>
      <c r="F651" s="18"/>
      <c r="G651" s="19" t="str">
        <f aca="true">IF(F651="", "", DATEDIF(F651, TODAY(), "Y"))</f>
        <v/>
      </c>
      <c r="H651" s="18"/>
      <c r="I651" s="18"/>
      <c r="J651" s="19" t="str">
        <f aca="true">IF(ISBLANK(H651), "", I651-TODAY())</f>
        <v/>
      </c>
      <c r="K651" s="19" t="str">
        <f aca="false" t="array" ref="K651:K651">IF(A651&lt;&gt;"",IF(COUNTIF(A652:A$996,"&lt;&gt;")=0,COUNTA(B651:B$996),IFERROR(MATCH(TRUE(),INDEX((A652:A$996&lt;&gt;""),0),0),COUNTA(B651:B$996))),"")</f>
        <v/>
      </c>
      <c r="L651" s="20"/>
    </row>
    <row r="652" customFormat="false" ht="13.8" hidden="false" customHeight="false" outlineLevel="0" collapsed="false">
      <c r="A652" s="16"/>
      <c r="B652" s="16"/>
      <c r="C652" s="17"/>
      <c r="D652" s="17"/>
      <c r="E652" s="17"/>
      <c r="F652" s="18"/>
      <c r="G652" s="19" t="str">
        <f aca="true">IF(F652="", "", DATEDIF(F652, TODAY(), "Y"))</f>
        <v/>
      </c>
      <c r="H652" s="18"/>
      <c r="I652" s="18"/>
      <c r="J652" s="19" t="str">
        <f aca="true">IF(ISBLANK(H652), "", I652-TODAY())</f>
        <v/>
      </c>
      <c r="K652" s="19" t="str">
        <f aca="false" t="array" ref="K652:K652">IF(A652&lt;&gt;"",IF(COUNTIF(A653:A$996,"&lt;&gt;")=0,COUNTA(B652:B$996),IFERROR(MATCH(TRUE(),INDEX((A653:A$996&lt;&gt;""),0),0),COUNTA(B652:B$996))),"")</f>
        <v/>
      </c>
      <c r="L652" s="20"/>
    </row>
    <row r="653" customFormat="false" ht="13.8" hidden="false" customHeight="false" outlineLevel="0" collapsed="false">
      <c r="A653" s="16"/>
      <c r="B653" s="16"/>
      <c r="C653" s="17"/>
      <c r="D653" s="17"/>
      <c r="E653" s="17"/>
      <c r="F653" s="18"/>
      <c r="G653" s="19" t="str">
        <f aca="true">IF(F653="", "", DATEDIF(F653, TODAY(), "Y"))</f>
        <v/>
      </c>
      <c r="H653" s="18"/>
      <c r="I653" s="18"/>
      <c r="J653" s="19" t="str">
        <f aca="true">IF(ISBLANK(H653), "", I653-TODAY())</f>
        <v/>
      </c>
      <c r="K653" s="19" t="str">
        <f aca="false" t="array" ref="K653:K653">IF(A653&lt;&gt;"",IF(COUNTIF(A654:A$996,"&lt;&gt;")=0,COUNTA(B653:B$996),IFERROR(MATCH(TRUE(),INDEX((A654:A$996&lt;&gt;""),0),0),COUNTA(B653:B$996))),"")</f>
        <v/>
      </c>
      <c r="L653" s="20"/>
    </row>
    <row r="654" customFormat="false" ht="13.8" hidden="false" customHeight="false" outlineLevel="0" collapsed="false">
      <c r="A654" s="16"/>
      <c r="B654" s="16"/>
      <c r="C654" s="17"/>
      <c r="D654" s="17"/>
      <c r="E654" s="17"/>
      <c r="F654" s="18"/>
      <c r="G654" s="19" t="str">
        <f aca="true">IF(F654="", "", DATEDIF(F654, TODAY(), "Y"))</f>
        <v/>
      </c>
      <c r="H654" s="18"/>
      <c r="I654" s="18"/>
      <c r="J654" s="19" t="str">
        <f aca="true">IF(ISBLANK(H654), "", I654-TODAY())</f>
        <v/>
      </c>
      <c r="K654" s="19" t="str">
        <f aca="false" t="array" ref="K654:K654">IF(A654&lt;&gt;"",IF(COUNTIF(A655:A$996,"&lt;&gt;")=0,COUNTA(B654:B$996),IFERROR(MATCH(TRUE(),INDEX((A655:A$996&lt;&gt;""),0),0),COUNTA(B654:B$996))),"")</f>
        <v/>
      </c>
      <c r="L654" s="20"/>
    </row>
    <row r="655" customFormat="false" ht="13.8" hidden="false" customHeight="false" outlineLevel="0" collapsed="false">
      <c r="A655" s="16"/>
      <c r="B655" s="16"/>
      <c r="C655" s="17"/>
      <c r="D655" s="17"/>
      <c r="E655" s="17"/>
      <c r="F655" s="18"/>
      <c r="G655" s="19" t="str">
        <f aca="true">IF(F655="", "", DATEDIF(F655, TODAY(), "Y"))</f>
        <v/>
      </c>
      <c r="H655" s="18"/>
      <c r="I655" s="18"/>
      <c r="J655" s="19" t="str">
        <f aca="true">IF(ISBLANK(H655), "", I655-TODAY())</f>
        <v/>
      </c>
      <c r="K655" s="19" t="str">
        <f aca="false" t="array" ref="K655:K655">IF(A655&lt;&gt;"",IF(COUNTIF(A656:A$996,"&lt;&gt;")=0,COUNTA(B655:B$996),IFERROR(MATCH(TRUE(),INDEX((A656:A$996&lt;&gt;""),0),0),COUNTA(B655:B$996))),"")</f>
        <v/>
      </c>
      <c r="L655" s="20"/>
    </row>
    <row r="656" customFormat="false" ht="13.8" hidden="false" customHeight="false" outlineLevel="0" collapsed="false">
      <c r="A656" s="16"/>
      <c r="B656" s="16"/>
      <c r="C656" s="17"/>
      <c r="D656" s="17"/>
      <c r="E656" s="17"/>
      <c r="F656" s="18"/>
      <c r="G656" s="19" t="str">
        <f aca="true">IF(F656="", "", DATEDIF(F656, TODAY(), "Y"))</f>
        <v/>
      </c>
      <c r="H656" s="18"/>
      <c r="I656" s="18"/>
      <c r="J656" s="19" t="str">
        <f aca="true">IF(ISBLANK(H656), "", I656-TODAY())</f>
        <v/>
      </c>
      <c r="K656" s="19" t="str">
        <f aca="false" t="array" ref="K656:K656">IF(A656&lt;&gt;"",IF(COUNTIF(A657:A$996,"&lt;&gt;")=0,COUNTA(B656:B$996),IFERROR(MATCH(TRUE(),INDEX((A657:A$996&lt;&gt;""),0),0),COUNTA(B656:B$996))),"")</f>
        <v/>
      </c>
      <c r="L656" s="20"/>
    </row>
    <row r="657" customFormat="false" ht="13.8" hidden="false" customHeight="false" outlineLevel="0" collapsed="false">
      <c r="A657" s="16"/>
      <c r="B657" s="16"/>
      <c r="C657" s="17"/>
      <c r="D657" s="17"/>
      <c r="E657" s="17"/>
      <c r="F657" s="18"/>
      <c r="G657" s="19" t="str">
        <f aca="true">IF(F657="", "", DATEDIF(F657, TODAY(), "Y"))</f>
        <v/>
      </c>
      <c r="H657" s="18"/>
      <c r="I657" s="18"/>
      <c r="J657" s="19" t="str">
        <f aca="true">IF(ISBLANK(H657), "", I657-TODAY())</f>
        <v/>
      </c>
      <c r="K657" s="19" t="str">
        <f aca="false" t="array" ref="K657:K657">IF(A657&lt;&gt;"",IF(COUNTIF(A658:A$996,"&lt;&gt;")=0,COUNTA(B657:B$996),IFERROR(MATCH(TRUE(),INDEX((A658:A$996&lt;&gt;""),0),0),COUNTA(B657:B$996))),"")</f>
        <v/>
      </c>
      <c r="L657" s="20"/>
    </row>
    <row r="658" customFormat="false" ht="13.8" hidden="false" customHeight="false" outlineLevel="0" collapsed="false">
      <c r="A658" s="16"/>
      <c r="B658" s="16"/>
      <c r="C658" s="17"/>
      <c r="D658" s="17"/>
      <c r="E658" s="17"/>
      <c r="F658" s="18"/>
      <c r="G658" s="19" t="str">
        <f aca="true">IF(F658="", "", DATEDIF(F658, TODAY(), "Y"))</f>
        <v/>
      </c>
      <c r="H658" s="18"/>
      <c r="I658" s="18"/>
      <c r="J658" s="19" t="str">
        <f aca="true">IF(ISBLANK(H658), "", I658-TODAY())</f>
        <v/>
      </c>
      <c r="K658" s="19" t="str">
        <f aca="false" t="array" ref="K658:K658">IF(A658&lt;&gt;"",IF(COUNTIF(A659:A$996,"&lt;&gt;")=0,COUNTA(B658:B$996),IFERROR(MATCH(TRUE(),INDEX((A659:A$996&lt;&gt;""),0),0),COUNTA(B658:B$996))),"")</f>
        <v/>
      </c>
      <c r="L658" s="20"/>
    </row>
    <row r="659" customFormat="false" ht="13.8" hidden="false" customHeight="false" outlineLevel="0" collapsed="false">
      <c r="A659" s="16"/>
      <c r="B659" s="16"/>
      <c r="C659" s="17"/>
      <c r="D659" s="17"/>
      <c r="E659" s="17"/>
      <c r="F659" s="18"/>
      <c r="G659" s="19" t="str">
        <f aca="true">IF(F659="", "", DATEDIF(F659, TODAY(), "Y"))</f>
        <v/>
      </c>
      <c r="H659" s="18"/>
      <c r="I659" s="18"/>
      <c r="J659" s="19" t="str">
        <f aca="true">IF(ISBLANK(H659), "", I659-TODAY())</f>
        <v/>
      </c>
      <c r="K659" s="19" t="str">
        <f aca="false" t="array" ref="K659:K659">IF(A659&lt;&gt;"",IF(COUNTIF(A660:A$996,"&lt;&gt;")=0,COUNTA(B659:B$996),IFERROR(MATCH(TRUE(),INDEX((A660:A$996&lt;&gt;""),0),0),COUNTA(B659:B$996))),"")</f>
        <v/>
      </c>
      <c r="L659" s="20"/>
    </row>
    <row r="660" customFormat="false" ht="13.8" hidden="false" customHeight="false" outlineLevel="0" collapsed="false">
      <c r="A660" s="16"/>
      <c r="B660" s="16"/>
      <c r="C660" s="17"/>
      <c r="D660" s="17"/>
      <c r="E660" s="17"/>
      <c r="F660" s="18"/>
      <c r="G660" s="19" t="str">
        <f aca="true">IF(F660="", "", DATEDIF(F660, TODAY(), "Y"))</f>
        <v/>
      </c>
      <c r="H660" s="18"/>
      <c r="I660" s="18"/>
      <c r="J660" s="19" t="str">
        <f aca="true">IF(ISBLANK(H660), "", I660-TODAY())</f>
        <v/>
      </c>
      <c r="K660" s="19" t="str">
        <f aca="false" t="array" ref="K660:K660">IF(A660&lt;&gt;"",IF(COUNTIF(A661:A$996,"&lt;&gt;")=0,COUNTA(B660:B$996),IFERROR(MATCH(TRUE(),INDEX((A661:A$996&lt;&gt;""),0),0),COUNTA(B660:B$996))),"")</f>
        <v/>
      </c>
      <c r="L660" s="20"/>
    </row>
    <row r="661" customFormat="false" ht="13.8" hidden="false" customHeight="false" outlineLevel="0" collapsed="false">
      <c r="A661" s="16"/>
      <c r="B661" s="16"/>
      <c r="C661" s="17"/>
      <c r="D661" s="17"/>
      <c r="E661" s="17"/>
      <c r="F661" s="18"/>
      <c r="G661" s="19" t="str">
        <f aca="true">IF(F661="", "", DATEDIF(F661, TODAY(), "Y"))</f>
        <v/>
      </c>
      <c r="H661" s="18"/>
      <c r="I661" s="18"/>
      <c r="J661" s="19" t="str">
        <f aca="true">IF(ISBLANK(H661), "", I661-TODAY())</f>
        <v/>
      </c>
      <c r="K661" s="19" t="str">
        <f aca="false" t="array" ref="K661:K661">IF(A661&lt;&gt;"",IF(COUNTIF(A662:A$996,"&lt;&gt;")=0,COUNTA(B661:B$996),IFERROR(MATCH(TRUE(),INDEX((A662:A$996&lt;&gt;""),0),0),COUNTA(B661:B$996))),"")</f>
        <v/>
      </c>
      <c r="L661" s="20"/>
    </row>
    <row r="662" customFormat="false" ht="13.8" hidden="false" customHeight="false" outlineLevel="0" collapsed="false">
      <c r="A662" s="16"/>
      <c r="B662" s="16"/>
      <c r="C662" s="17"/>
      <c r="D662" s="17"/>
      <c r="E662" s="17"/>
      <c r="F662" s="18"/>
      <c r="G662" s="19" t="str">
        <f aca="true">IF(F662="", "", DATEDIF(F662, TODAY(), "Y"))</f>
        <v/>
      </c>
      <c r="H662" s="18"/>
      <c r="I662" s="18"/>
      <c r="J662" s="19" t="str">
        <f aca="true">IF(ISBLANK(H662), "", I662-TODAY())</f>
        <v/>
      </c>
      <c r="K662" s="19" t="str">
        <f aca="false" t="array" ref="K662:K662">IF(A662&lt;&gt;"",IF(COUNTIF(A663:A$996,"&lt;&gt;")=0,COUNTA(B662:B$996),IFERROR(MATCH(TRUE(),INDEX((A663:A$996&lt;&gt;""),0),0),COUNTA(B662:B$996))),"")</f>
        <v/>
      </c>
      <c r="L662" s="20"/>
    </row>
    <row r="663" customFormat="false" ht="13.8" hidden="false" customHeight="false" outlineLevel="0" collapsed="false">
      <c r="A663" s="16"/>
      <c r="B663" s="16"/>
      <c r="C663" s="17"/>
      <c r="D663" s="17"/>
      <c r="E663" s="17"/>
      <c r="F663" s="18"/>
      <c r="G663" s="19" t="str">
        <f aca="true">IF(F663="", "", DATEDIF(F663, TODAY(), "Y"))</f>
        <v/>
      </c>
      <c r="H663" s="18"/>
      <c r="I663" s="18"/>
      <c r="J663" s="19" t="str">
        <f aca="true">IF(ISBLANK(H663), "", I663-TODAY())</f>
        <v/>
      </c>
      <c r="K663" s="19" t="str">
        <f aca="false" t="array" ref="K663:K663">IF(A663&lt;&gt;"",IF(COUNTIF(A664:A$996,"&lt;&gt;")=0,COUNTA(B663:B$996),IFERROR(MATCH(TRUE(),INDEX((A664:A$996&lt;&gt;""),0),0),COUNTA(B663:B$996))),"")</f>
        <v/>
      </c>
      <c r="L663" s="20"/>
    </row>
    <row r="664" customFormat="false" ht="13.8" hidden="false" customHeight="false" outlineLevel="0" collapsed="false">
      <c r="A664" s="16"/>
      <c r="B664" s="16"/>
      <c r="C664" s="17"/>
      <c r="D664" s="17"/>
      <c r="E664" s="17"/>
      <c r="F664" s="18"/>
      <c r="G664" s="19" t="str">
        <f aca="true">IF(F664="", "", DATEDIF(F664, TODAY(), "Y"))</f>
        <v/>
      </c>
      <c r="H664" s="18"/>
      <c r="I664" s="18"/>
      <c r="J664" s="19" t="str">
        <f aca="true">IF(ISBLANK(H664), "", I664-TODAY())</f>
        <v/>
      </c>
      <c r="K664" s="19" t="str">
        <f aca="false" t="array" ref="K664:K664">IF(A664&lt;&gt;"",IF(COUNTIF(A665:A$996,"&lt;&gt;")=0,COUNTA(B664:B$996),IFERROR(MATCH(TRUE(),INDEX((A665:A$996&lt;&gt;""),0),0),COUNTA(B664:B$996))),"")</f>
        <v/>
      </c>
      <c r="L664" s="20"/>
    </row>
    <row r="665" customFormat="false" ht="13.8" hidden="false" customHeight="false" outlineLevel="0" collapsed="false">
      <c r="A665" s="16"/>
      <c r="B665" s="16"/>
      <c r="C665" s="17"/>
      <c r="D665" s="17"/>
      <c r="E665" s="17"/>
      <c r="F665" s="18"/>
      <c r="G665" s="19" t="str">
        <f aca="true">IF(F665="", "", DATEDIF(F665, TODAY(), "Y"))</f>
        <v/>
      </c>
      <c r="H665" s="18"/>
      <c r="I665" s="18"/>
      <c r="J665" s="19" t="str">
        <f aca="true">IF(ISBLANK(H665), "", I665-TODAY())</f>
        <v/>
      </c>
      <c r="K665" s="19" t="str">
        <f aca="false" t="array" ref="K665:K665">IF(A665&lt;&gt;"",IF(COUNTIF(A666:A$996,"&lt;&gt;")=0,COUNTA(B665:B$996),IFERROR(MATCH(TRUE(),INDEX((A666:A$996&lt;&gt;""),0),0),COUNTA(B665:B$996))),"")</f>
        <v/>
      </c>
      <c r="L665" s="20"/>
    </row>
    <row r="666" customFormat="false" ht="13.8" hidden="false" customHeight="false" outlineLevel="0" collapsed="false">
      <c r="A666" s="16"/>
      <c r="B666" s="16"/>
      <c r="C666" s="17"/>
      <c r="D666" s="17"/>
      <c r="E666" s="17"/>
      <c r="F666" s="18"/>
      <c r="G666" s="19" t="str">
        <f aca="true">IF(F666="", "", DATEDIF(F666, TODAY(), "Y"))</f>
        <v/>
      </c>
      <c r="H666" s="18"/>
      <c r="I666" s="18"/>
      <c r="J666" s="19" t="str">
        <f aca="true">IF(ISBLANK(H666), "", I666-TODAY())</f>
        <v/>
      </c>
      <c r="K666" s="19" t="str">
        <f aca="false" t="array" ref="K666:K666">IF(A666&lt;&gt;"",IF(COUNTIF(A667:A$996,"&lt;&gt;")=0,COUNTA(B666:B$996),IFERROR(MATCH(TRUE(),INDEX((A667:A$996&lt;&gt;""),0),0),COUNTA(B666:B$996))),"")</f>
        <v/>
      </c>
      <c r="L666" s="20"/>
    </row>
    <row r="667" customFormat="false" ht="13.8" hidden="false" customHeight="false" outlineLevel="0" collapsed="false">
      <c r="A667" s="16"/>
      <c r="B667" s="16"/>
      <c r="C667" s="17"/>
      <c r="D667" s="17"/>
      <c r="E667" s="17"/>
      <c r="F667" s="18"/>
      <c r="G667" s="19" t="str">
        <f aca="true">IF(F667="", "", DATEDIF(F667, TODAY(), "Y"))</f>
        <v/>
      </c>
      <c r="H667" s="18"/>
      <c r="I667" s="18"/>
      <c r="J667" s="19" t="str">
        <f aca="true">IF(ISBLANK(H667), "", I667-TODAY())</f>
        <v/>
      </c>
      <c r="K667" s="19" t="str">
        <f aca="false" t="array" ref="K667:K667">IF(A667&lt;&gt;"",IF(COUNTIF(A668:A$996,"&lt;&gt;")=0,COUNTA(B667:B$996),IFERROR(MATCH(TRUE(),INDEX((A668:A$996&lt;&gt;""),0),0),COUNTA(B667:B$996))),"")</f>
        <v/>
      </c>
      <c r="L667" s="20"/>
    </row>
    <row r="668" customFormat="false" ht="13.8" hidden="false" customHeight="false" outlineLevel="0" collapsed="false">
      <c r="A668" s="16"/>
      <c r="B668" s="16"/>
      <c r="C668" s="17"/>
      <c r="D668" s="17"/>
      <c r="E668" s="17"/>
      <c r="F668" s="18"/>
      <c r="G668" s="19" t="str">
        <f aca="true">IF(F668="", "", DATEDIF(F668, TODAY(), "Y"))</f>
        <v/>
      </c>
      <c r="H668" s="18"/>
      <c r="I668" s="18"/>
      <c r="J668" s="19" t="str">
        <f aca="true">IF(ISBLANK(H668), "", I668-TODAY())</f>
        <v/>
      </c>
      <c r="K668" s="19" t="str">
        <f aca="false" t="array" ref="K668:K668">IF(A668&lt;&gt;"",IF(COUNTIF(A669:A$996,"&lt;&gt;")=0,COUNTA(B668:B$996),IFERROR(MATCH(TRUE(),INDEX((A669:A$996&lt;&gt;""),0),0),COUNTA(B668:B$996))),"")</f>
        <v/>
      </c>
      <c r="L668" s="20"/>
    </row>
    <row r="669" customFormat="false" ht="13.8" hidden="false" customHeight="false" outlineLevel="0" collapsed="false">
      <c r="A669" s="16"/>
      <c r="B669" s="16"/>
      <c r="C669" s="17"/>
      <c r="D669" s="17"/>
      <c r="E669" s="17"/>
      <c r="F669" s="18"/>
      <c r="G669" s="19" t="str">
        <f aca="true">IF(F669="", "", DATEDIF(F669, TODAY(), "Y"))</f>
        <v/>
      </c>
      <c r="H669" s="18"/>
      <c r="I669" s="18"/>
      <c r="J669" s="19" t="str">
        <f aca="true">IF(ISBLANK(H669), "", I669-TODAY())</f>
        <v/>
      </c>
      <c r="K669" s="19" t="str">
        <f aca="false" t="array" ref="K669:K669">IF(A669&lt;&gt;"",IF(COUNTIF(A670:A$996,"&lt;&gt;")=0,COUNTA(B669:B$996),IFERROR(MATCH(TRUE(),INDEX((A670:A$996&lt;&gt;""),0),0),COUNTA(B669:B$996))),"")</f>
        <v/>
      </c>
      <c r="L669" s="20"/>
    </row>
    <row r="670" customFormat="false" ht="13.8" hidden="false" customHeight="false" outlineLevel="0" collapsed="false">
      <c r="A670" s="16"/>
      <c r="B670" s="16"/>
      <c r="C670" s="17"/>
      <c r="D670" s="17"/>
      <c r="E670" s="17"/>
      <c r="F670" s="18"/>
      <c r="G670" s="19" t="str">
        <f aca="true">IF(F670="", "", DATEDIF(F670, TODAY(), "Y"))</f>
        <v/>
      </c>
      <c r="H670" s="18"/>
      <c r="I670" s="18"/>
      <c r="J670" s="19" t="str">
        <f aca="true">IF(ISBLANK(H670), "", I670-TODAY())</f>
        <v/>
      </c>
      <c r="K670" s="19" t="str">
        <f aca="false" t="array" ref="K670:K670">IF(A670&lt;&gt;"",IF(COUNTIF(A671:A$996,"&lt;&gt;")=0,COUNTA(B670:B$996),IFERROR(MATCH(TRUE(),INDEX((A671:A$996&lt;&gt;""),0),0),COUNTA(B670:B$996))),"")</f>
        <v/>
      </c>
      <c r="L670" s="20"/>
    </row>
    <row r="671" customFormat="false" ht="13.8" hidden="false" customHeight="false" outlineLevel="0" collapsed="false">
      <c r="A671" s="16"/>
      <c r="B671" s="16"/>
      <c r="C671" s="17"/>
      <c r="D671" s="17"/>
      <c r="E671" s="17"/>
      <c r="F671" s="18"/>
      <c r="G671" s="19" t="str">
        <f aca="true">IF(F671="", "", DATEDIF(F671, TODAY(), "Y"))</f>
        <v/>
      </c>
      <c r="H671" s="18"/>
      <c r="I671" s="18"/>
      <c r="J671" s="19" t="str">
        <f aca="true">IF(ISBLANK(H671), "", I671-TODAY())</f>
        <v/>
      </c>
      <c r="K671" s="19" t="str">
        <f aca="false" t="array" ref="K671:K671">IF(A671&lt;&gt;"",IF(COUNTIF(A672:A$996,"&lt;&gt;")=0,COUNTA(B671:B$996),IFERROR(MATCH(TRUE(),INDEX((A672:A$996&lt;&gt;""),0),0),COUNTA(B671:B$996))),"")</f>
        <v/>
      </c>
      <c r="L671" s="20"/>
    </row>
    <row r="672" customFormat="false" ht="13.8" hidden="false" customHeight="false" outlineLevel="0" collapsed="false">
      <c r="A672" s="16"/>
      <c r="B672" s="16"/>
      <c r="C672" s="17"/>
      <c r="D672" s="17"/>
      <c r="E672" s="17"/>
      <c r="F672" s="18"/>
      <c r="G672" s="19" t="str">
        <f aca="true">IF(F672="", "", DATEDIF(F672, TODAY(), "Y"))</f>
        <v/>
      </c>
      <c r="H672" s="18"/>
      <c r="I672" s="18"/>
      <c r="J672" s="19" t="str">
        <f aca="true">IF(ISBLANK(H672), "", I672-TODAY())</f>
        <v/>
      </c>
      <c r="K672" s="19" t="str">
        <f aca="false" t="array" ref="K672:K672">IF(A672&lt;&gt;"",IF(COUNTIF(A673:A$996,"&lt;&gt;")=0,COUNTA(B672:B$996),IFERROR(MATCH(TRUE(),INDEX((A673:A$996&lt;&gt;""),0),0),COUNTA(B672:B$996))),"")</f>
        <v/>
      </c>
      <c r="L672" s="20"/>
    </row>
    <row r="673" customFormat="false" ht="13.8" hidden="false" customHeight="false" outlineLevel="0" collapsed="false">
      <c r="A673" s="16"/>
      <c r="B673" s="16"/>
      <c r="C673" s="17"/>
      <c r="D673" s="17"/>
      <c r="E673" s="17"/>
      <c r="F673" s="18"/>
      <c r="G673" s="19" t="str">
        <f aca="true">IF(F673="", "", DATEDIF(F673, TODAY(), "Y"))</f>
        <v/>
      </c>
      <c r="H673" s="18"/>
      <c r="I673" s="18"/>
      <c r="J673" s="19" t="str">
        <f aca="true">IF(ISBLANK(H673), "", I673-TODAY())</f>
        <v/>
      </c>
      <c r="K673" s="19" t="str">
        <f aca="false" t="array" ref="K673:K673">IF(A673&lt;&gt;"",IF(COUNTIF(A674:A$996,"&lt;&gt;")=0,COUNTA(B673:B$996),IFERROR(MATCH(TRUE(),INDEX((A674:A$996&lt;&gt;""),0),0),COUNTA(B673:B$996))),"")</f>
        <v/>
      </c>
      <c r="L673" s="20"/>
    </row>
    <row r="674" customFormat="false" ht="13.8" hidden="false" customHeight="false" outlineLevel="0" collapsed="false">
      <c r="A674" s="16"/>
      <c r="B674" s="16"/>
      <c r="C674" s="17"/>
      <c r="D674" s="17"/>
      <c r="E674" s="17"/>
      <c r="F674" s="18"/>
      <c r="G674" s="19" t="str">
        <f aca="true">IF(F674="", "", DATEDIF(F674, TODAY(), "Y"))</f>
        <v/>
      </c>
      <c r="H674" s="18"/>
      <c r="I674" s="18"/>
      <c r="J674" s="19" t="str">
        <f aca="true">IF(ISBLANK(H674), "", I674-TODAY())</f>
        <v/>
      </c>
      <c r="K674" s="19" t="str">
        <f aca="false" t="array" ref="K674:K674">IF(A674&lt;&gt;"",IF(COUNTIF(A675:A$996,"&lt;&gt;")=0,COUNTA(B674:B$996),IFERROR(MATCH(TRUE(),INDEX((A675:A$996&lt;&gt;""),0),0),COUNTA(B674:B$996))),"")</f>
        <v/>
      </c>
      <c r="L674" s="20"/>
    </row>
    <row r="675" customFormat="false" ht="13.8" hidden="false" customHeight="false" outlineLevel="0" collapsed="false">
      <c r="A675" s="16"/>
      <c r="B675" s="16"/>
      <c r="C675" s="17"/>
      <c r="D675" s="17"/>
      <c r="E675" s="17"/>
      <c r="F675" s="18"/>
      <c r="G675" s="19" t="str">
        <f aca="true">IF(F675="", "", DATEDIF(F675, TODAY(), "Y"))</f>
        <v/>
      </c>
      <c r="H675" s="18"/>
      <c r="I675" s="18"/>
      <c r="J675" s="19" t="str">
        <f aca="true">IF(ISBLANK(H675), "", I675-TODAY())</f>
        <v/>
      </c>
      <c r="K675" s="19" t="str">
        <f aca="false" t="array" ref="K675:K675">IF(A675&lt;&gt;"",IF(COUNTIF(A676:A$996,"&lt;&gt;")=0,COUNTA(B675:B$996),IFERROR(MATCH(TRUE(),INDEX((A676:A$996&lt;&gt;""),0),0),COUNTA(B675:B$996))),"")</f>
        <v/>
      </c>
      <c r="L675" s="20"/>
    </row>
    <row r="676" customFormat="false" ht="13.8" hidden="false" customHeight="false" outlineLevel="0" collapsed="false">
      <c r="A676" s="16"/>
      <c r="B676" s="16"/>
      <c r="C676" s="17"/>
      <c r="D676" s="17"/>
      <c r="E676" s="17"/>
      <c r="F676" s="18"/>
      <c r="G676" s="19" t="str">
        <f aca="true">IF(F676="", "", DATEDIF(F676, TODAY(), "Y"))</f>
        <v/>
      </c>
      <c r="H676" s="18"/>
      <c r="I676" s="18"/>
      <c r="J676" s="19" t="str">
        <f aca="true">IF(ISBLANK(H676), "", I676-TODAY())</f>
        <v/>
      </c>
      <c r="K676" s="19" t="str">
        <f aca="false" t="array" ref="K676:K676">IF(A676&lt;&gt;"",IF(COUNTIF(A677:A$996,"&lt;&gt;")=0,COUNTA(B676:B$996),IFERROR(MATCH(TRUE(),INDEX((A677:A$996&lt;&gt;""),0),0),COUNTA(B676:B$996))),"")</f>
        <v/>
      </c>
      <c r="L676" s="20"/>
    </row>
    <row r="677" customFormat="false" ht="13.8" hidden="false" customHeight="false" outlineLevel="0" collapsed="false">
      <c r="A677" s="16"/>
      <c r="B677" s="16"/>
      <c r="C677" s="17"/>
      <c r="D677" s="17"/>
      <c r="E677" s="17"/>
      <c r="F677" s="18"/>
      <c r="G677" s="19" t="str">
        <f aca="true">IF(F677="", "", DATEDIF(F677, TODAY(), "Y"))</f>
        <v/>
      </c>
      <c r="H677" s="18"/>
      <c r="I677" s="18"/>
      <c r="J677" s="19" t="str">
        <f aca="true">IF(ISBLANK(H677), "", I677-TODAY())</f>
        <v/>
      </c>
      <c r="K677" s="19" t="str">
        <f aca="false" t="array" ref="K677:K677">IF(A677&lt;&gt;"",IF(COUNTIF(A678:A$996,"&lt;&gt;")=0,COUNTA(B677:B$996),IFERROR(MATCH(TRUE(),INDEX((A678:A$996&lt;&gt;""),0),0),COUNTA(B677:B$996))),"")</f>
        <v/>
      </c>
      <c r="L677" s="20"/>
    </row>
    <row r="678" customFormat="false" ht="13.8" hidden="false" customHeight="false" outlineLevel="0" collapsed="false">
      <c r="A678" s="16"/>
      <c r="B678" s="16"/>
      <c r="C678" s="17"/>
      <c r="D678" s="17"/>
      <c r="E678" s="17"/>
      <c r="F678" s="18"/>
      <c r="G678" s="19" t="str">
        <f aca="true">IF(F678="", "", DATEDIF(F678, TODAY(), "Y"))</f>
        <v/>
      </c>
      <c r="H678" s="18"/>
      <c r="I678" s="18"/>
      <c r="J678" s="19" t="str">
        <f aca="true">IF(ISBLANK(H678), "", I678-TODAY())</f>
        <v/>
      </c>
      <c r="K678" s="19" t="str">
        <f aca="false" t="array" ref="K678:K678">IF(A678&lt;&gt;"",IF(COUNTIF(A679:A$996,"&lt;&gt;")=0,COUNTA(B678:B$996),IFERROR(MATCH(TRUE(),INDEX((A679:A$996&lt;&gt;""),0),0),COUNTA(B678:B$996))),"")</f>
        <v/>
      </c>
      <c r="L678" s="20"/>
    </row>
    <row r="679" customFormat="false" ht="13.8" hidden="false" customHeight="false" outlineLevel="0" collapsed="false">
      <c r="A679" s="16"/>
      <c r="B679" s="16"/>
      <c r="C679" s="17"/>
      <c r="D679" s="17"/>
      <c r="E679" s="17"/>
      <c r="F679" s="18"/>
      <c r="G679" s="19" t="str">
        <f aca="true">IF(F679="", "", DATEDIF(F679, TODAY(), "Y"))</f>
        <v/>
      </c>
      <c r="H679" s="18"/>
      <c r="I679" s="18"/>
      <c r="J679" s="19" t="str">
        <f aca="true">IF(ISBLANK(H679), "", I679-TODAY())</f>
        <v/>
      </c>
      <c r="K679" s="19" t="str">
        <f aca="false" t="array" ref="K679:K679">IF(A679&lt;&gt;"",IF(COUNTIF(A680:A$996,"&lt;&gt;")=0,COUNTA(B679:B$996),IFERROR(MATCH(TRUE(),INDEX((A680:A$996&lt;&gt;""),0),0),COUNTA(B679:B$996))),"")</f>
        <v/>
      </c>
      <c r="L679" s="20"/>
    </row>
    <row r="680" customFormat="false" ht="13.8" hidden="false" customHeight="false" outlineLevel="0" collapsed="false">
      <c r="A680" s="16"/>
      <c r="B680" s="16"/>
      <c r="C680" s="17"/>
      <c r="D680" s="17"/>
      <c r="E680" s="17"/>
      <c r="F680" s="18"/>
      <c r="G680" s="19" t="str">
        <f aca="true">IF(F680="", "", DATEDIF(F680, TODAY(), "Y"))</f>
        <v/>
      </c>
      <c r="H680" s="18"/>
      <c r="I680" s="18"/>
      <c r="J680" s="19" t="str">
        <f aca="true">IF(ISBLANK(H680), "", I680-TODAY())</f>
        <v/>
      </c>
      <c r="K680" s="19" t="str">
        <f aca="false" t="array" ref="K680:K680">IF(A680&lt;&gt;"",IF(COUNTIF(A681:A$996,"&lt;&gt;")=0,COUNTA(B680:B$996),IFERROR(MATCH(TRUE(),INDEX((A681:A$996&lt;&gt;""),0),0),COUNTA(B680:B$996))),"")</f>
        <v/>
      </c>
      <c r="L680" s="20"/>
    </row>
    <row r="681" customFormat="false" ht="13.8" hidden="false" customHeight="false" outlineLevel="0" collapsed="false">
      <c r="A681" s="16"/>
      <c r="B681" s="16"/>
      <c r="C681" s="17"/>
      <c r="D681" s="17"/>
      <c r="E681" s="17"/>
      <c r="F681" s="18"/>
      <c r="G681" s="19" t="str">
        <f aca="true">IF(F681="", "", DATEDIF(F681, TODAY(), "Y"))</f>
        <v/>
      </c>
      <c r="H681" s="18"/>
      <c r="I681" s="18"/>
      <c r="J681" s="19" t="str">
        <f aca="true">IF(ISBLANK(H681), "", I681-TODAY())</f>
        <v/>
      </c>
      <c r="K681" s="19" t="str">
        <f aca="false" t="array" ref="K681:K681">IF(A681&lt;&gt;"",IF(COUNTIF(A682:A$996,"&lt;&gt;")=0,COUNTA(B681:B$996),IFERROR(MATCH(TRUE(),INDEX((A682:A$996&lt;&gt;""),0),0),COUNTA(B681:B$996))),"")</f>
        <v/>
      </c>
      <c r="L681" s="20"/>
    </row>
    <row r="682" customFormat="false" ht="13.8" hidden="false" customHeight="false" outlineLevel="0" collapsed="false">
      <c r="A682" s="16"/>
      <c r="B682" s="16"/>
      <c r="C682" s="17"/>
      <c r="D682" s="17"/>
      <c r="E682" s="17"/>
      <c r="F682" s="18"/>
      <c r="G682" s="19" t="str">
        <f aca="true">IF(F682="", "", DATEDIF(F682, TODAY(), "Y"))</f>
        <v/>
      </c>
      <c r="H682" s="18"/>
      <c r="I682" s="18"/>
      <c r="J682" s="19" t="str">
        <f aca="true">IF(ISBLANK(H682), "", I682-TODAY())</f>
        <v/>
      </c>
      <c r="K682" s="19" t="str">
        <f aca="false" t="array" ref="K682:K682">IF(A682&lt;&gt;"",IF(COUNTIF(A683:A$996,"&lt;&gt;")=0,COUNTA(B682:B$996),IFERROR(MATCH(TRUE(),INDEX((A683:A$996&lt;&gt;""),0),0),COUNTA(B682:B$996))),"")</f>
        <v/>
      </c>
      <c r="L682" s="20"/>
    </row>
    <row r="683" customFormat="false" ht="13.8" hidden="false" customHeight="false" outlineLevel="0" collapsed="false">
      <c r="A683" s="16"/>
      <c r="B683" s="16"/>
      <c r="C683" s="17"/>
      <c r="D683" s="17"/>
      <c r="E683" s="17"/>
      <c r="F683" s="18"/>
      <c r="G683" s="19" t="str">
        <f aca="true">IF(F683="", "", DATEDIF(F683, TODAY(), "Y"))</f>
        <v/>
      </c>
      <c r="H683" s="18"/>
      <c r="I683" s="18"/>
      <c r="J683" s="19" t="str">
        <f aca="true">IF(ISBLANK(H683), "", I683-TODAY())</f>
        <v/>
      </c>
      <c r="K683" s="19" t="str">
        <f aca="false" t="array" ref="K683:K683">IF(A683&lt;&gt;"",IF(COUNTIF(A684:A$996,"&lt;&gt;")=0,COUNTA(B683:B$996),IFERROR(MATCH(TRUE(),INDEX((A684:A$996&lt;&gt;""),0),0),COUNTA(B683:B$996))),"")</f>
        <v/>
      </c>
      <c r="L683" s="20"/>
    </row>
    <row r="684" customFormat="false" ht="13.8" hidden="false" customHeight="false" outlineLevel="0" collapsed="false">
      <c r="A684" s="16"/>
      <c r="B684" s="16"/>
      <c r="C684" s="17"/>
      <c r="D684" s="17"/>
      <c r="E684" s="17"/>
      <c r="F684" s="18"/>
      <c r="G684" s="19" t="str">
        <f aca="true">IF(F684="", "", DATEDIF(F684, TODAY(), "Y"))</f>
        <v/>
      </c>
      <c r="H684" s="18"/>
      <c r="I684" s="18"/>
      <c r="J684" s="19" t="str">
        <f aca="true">IF(ISBLANK(H684), "", I684-TODAY())</f>
        <v/>
      </c>
      <c r="K684" s="19" t="str">
        <f aca="false" t="array" ref="K684:K684">IF(A684&lt;&gt;"",IF(COUNTIF(A685:A$996,"&lt;&gt;")=0,COUNTA(B684:B$996),IFERROR(MATCH(TRUE(),INDEX((A685:A$996&lt;&gt;""),0),0),COUNTA(B684:B$996))),"")</f>
        <v/>
      </c>
      <c r="L684" s="20"/>
    </row>
    <row r="685" customFormat="false" ht="13.8" hidden="false" customHeight="false" outlineLevel="0" collapsed="false">
      <c r="A685" s="16"/>
      <c r="B685" s="16"/>
      <c r="C685" s="17"/>
      <c r="D685" s="17"/>
      <c r="E685" s="17"/>
      <c r="F685" s="18"/>
      <c r="G685" s="19" t="str">
        <f aca="true">IF(F685="", "", DATEDIF(F685, TODAY(), "Y"))</f>
        <v/>
      </c>
      <c r="H685" s="18"/>
      <c r="I685" s="18"/>
      <c r="J685" s="19" t="str">
        <f aca="true">IF(ISBLANK(H685), "", I685-TODAY())</f>
        <v/>
      </c>
      <c r="K685" s="19" t="str">
        <f aca="false" t="array" ref="K685:K685">IF(A685&lt;&gt;"",IF(COUNTIF(A686:A$996,"&lt;&gt;")=0,COUNTA(B685:B$996),IFERROR(MATCH(TRUE(),INDEX((A686:A$996&lt;&gt;""),0),0),COUNTA(B685:B$996))),"")</f>
        <v/>
      </c>
      <c r="L685" s="20"/>
    </row>
    <row r="686" customFormat="false" ht="13.8" hidden="false" customHeight="false" outlineLevel="0" collapsed="false">
      <c r="A686" s="16"/>
      <c r="B686" s="16"/>
      <c r="C686" s="17"/>
      <c r="D686" s="17"/>
      <c r="E686" s="17"/>
      <c r="F686" s="18"/>
      <c r="G686" s="19" t="str">
        <f aca="true">IF(F686="", "", DATEDIF(F686, TODAY(), "Y"))</f>
        <v/>
      </c>
      <c r="H686" s="18"/>
      <c r="I686" s="18"/>
      <c r="J686" s="19" t="str">
        <f aca="true">IF(ISBLANK(H686), "", I686-TODAY())</f>
        <v/>
      </c>
      <c r="K686" s="19" t="str">
        <f aca="false" t="array" ref="K686:K686">IF(A686&lt;&gt;"",IF(COUNTIF(A687:A$996,"&lt;&gt;")=0,COUNTA(B686:B$996),IFERROR(MATCH(TRUE(),INDEX((A687:A$996&lt;&gt;""),0),0),COUNTA(B686:B$996))),"")</f>
        <v/>
      </c>
      <c r="L686" s="20"/>
    </row>
    <row r="687" customFormat="false" ht="13.8" hidden="false" customHeight="false" outlineLevel="0" collapsed="false">
      <c r="A687" s="16"/>
      <c r="B687" s="16"/>
      <c r="C687" s="17"/>
      <c r="D687" s="17"/>
      <c r="E687" s="17"/>
      <c r="F687" s="18"/>
      <c r="G687" s="19" t="str">
        <f aca="true">IF(F687="", "", DATEDIF(F687, TODAY(), "Y"))</f>
        <v/>
      </c>
      <c r="H687" s="18"/>
      <c r="I687" s="18"/>
      <c r="J687" s="19" t="str">
        <f aca="true">IF(ISBLANK(H687), "", I687-TODAY())</f>
        <v/>
      </c>
      <c r="K687" s="19" t="str">
        <f aca="false" t="array" ref="K687:K687">IF(A687&lt;&gt;"",IF(COUNTIF(A688:A$996,"&lt;&gt;")=0,COUNTA(B687:B$996),IFERROR(MATCH(TRUE(),INDEX((A688:A$996&lt;&gt;""),0),0),COUNTA(B687:B$996))),"")</f>
        <v/>
      </c>
      <c r="L687" s="20"/>
    </row>
    <row r="688" customFormat="false" ht="13.8" hidden="false" customHeight="false" outlineLevel="0" collapsed="false">
      <c r="A688" s="16"/>
      <c r="B688" s="16"/>
      <c r="C688" s="17"/>
      <c r="D688" s="17"/>
      <c r="E688" s="17"/>
      <c r="F688" s="18"/>
      <c r="G688" s="19" t="str">
        <f aca="true">IF(F688="", "", DATEDIF(F688, TODAY(), "Y"))</f>
        <v/>
      </c>
      <c r="H688" s="18"/>
      <c r="I688" s="18"/>
      <c r="J688" s="19" t="str">
        <f aca="true">IF(ISBLANK(H688), "", I688-TODAY())</f>
        <v/>
      </c>
      <c r="K688" s="19" t="str">
        <f aca="false" t="array" ref="K688:K688">IF(A688&lt;&gt;"",IF(COUNTIF(A689:A$996,"&lt;&gt;")=0,COUNTA(B688:B$996),IFERROR(MATCH(TRUE(),INDEX((A689:A$996&lt;&gt;""),0),0),COUNTA(B688:B$996))),"")</f>
        <v/>
      </c>
      <c r="L688" s="20"/>
    </row>
    <row r="689" customFormat="false" ht="13.8" hidden="false" customHeight="false" outlineLevel="0" collapsed="false">
      <c r="A689" s="16"/>
      <c r="B689" s="16"/>
      <c r="C689" s="17"/>
      <c r="D689" s="17"/>
      <c r="E689" s="17"/>
      <c r="F689" s="18"/>
      <c r="G689" s="19" t="str">
        <f aca="true">IF(F689="", "", DATEDIF(F689, TODAY(), "Y"))</f>
        <v/>
      </c>
      <c r="H689" s="18"/>
      <c r="I689" s="18"/>
      <c r="J689" s="19" t="str">
        <f aca="true">IF(ISBLANK(H689), "", I689-TODAY())</f>
        <v/>
      </c>
      <c r="K689" s="19" t="str">
        <f aca="false" t="array" ref="K689:K689">IF(A689&lt;&gt;"",IF(COUNTIF(A690:A$996,"&lt;&gt;")=0,COUNTA(B689:B$996),IFERROR(MATCH(TRUE(),INDEX((A690:A$996&lt;&gt;""),0),0),COUNTA(B689:B$996))),"")</f>
        <v/>
      </c>
      <c r="L689" s="20"/>
    </row>
    <row r="690" customFormat="false" ht="13.8" hidden="false" customHeight="false" outlineLevel="0" collapsed="false">
      <c r="A690" s="16"/>
      <c r="B690" s="16"/>
      <c r="C690" s="17"/>
      <c r="D690" s="17"/>
      <c r="E690" s="17"/>
      <c r="F690" s="18"/>
      <c r="G690" s="19" t="str">
        <f aca="true">IF(F690="", "", DATEDIF(F690, TODAY(), "Y"))</f>
        <v/>
      </c>
      <c r="H690" s="18"/>
      <c r="I690" s="18"/>
      <c r="J690" s="19" t="str">
        <f aca="true">IF(ISBLANK(H690), "", I690-TODAY())</f>
        <v/>
      </c>
      <c r="K690" s="19" t="str">
        <f aca="false" t="array" ref="K690:K690">IF(A690&lt;&gt;"",IF(COUNTIF(A691:A$996,"&lt;&gt;")=0,COUNTA(B690:B$996),IFERROR(MATCH(TRUE(),INDEX((A691:A$996&lt;&gt;""),0),0),COUNTA(B690:B$996))),"")</f>
        <v/>
      </c>
      <c r="L690" s="20"/>
    </row>
    <row r="691" customFormat="false" ht="13.8" hidden="false" customHeight="false" outlineLevel="0" collapsed="false">
      <c r="A691" s="16"/>
      <c r="B691" s="16"/>
      <c r="C691" s="17"/>
      <c r="D691" s="17"/>
      <c r="E691" s="17"/>
      <c r="F691" s="18"/>
      <c r="G691" s="19" t="str">
        <f aca="true">IF(F691="", "", DATEDIF(F691, TODAY(), "Y"))</f>
        <v/>
      </c>
      <c r="H691" s="18"/>
      <c r="I691" s="18"/>
      <c r="J691" s="19" t="str">
        <f aca="true">IF(ISBLANK(H691), "", I691-TODAY())</f>
        <v/>
      </c>
      <c r="K691" s="19" t="str">
        <f aca="false" t="array" ref="K691:K691">IF(A691&lt;&gt;"",IF(COUNTIF(A692:A$996,"&lt;&gt;")=0,COUNTA(B691:B$996),IFERROR(MATCH(TRUE(),INDEX((A692:A$996&lt;&gt;""),0),0),COUNTA(B691:B$996))),"")</f>
        <v/>
      </c>
      <c r="L691" s="20"/>
    </row>
    <row r="692" customFormat="false" ht="13.8" hidden="false" customHeight="false" outlineLevel="0" collapsed="false">
      <c r="A692" s="16"/>
      <c r="B692" s="16"/>
      <c r="C692" s="17"/>
      <c r="D692" s="17"/>
      <c r="E692" s="17"/>
      <c r="F692" s="18"/>
      <c r="G692" s="19" t="str">
        <f aca="true">IF(F692="", "", DATEDIF(F692, TODAY(), "Y"))</f>
        <v/>
      </c>
      <c r="H692" s="18"/>
      <c r="I692" s="18"/>
      <c r="J692" s="19" t="str">
        <f aca="true">IF(ISBLANK(H692), "", I692-TODAY())</f>
        <v/>
      </c>
      <c r="K692" s="19" t="str">
        <f aca="false" t="array" ref="K692:K692">IF(A692&lt;&gt;"",IF(COUNTIF(A693:A$996,"&lt;&gt;")=0,COUNTA(B692:B$996),IFERROR(MATCH(TRUE(),INDEX((A693:A$996&lt;&gt;""),0),0),COUNTA(B692:B$996))),"")</f>
        <v/>
      </c>
      <c r="L692" s="20"/>
    </row>
    <row r="693" customFormat="false" ht="13.8" hidden="false" customHeight="false" outlineLevel="0" collapsed="false">
      <c r="A693" s="16"/>
      <c r="B693" s="16"/>
      <c r="C693" s="17"/>
      <c r="D693" s="17"/>
      <c r="E693" s="17"/>
      <c r="F693" s="18"/>
      <c r="G693" s="19" t="str">
        <f aca="true">IF(F693="", "", DATEDIF(F693, TODAY(), "Y"))</f>
        <v/>
      </c>
      <c r="H693" s="18"/>
      <c r="I693" s="18"/>
      <c r="J693" s="19" t="str">
        <f aca="true">IF(ISBLANK(H693), "", I693-TODAY())</f>
        <v/>
      </c>
      <c r="K693" s="19" t="str">
        <f aca="false" t="array" ref="K693:K693">IF(A693&lt;&gt;"",IF(COUNTIF(A694:A$996,"&lt;&gt;")=0,COUNTA(B693:B$996),IFERROR(MATCH(TRUE(),INDEX((A694:A$996&lt;&gt;""),0),0),COUNTA(B693:B$996))),"")</f>
        <v/>
      </c>
      <c r="L693" s="20"/>
    </row>
    <row r="694" customFormat="false" ht="13.8" hidden="false" customHeight="false" outlineLevel="0" collapsed="false">
      <c r="A694" s="16"/>
      <c r="B694" s="16"/>
      <c r="C694" s="17"/>
      <c r="D694" s="17"/>
      <c r="E694" s="17"/>
      <c r="F694" s="18"/>
      <c r="G694" s="19" t="str">
        <f aca="true">IF(F694="", "", DATEDIF(F694, TODAY(), "Y"))</f>
        <v/>
      </c>
      <c r="H694" s="18"/>
      <c r="I694" s="18"/>
      <c r="J694" s="19" t="str">
        <f aca="true">IF(ISBLANK(H694), "", I694-TODAY())</f>
        <v/>
      </c>
      <c r="K694" s="19" t="str">
        <f aca="false" t="array" ref="K694:K694">IF(A694&lt;&gt;"",IF(COUNTIF(A695:A$996,"&lt;&gt;")=0,COUNTA(B694:B$996),IFERROR(MATCH(TRUE(),INDEX((A695:A$996&lt;&gt;""),0),0),COUNTA(B694:B$996))),"")</f>
        <v/>
      </c>
      <c r="L694" s="20"/>
    </row>
    <row r="695" customFormat="false" ht="13.8" hidden="false" customHeight="false" outlineLevel="0" collapsed="false">
      <c r="A695" s="16"/>
      <c r="B695" s="16"/>
      <c r="C695" s="17"/>
      <c r="D695" s="17"/>
      <c r="E695" s="17"/>
      <c r="F695" s="18"/>
      <c r="G695" s="19" t="str">
        <f aca="true">IF(F695="", "", DATEDIF(F695, TODAY(), "Y"))</f>
        <v/>
      </c>
      <c r="H695" s="18"/>
      <c r="I695" s="18"/>
      <c r="J695" s="19" t="str">
        <f aca="true">IF(ISBLANK(H695), "", I695-TODAY())</f>
        <v/>
      </c>
      <c r="K695" s="19" t="str">
        <f aca="false" t="array" ref="K695:K695">IF(A695&lt;&gt;"",IF(COUNTIF(A696:A$996,"&lt;&gt;")=0,COUNTA(B695:B$996),IFERROR(MATCH(TRUE(),INDEX((A696:A$996&lt;&gt;""),0),0),COUNTA(B695:B$996))),"")</f>
        <v/>
      </c>
      <c r="L695" s="20"/>
    </row>
    <row r="696" customFormat="false" ht="13.8" hidden="false" customHeight="false" outlineLevel="0" collapsed="false">
      <c r="A696" s="16"/>
      <c r="B696" s="16"/>
      <c r="C696" s="17"/>
      <c r="D696" s="17"/>
      <c r="E696" s="17"/>
      <c r="F696" s="18"/>
      <c r="G696" s="19" t="str">
        <f aca="true">IF(F696="", "", DATEDIF(F696, TODAY(), "Y"))</f>
        <v/>
      </c>
      <c r="H696" s="18"/>
      <c r="I696" s="18"/>
      <c r="J696" s="19" t="str">
        <f aca="true">IF(ISBLANK(H696), "", I696-TODAY())</f>
        <v/>
      </c>
      <c r="K696" s="19" t="str">
        <f aca="false" t="array" ref="K696:K696">IF(A696&lt;&gt;"",IF(COUNTIF(A697:A$996,"&lt;&gt;")=0,COUNTA(B696:B$996),IFERROR(MATCH(TRUE(),INDEX((A697:A$996&lt;&gt;""),0),0),COUNTA(B696:B$996))),"")</f>
        <v/>
      </c>
      <c r="L696" s="20"/>
    </row>
    <row r="697" customFormat="false" ht="13.8" hidden="false" customHeight="false" outlineLevel="0" collapsed="false">
      <c r="A697" s="16"/>
      <c r="B697" s="16"/>
      <c r="C697" s="17"/>
      <c r="D697" s="17"/>
      <c r="E697" s="17"/>
      <c r="F697" s="18"/>
      <c r="G697" s="19" t="str">
        <f aca="true">IF(F697="", "", DATEDIF(F697, TODAY(), "Y"))</f>
        <v/>
      </c>
      <c r="H697" s="18"/>
      <c r="I697" s="18"/>
      <c r="J697" s="19" t="str">
        <f aca="true">IF(ISBLANK(H697), "", I697-TODAY())</f>
        <v/>
      </c>
      <c r="K697" s="19" t="str">
        <f aca="false" t="array" ref="K697:K697">IF(A697&lt;&gt;"",IF(COUNTIF(A698:A$996,"&lt;&gt;")=0,COUNTA(B697:B$996),IFERROR(MATCH(TRUE(),INDEX((A698:A$996&lt;&gt;""),0),0),COUNTA(B697:B$996))),"")</f>
        <v/>
      </c>
      <c r="L697" s="20"/>
    </row>
    <row r="698" customFormat="false" ht="13.8" hidden="false" customHeight="false" outlineLevel="0" collapsed="false">
      <c r="A698" s="16"/>
      <c r="B698" s="16"/>
      <c r="C698" s="17"/>
      <c r="D698" s="17"/>
      <c r="E698" s="17"/>
      <c r="F698" s="18"/>
      <c r="G698" s="19" t="str">
        <f aca="true">IF(F698="", "", DATEDIF(F698, TODAY(), "Y"))</f>
        <v/>
      </c>
      <c r="H698" s="18"/>
      <c r="I698" s="18"/>
      <c r="J698" s="19" t="str">
        <f aca="true">IF(ISBLANK(H698), "", I698-TODAY())</f>
        <v/>
      </c>
      <c r="K698" s="19" t="str">
        <f aca="false" t="array" ref="K698:K698">IF(A698&lt;&gt;"",IF(COUNTIF(A699:A$996,"&lt;&gt;")=0,COUNTA(B698:B$996),IFERROR(MATCH(TRUE(),INDEX((A699:A$996&lt;&gt;""),0),0),COUNTA(B698:B$996))),"")</f>
        <v/>
      </c>
      <c r="L698" s="20"/>
    </row>
    <row r="699" customFormat="false" ht="13.8" hidden="false" customHeight="false" outlineLevel="0" collapsed="false">
      <c r="A699" s="16"/>
      <c r="B699" s="16"/>
      <c r="C699" s="17"/>
      <c r="D699" s="17"/>
      <c r="E699" s="17"/>
      <c r="F699" s="18"/>
      <c r="G699" s="19" t="str">
        <f aca="true">IF(F699="", "", DATEDIF(F699, TODAY(), "Y"))</f>
        <v/>
      </c>
      <c r="H699" s="18"/>
      <c r="I699" s="18"/>
      <c r="J699" s="19" t="str">
        <f aca="true">IF(ISBLANK(H699), "", I699-TODAY())</f>
        <v/>
      </c>
      <c r="K699" s="19" t="str">
        <f aca="false" t="array" ref="K699:K699">IF(A699&lt;&gt;"",IF(COUNTIF(A700:A$996,"&lt;&gt;")=0,COUNTA(B699:B$996),IFERROR(MATCH(TRUE(),INDEX((A700:A$996&lt;&gt;""),0),0),COUNTA(B699:B$996))),"")</f>
        <v/>
      </c>
      <c r="L699" s="20"/>
    </row>
    <row r="700" customFormat="false" ht="13.8" hidden="false" customHeight="false" outlineLevel="0" collapsed="false">
      <c r="A700" s="16"/>
      <c r="B700" s="16"/>
      <c r="C700" s="17"/>
      <c r="D700" s="17"/>
      <c r="E700" s="17"/>
      <c r="F700" s="18"/>
      <c r="G700" s="19" t="str">
        <f aca="true">IF(F700="", "", DATEDIF(F700, TODAY(), "Y"))</f>
        <v/>
      </c>
      <c r="H700" s="18"/>
      <c r="I700" s="18"/>
      <c r="J700" s="19" t="str">
        <f aca="true">IF(ISBLANK(H700), "", I700-TODAY())</f>
        <v/>
      </c>
      <c r="K700" s="19" t="str">
        <f aca="false" t="array" ref="K700:K700">IF(A700&lt;&gt;"",IF(COUNTIF(A701:A$996,"&lt;&gt;")=0,COUNTA(B700:B$996),IFERROR(MATCH(TRUE(),INDEX((A701:A$996&lt;&gt;""),0),0),COUNTA(B700:B$996))),"")</f>
        <v/>
      </c>
      <c r="L700" s="20"/>
    </row>
    <row r="701" customFormat="false" ht="13.8" hidden="false" customHeight="false" outlineLevel="0" collapsed="false">
      <c r="A701" s="16"/>
      <c r="B701" s="16"/>
      <c r="C701" s="17"/>
      <c r="D701" s="17"/>
      <c r="E701" s="17"/>
      <c r="F701" s="18"/>
      <c r="G701" s="19" t="str">
        <f aca="true">IF(F701="", "", DATEDIF(F701, TODAY(), "Y"))</f>
        <v/>
      </c>
      <c r="H701" s="18"/>
      <c r="I701" s="18"/>
      <c r="J701" s="19" t="str">
        <f aca="true">IF(ISBLANK(H701), "", I701-TODAY())</f>
        <v/>
      </c>
      <c r="K701" s="19" t="str">
        <f aca="false" t="array" ref="K701:K701">IF(A701&lt;&gt;"",IF(COUNTIF(A702:A$996,"&lt;&gt;")=0,COUNTA(B701:B$996),IFERROR(MATCH(TRUE(),INDEX((A702:A$996&lt;&gt;""),0),0),COUNTA(B701:B$996))),"")</f>
        <v/>
      </c>
      <c r="L701" s="20"/>
    </row>
    <row r="702" customFormat="false" ht="13.8" hidden="false" customHeight="false" outlineLevel="0" collapsed="false">
      <c r="A702" s="16"/>
      <c r="B702" s="16"/>
      <c r="C702" s="17"/>
      <c r="D702" s="17"/>
      <c r="E702" s="17"/>
      <c r="F702" s="18"/>
      <c r="G702" s="19" t="str">
        <f aca="true">IF(F702="", "", DATEDIF(F702, TODAY(), "Y"))</f>
        <v/>
      </c>
      <c r="H702" s="18"/>
      <c r="I702" s="18"/>
      <c r="J702" s="19" t="str">
        <f aca="true">IF(ISBLANK(H702), "", I702-TODAY())</f>
        <v/>
      </c>
      <c r="K702" s="19" t="str">
        <f aca="false" t="array" ref="K702:K702">IF(A702&lt;&gt;"",IF(COUNTIF(A703:A$996,"&lt;&gt;")=0,COUNTA(B702:B$996),IFERROR(MATCH(TRUE(),INDEX((A703:A$996&lt;&gt;""),0),0),COUNTA(B702:B$996))),"")</f>
        <v/>
      </c>
      <c r="L702" s="20"/>
    </row>
    <row r="703" customFormat="false" ht="13.8" hidden="false" customHeight="false" outlineLevel="0" collapsed="false">
      <c r="A703" s="16"/>
      <c r="B703" s="16"/>
      <c r="C703" s="17"/>
      <c r="D703" s="17"/>
      <c r="E703" s="17"/>
      <c r="F703" s="18"/>
      <c r="G703" s="19" t="str">
        <f aca="true">IF(F703="", "", DATEDIF(F703, TODAY(), "Y"))</f>
        <v/>
      </c>
      <c r="H703" s="18"/>
      <c r="I703" s="18"/>
      <c r="J703" s="19" t="str">
        <f aca="true">IF(ISBLANK(H703), "", I703-TODAY())</f>
        <v/>
      </c>
      <c r="K703" s="19" t="str">
        <f aca="false" t="array" ref="K703:K703">IF(A703&lt;&gt;"",IF(COUNTIF(A704:A$996,"&lt;&gt;")=0,COUNTA(B703:B$996),IFERROR(MATCH(TRUE(),INDEX((A704:A$996&lt;&gt;""),0),0),COUNTA(B703:B$996))),"")</f>
        <v/>
      </c>
      <c r="L703" s="20"/>
    </row>
    <row r="704" customFormat="false" ht="13.8" hidden="false" customHeight="false" outlineLevel="0" collapsed="false">
      <c r="A704" s="16"/>
      <c r="B704" s="16"/>
      <c r="C704" s="17"/>
      <c r="D704" s="17"/>
      <c r="E704" s="17"/>
      <c r="F704" s="18"/>
      <c r="G704" s="19" t="str">
        <f aca="true">IF(F704="", "", DATEDIF(F704, TODAY(), "Y"))</f>
        <v/>
      </c>
      <c r="H704" s="18"/>
      <c r="I704" s="18"/>
      <c r="J704" s="19" t="str">
        <f aca="true">IF(ISBLANK(H704), "", I704-TODAY())</f>
        <v/>
      </c>
      <c r="K704" s="19" t="str">
        <f aca="false" t="array" ref="K704:K704">IF(A704&lt;&gt;"",IF(COUNTIF(A705:A$996,"&lt;&gt;")=0,COUNTA(B704:B$996),IFERROR(MATCH(TRUE(),INDEX((A705:A$996&lt;&gt;""),0),0),COUNTA(B704:B$996))),"")</f>
        <v/>
      </c>
      <c r="L704" s="20"/>
    </row>
    <row r="705" customFormat="false" ht="13.8" hidden="false" customHeight="false" outlineLevel="0" collapsed="false">
      <c r="A705" s="16"/>
      <c r="B705" s="16"/>
      <c r="C705" s="17"/>
      <c r="D705" s="17"/>
      <c r="E705" s="17"/>
      <c r="F705" s="18"/>
      <c r="G705" s="19" t="str">
        <f aca="true">IF(F705="", "", DATEDIF(F705, TODAY(), "Y"))</f>
        <v/>
      </c>
      <c r="H705" s="18"/>
      <c r="I705" s="18"/>
      <c r="J705" s="19" t="str">
        <f aca="true">IF(ISBLANK(H705), "", I705-TODAY())</f>
        <v/>
      </c>
      <c r="K705" s="19" t="str">
        <f aca="false" t="array" ref="K705:K705">IF(A705&lt;&gt;"",IF(COUNTIF(A706:A$996,"&lt;&gt;")=0,COUNTA(B705:B$996),IFERROR(MATCH(TRUE(),INDEX((A706:A$996&lt;&gt;""),0),0),COUNTA(B705:B$996))),"")</f>
        <v/>
      </c>
      <c r="L705" s="20"/>
    </row>
    <row r="706" customFormat="false" ht="13.8" hidden="false" customHeight="false" outlineLevel="0" collapsed="false">
      <c r="A706" s="16"/>
      <c r="B706" s="16"/>
      <c r="C706" s="17"/>
      <c r="D706" s="17"/>
      <c r="E706" s="17"/>
      <c r="F706" s="18"/>
      <c r="G706" s="19" t="str">
        <f aca="true">IF(F706="", "", DATEDIF(F706, TODAY(), "Y"))</f>
        <v/>
      </c>
      <c r="H706" s="18"/>
      <c r="I706" s="18"/>
      <c r="J706" s="19" t="str">
        <f aca="true">IF(ISBLANK(H706), "", I706-TODAY())</f>
        <v/>
      </c>
      <c r="K706" s="19" t="str">
        <f aca="false" t="array" ref="K706:K706">IF(A706&lt;&gt;"",IF(COUNTIF(A707:A$996,"&lt;&gt;")=0,COUNTA(B706:B$996),IFERROR(MATCH(TRUE(),INDEX((A707:A$996&lt;&gt;""),0),0),COUNTA(B706:B$996))),"")</f>
        <v/>
      </c>
      <c r="L706" s="20"/>
    </row>
    <row r="707" customFormat="false" ht="13.8" hidden="false" customHeight="false" outlineLevel="0" collapsed="false">
      <c r="A707" s="16"/>
      <c r="B707" s="16"/>
      <c r="C707" s="17"/>
      <c r="D707" s="17"/>
      <c r="E707" s="17"/>
      <c r="F707" s="18"/>
      <c r="G707" s="19" t="str">
        <f aca="true">IF(F707="", "", DATEDIF(F707, TODAY(), "Y"))</f>
        <v/>
      </c>
      <c r="H707" s="18"/>
      <c r="I707" s="18"/>
      <c r="J707" s="19" t="str">
        <f aca="true">IF(ISBLANK(H707), "", I707-TODAY())</f>
        <v/>
      </c>
      <c r="K707" s="19" t="str">
        <f aca="false" t="array" ref="K707:K707">IF(A707&lt;&gt;"",IF(COUNTIF(A708:A$996,"&lt;&gt;")=0,COUNTA(B707:B$996),IFERROR(MATCH(TRUE(),INDEX((A708:A$996&lt;&gt;""),0),0),COUNTA(B707:B$996))),"")</f>
        <v/>
      </c>
      <c r="L707" s="20"/>
    </row>
    <row r="708" customFormat="false" ht="13.8" hidden="false" customHeight="false" outlineLevel="0" collapsed="false">
      <c r="A708" s="16"/>
      <c r="B708" s="16"/>
      <c r="C708" s="17"/>
      <c r="D708" s="17"/>
      <c r="E708" s="17"/>
      <c r="F708" s="18"/>
      <c r="G708" s="19" t="str">
        <f aca="true">IF(F708="", "", DATEDIF(F708, TODAY(), "Y"))</f>
        <v/>
      </c>
      <c r="H708" s="18"/>
      <c r="I708" s="18"/>
      <c r="J708" s="19" t="str">
        <f aca="true">IF(ISBLANK(H708), "", I708-TODAY())</f>
        <v/>
      </c>
      <c r="K708" s="19" t="str">
        <f aca="false" t="array" ref="K708:K708">IF(A708&lt;&gt;"",IF(COUNTIF(A709:A$996,"&lt;&gt;")=0,COUNTA(B708:B$996),IFERROR(MATCH(TRUE(),INDEX((A709:A$996&lt;&gt;""),0),0),COUNTA(B708:B$996))),"")</f>
        <v/>
      </c>
      <c r="L708" s="20"/>
    </row>
    <row r="709" customFormat="false" ht="13.8" hidden="false" customHeight="false" outlineLevel="0" collapsed="false">
      <c r="A709" s="16"/>
      <c r="B709" s="16"/>
      <c r="C709" s="17"/>
      <c r="D709" s="17"/>
      <c r="E709" s="17"/>
      <c r="F709" s="18"/>
      <c r="G709" s="19" t="str">
        <f aca="true">IF(F709="", "", DATEDIF(F709, TODAY(), "Y"))</f>
        <v/>
      </c>
      <c r="H709" s="18"/>
      <c r="I709" s="18"/>
      <c r="J709" s="19" t="str">
        <f aca="true">IF(ISBLANK(H709), "", I709-TODAY())</f>
        <v/>
      </c>
      <c r="K709" s="19" t="str">
        <f aca="false" t="array" ref="K709:K709">IF(A709&lt;&gt;"",IF(COUNTIF(A710:A$996,"&lt;&gt;")=0,COUNTA(B709:B$996),IFERROR(MATCH(TRUE(),INDEX((A710:A$996&lt;&gt;""),0),0),COUNTA(B709:B$996))),"")</f>
        <v/>
      </c>
      <c r="L709" s="20"/>
    </row>
    <row r="710" customFormat="false" ht="13.8" hidden="false" customHeight="false" outlineLevel="0" collapsed="false">
      <c r="A710" s="16"/>
      <c r="B710" s="16"/>
      <c r="C710" s="17"/>
      <c r="D710" s="17"/>
      <c r="E710" s="17"/>
      <c r="F710" s="18"/>
      <c r="G710" s="19" t="str">
        <f aca="true">IF(F710="", "", DATEDIF(F710, TODAY(), "Y"))</f>
        <v/>
      </c>
      <c r="H710" s="18"/>
      <c r="I710" s="18"/>
      <c r="J710" s="19" t="str">
        <f aca="true">IF(ISBLANK(H710), "", I710-TODAY())</f>
        <v/>
      </c>
      <c r="K710" s="19" t="str">
        <f aca="false" t="array" ref="K710:K710">IF(A710&lt;&gt;"",IF(COUNTIF(A711:A$996,"&lt;&gt;")=0,COUNTA(B710:B$996),IFERROR(MATCH(TRUE(),INDEX((A711:A$996&lt;&gt;""),0),0),COUNTA(B710:B$996))),"")</f>
        <v/>
      </c>
      <c r="L710" s="20"/>
    </row>
    <row r="711" customFormat="false" ht="13.8" hidden="false" customHeight="false" outlineLevel="0" collapsed="false">
      <c r="A711" s="16"/>
      <c r="B711" s="16"/>
      <c r="C711" s="17"/>
      <c r="D711" s="17"/>
      <c r="E711" s="17"/>
      <c r="F711" s="18"/>
      <c r="G711" s="19" t="str">
        <f aca="true">IF(F711="", "", DATEDIF(F711, TODAY(), "Y"))</f>
        <v/>
      </c>
      <c r="H711" s="18"/>
      <c r="I711" s="18"/>
      <c r="J711" s="19" t="str">
        <f aca="true">IF(ISBLANK(H711), "", I711-TODAY())</f>
        <v/>
      </c>
      <c r="K711" s="19" t="str">
        <f aca="false" t="array" ref="K711:K711">IF(A711&lt;&gt;"",IF(COUNTIF(A712:A$996,"&lt;&gt;")=0,COUNTA(B711:B$996),IFERROR(MATCH(TRUE(),INDEX((A712:A$996&lt;&gt;""),0),0),COUNTA(B711:B$996))),"")</f>
        <v/>
      </c>
      <c r="L711" s="20"/>
    </row>
    <row r="712" customFormat="false" ht="13.8" hidden="false" customHeight="false" outlineLevel="0" collapsed="false">
      <c r="A712" s="16"/>
      <c r="B712" s="16"/>
      <c r="C712" s="17"/>
      <c r="D712" s="17"/>
      <c r="E712" s="17"/>
      <c r="F712" s="18"/>
      <c r="G712" s="19" t="str">
        <f aca="true">IF(F712="", "", DATEDIF(F712, TODAY(), "Y"))</f>
        <v/>
      </c>
      <c r="H712" s="18"/>
      <c r="I712" s="18"/>
      <c r="J712" s="19" t="str">
        <f aca="true">IF(ISBLANK(H712), "", I712-TODAY())</f>
        <v/>
      </c>
      <c r="K712" s="19" t="str">
        <f aca="false" t="array" ref="K712:K712">IF(A712&lt;&gt;"",IF(COUNTIF(A713:A$996,"&lt;&gt;")=0,COUNTA(B712:B$996),IFERROR(MATCH(TRUE(),INDEX((A713:A$996&lt;&gt;""),0),0),COUNTA(B712:B$996))),"")</f>
        <v/>
      </c>
      <c r="L712" s="20"/>
    </row>
    <row r="713" customFormat="false" ht="13.8" hidden="false" customHeight="false" outlineLevel="0" collapsed="false">
      <c r="A713" s="16"/>
      <c r="B713" s="16"/>
      <c r="C713" s="17"/>
      <c r="D713" s="17"/>
      <c r="E713" s="17"/>
      <c r="F713" s="18"/>
      <c r="G713" s="19" t="str">
        <f aca="true">IF(F713="", "", DATEDIF(F713, TODAY(), "Y"))</f>
        <v/>
      </c>
      <c r="H713" s="18"/>
      <c r="I713" s="18"/>
      <c r="J713" s="19" t="str">
        <f aca="true">IF(ISBLANK(H713), "", I713-TODAY())</f>
        <v/>
      </c>
      <c r="K713" s="19" t="str">
        <f aca="false" t="array" ref="K713:K713">IF(A713&lt;&gt;"",IF(COUNTIF(A714:A$996,"&lt;&gt;")=0,COUNTA(B713:B$996),IFERROR(MATCH(TRUE(),INDEX((A714:A$996&lt;&gt;""),0),0),COUNTA(B713:B$996))),"")</f>
        <v/>
      </c>
      <c r="L713" s="20"/>
    </row>
    <row r="714" customFormat="false" ht="13.8" hidden="false" customHeight="false" outlineLevel="0" collapsed="false">
      <c r="A714" s="16"/>
      <c r="B714" s="16"/>
      <c r="C714" s="17"/>
      <c r="D714" s="17"/>
      <c r="E714" s="17"/>
      <c r="F714" s="18"/>
      <c r="G714" s="19" t="str">
        <f aca="true">IF(F714="", "", DATEDIF(F714, TODAY(), "Y"))</f>
        <v/>
      </c>
      <c r="H714" s="18"/>
      <c r="I714" s="18"/>
      <c r="J714" s="19" t="str">
        <f aca="true">IF(ISBLANK(H714), "", I714-TODAY())</f>
        <v/>
      </c>
      <c r="K714" s="19" t="str">
        <f aca="false" t="array" ref="K714:K714">IF(A714&lt;&gt;"",IF(COUNTIF(A715:A$996,"&lt;&gt;")=0,COUNTA(B714:B$996),IFERROR(MATCH(TRUE(),INDEX((A715:A$996&lt;&gt;""),0),0),COUNTA(B714:B$996))),"")</f>
        <v/>
      </c>
      <c r="L714" s="20"/>
    </row>
    <row r="715" customFormat="false" ht="13.8" hidden="false" customHeight="false" outlineLevel="0" collapsed="false">
      <c r="A715" s="16"/>
      <c r="B715" s="16"/>
      <c r="C715" s="17"/>
      <c r="D715" s="17"/>
      <c r="E715" s="17"/>
      <c r="F715" s="18"/>
      <c r="G715" s="19" t="str">
        <f aca="true">IF(F715="", "", DATEDIF(F715, TODAY(), "Y"))</f>
        <v/>
      </c>
      <c r="H715" s="18"/>
      <c r="I715" s="18"/>
      <c r="J715" s="19" t="str">
        <f aca="true">IF(ISBLANK(H715), "", I715-TODAY())</f>
        <v/>
      </c>
      <c r="K715" s="19" t="str">
        <f aca="false" t="array" ref="K715:K715">IF(A715&lt;&gt;"",IF(COUNTIF(A716:A$996,"&lt;&gt;")=0,COUNTA(B715:B$996),IFERROR(MATCH(TRUE(),INDEX((A716:A$996&lt;&gt;""),0),0),COUNTA(B715:B$996))),"")</f>
        <v/>
      </c>
      <c r="L715" s="20"/>
    </row>
    <row r="716" customFormat="false" ht="13.8" hidden="false" customHeight="false" outlineLevel="0" collapsed="false">
      <c r="A716" s="16"/>
      <c r="B716" s="16"/>
      <c r="C716" s="17"/>
      <c r="D716" s="17"/>
      <c r="E716" s="17"/>
      <c r="F716" s="18"/>
      <c r="G716" s="19" t="str">
        <f aca="true">IF(F716="", "", DATEDIF(F716, TODAY(), "Y"))</f>
        <v/>
      </c>
      <c r="H716" s="18"/>
      <c r="I716" s="18"/>
      <c r="J716" s="19" t="str">
        <f aca="true">IF(ISBLANK(H716), "", I716-TODAY())</f>
        <v/>
      </c>
      <c r="K716" s="19" t="str">
        <f aca="false" t="array" ref="K716:K716">IF(A716&lt;&gt;"",IF(COUNTIF(A717:A$996,"&lt;&gt;")=0,COUNTA(B716:B$996),IFERROR(MATCH(TRUE(),INDEX((A717:A$996&lt;&gt;""),0),0),COUNTA(B716:B$996))),"")</f>
        <v/>
      </c>
      <c r="L716" s="20"/>
    </row>
    <row r="717" customFormat="false" ht="13.8" hidden="false" customHeight="false" outlineLevel="0" collapsed="false">
      <c r="A717" s="16"/>
      <c r="B717" s="16"/>
      <c r="C717" s="17"/>
      <c r="D717" s="17"/>
      <c r="E717" s="17"/>
      <c r="F717" s="18"/>
      <c r="G717" s="19" t="str">
        <f aca="true">IF(F717="", "", DATEDIF(F717, TODAY(), "Y"))</f>
        <v/>
      </c>
      <c r="H717" s="18"/>
      <c r="I717" s="18"/>
      <c r="J717" s="19" t="str">
        <f aca="true">IF(ISBLANK(H717), "", I717-TODAY())</f>
        <v/>
      </c>
      <c r="K717" s="19" t="str">
        <f aca="false" t="array" ref="K717:K717">IF(A717&lt;&gt;"",IF(COUNTIF(A718:A$996,"&lt;&gt;")=0,COUNTA(B717:B$996),IFERROR(MATCH(TRUE(),INDEX((A718:A$996&lt;&gt;""),0),0),COUNTA(B717:B$996))),"")</f>
        <v/>
      </c>
      <c r="L717" s="20"/>
    </row>
    <row r="718" customFormat="false" ht="13.8" hidden="false" customHeight="false" outlineLevel="0" collapsed="false">
      <c r="A718" s="16"/>
      <c r="B718" s="16"/>
      <c r="C718" s="17"/>
      <c r="D718" s="17"/>
      <c r="E718" s="17"/>
      <c r="F718" s="18"/>
      <c r="G718" s="19" t="str">
        <f aca="true">IF(F718="", "", DATEDIF(F718, TODAY(), "Y"))</f>
        <v/>
      </c>
      <c r="H718" s="18"/>
      <c r="I718" s="18"/>
      <c r="J718" s="19" t="str">
        <f aca="true">IF(ISBLANK(H718), "", I718-TODAY())</f>
        <v/>
      </c>
      <c r="K718" s="19" t="str">
        <f aca="false" t="array" ref="K718:K718">IF(A718&lt;&gt;"",IF(COUNTIF(A719:A$996,"&lt;&gt;")=0,COUNTA(B718:B$996),IFERROR(MATCH(TRUE(),INDEX((A719:A$996&lt;&gt;""),0),0),COUNTA(B718:B$996))),"")</f>
        <v/>
      </c>
      <c r="L718" s="20"/>
    </row>
    <row r="719" customFormat="false" ht="13.8" hidden="false" customHeight="false" outlineLevel="0" collapsed="false">
      <c r="A719" s="16"/>
      <c r="B719" s="16"/>
      <c r="C719" s="17"/>
      <c r="D719" s="17"/>
      <c r="E719" s="17"/>
      <c r="F719" s="18"/>
      <c r="G719" s="19" t="str">
        <f aca="true">IF(F719="", "", DATEDIF(F719, TODAY(), "Y"))</f>
        <v/>
      </c>
      <c r="H719" s="18"/>
      <c r="I719" s="18"/>
      <c r="J719" s="19" t="str">
        <f aca="true">IF(ISBLANK(H719), "", I719-TODAY())</f>
        <v/>
      </c>
      <c r="K719" s="19" t="str">
        <f aca="false" t="array" ref="K719:K719">IF(A719&lt;&gt;"",IF(COUNTIF(A720:A$996,"&lt;&gt;")=0,COUNTA(B719:B$996),IFERROR(MATCH(TRUE(),INDEX((A720:A$996&lt;&gt;""),0),0),COUNTA(B719:B$996))),"")</f>
        <v/>
      </c>
      <c r="L719" s="20"/>
    </row>
    <row r="720" customFormat="false" ht="13.8" hidden="false" customHeight="false" outlineLevel="0" collapsed="false">
      <c r="A720" s="16"/>
      <c r="B720" s="16"/>
      <c r="C720" s="17"/>
      <c r="D720" s="17"/>
      <c r="E720" s="17"/>
      <c r="F720" s="18"/>
      <c r="G720" s="19" t="str">
        <f aca="true">IF(F720="", "", DATEDIF(F720, TODAY(), "Y"))</f>
        <v/>
      </c>
      <c r="H720" s="18"/>
      <c r="I720" s="18"/>
      <c r="J720" s="19" t="str">
        <f aca="true">IF(ISBLANK(H720), "", I720-TODAY())</f>
        <v/>
      </c>
      <c r="K720" s="19" t="str">
        <f aca="false" t="array" ref="K720:K720">IF(A720&lt;&gt;"",IF(COUNTIF(A721:A$996,"&lt;&gt;")=0,COUNTA(B720:B$996),IFERROR(MATCH(TRUE(),INDEX((A721:A$996&lt;&gt;""),0),0),COUNTA(B720:B$996))),"")</f>
        <v/>
      </c>
      <c r="L720" s="20"/>
    </row>
    <row r="721" customFormat="false" ht="13.8" hidden="false" customHeight="false" outlineLevel="0" collapsed="false">
      <c r="A721" s="16"/>
      <c r="B721" s="16"/>
      <c r="C721" s="17"/>
      <c r="D721" s="17"/>
      <c r="E721" s="17"/>
      <c r="F721" s="18"/>
      <c r="G721" s="19" t="str">
        <f aca="true">IF(F721="", "", DATEDIF(F721, TODAY(), "Y"))</f>
        <v/>
      </c>
      <c r="H721" s="18"/>
      <c r="I721" s="18"/>
      <c r="J721" s="19" t="str">
        <f aca="true">IF(ISBLANK(H721), "", I721-TODAY())</f>
        <v/>
      </c>
      <c r="K721" s="19" t="str">
        <f aca="false" t="array" ref="K721:K721">IF(A721&lt;&gt;"",IF(COUNTIF(A722:A$996,"&lt;&gt;")=0,COUNTA(B721:B$996),IFERROR(MATCH(TRUE(),INDEX((A722:A$996&lt;&gt;""),0),0),COUNTA(B721:B$996))),"")</f>
        <v/>
      </c>
      <c r="L721" s="20"/>
    </row>
    <row r="722" customFormat="false" ht="13.8" hidden="false" customHeight="false" outlineLevel="0" collapsed="false">
      <c r="A722" s="16"/>
      <c r="B722" s="16"/>
      <c r="C722" s="17"/>
      <c r="D722" s="17"/>
      <c r="E722" s="17"/>
      <c r="F722" s="18"/>
      <c r="G722" s="19" t="str">
        <f aca="true">IF(F722="", "", DATEDIF(F722, TODAY(), "Y"))</f>
        <v/>
      </c>
      <c r="H722" s="18"/>
      <c r="I722" s="18"/>
      <c r="J722" s="19" t="str">
        <f aca="true">IF(ISBLANK(H722), "", I722-TODAY())</f>
        <v/>
      </c>
      <c r="K722" s="19" t="str">
        <f aca="false" t="array" ref="K722:K722">IF(A722&lt;&gt;"",IF(COUNTIF(A723:A$996,"&lt;&gt;")=0,COUNTA(B722:B$996),IFERROR(MATCH(TRUE(),INDEX((A723:A$996&lt;&gt;""),0),0),COUNTA(B722:B$996))),"")</f>
        <v/>
      </c>
      <c r="L722" s="20"/>
    </row>
    <row r="723" customFormat="false" ht="13.8" hidden="false" customHeight="false" outlineLevel="0" collapsed="false">
      <c r="A723" s="16"/>
      <c r="B723" s="16"/>
      <c r="C723" s="17"/>
      <c r="D723" s="17"/>
      <c r="E723" s="17"/>
      <c r="F723" s="18"/>
      <c r="G723" s="19" t="str">
        <f aca="true">IF(F723="", "", DATEDIF(F723, TODAY(), "Y"))</f>
        <v/>
      </c>
      <c r="H723" s="18"/>
      <c r="I723" s="18"/>
      <c r="J723" s="19" t="str">
        <f aca="true">IF(ISBLANK(H723), "", I723-TODAY())</f>
        <v/>
      </c>
      <c r="K723" s="19" t="str">
        <f aca="false" t="array" ref="K723:K723">IF(A723&lt;&gt;"",IF(COUNTIF(A724:A$996,"&lt;&gt;")=0,COUNTA(B723:B$996),IFERROR(MATCH(TRUE(),INDEX((A724:A$996&lt;&gt;""),0),0),COUNTA(B723:B$996))),"")</f>
        <v/>
      </c>
      <c r="L723" s="20"/>
    </row>
    <row r="724" customFormat="false" ht="13.8" hidden="false" customHeight="false" outlineLevel="0" collapsed="false">
      <c r="A724" s="16"/>
      <c r="B724" s="16"/>
      <c r="C724" s="17"/>
      <c r="D724" s="17"/>
      <c r="E724" s="17"/>
      <c r="F724" s="18"/>
      <c r="G724" s="19" t="str">
        <f aca="true">IF(F724="", "", DATEDIF(F724, TODAY(), "Y"))</f>
        <v/>
      </c>
      <c r="H724" s="18"/>
      <c r="I724" s="18"/>
      <c r="J724" s="19" t="str">
        <f aca="true">IF(ISBLANK(H724), "", I724-TODAY())</f>
        <v/>
      </c>
      <c r="K724" s="19" t="str">
        <f aca="false" t="array" ref="K724:K724">IF(A724&lt;&gt;"",IF(COUNTIF(A725:A$996,"&lt;&gt;")=0,COUNTA(B724:B$996),IFERROR(MATCH(TRUE(),INDEX((A725:A$996&lt;&gt;""),0),0),COUNTA(B724:B$996))),"")</f>
        <v/>
      </c>
      <c r="L724" s="20"/>
    </row>
    <row r="725" customFormat="false" ht="13.8" hidden="false" customHeight="false" outlineLevel="0" collapsed="false">
      <c r="A725" s="16"/>
      <c r="B725" s="16"/>
      <c r="C725" s="17"/>
      <c r="D725" s="17"/>
      <c r="E725" s="17"/>
      <c r="F725" s="18"/>
      <c r="G725" s="19" t="str">
        <f aca="true">IF(F725="", "", DATEDIF(F725, TODAY(), "Y"))</f>
        <v/>
      </c>
      <c r="H725" s="18"/>
      <c r="I725" s="18"/>
      <c r="J725" s="19" t="str">
        <f aca="true">IF(ISBLANK(H725), "", I725-TODAY())</f>
        <v/>
      </c>
      <c r="K725" s="19" t="str">
        <f aca="false" t="array" ref="K725:K725">IF(A725&lt;&gt;"",IF(COUNTIF(A726:A$996,"&lt;&gt;")=0,COUNTA(B725:B$996),IFERROR(MATCH(TRUE(),INDEX((A726:A$996&lt;&gt;""),0),0),COUNTA(B725:B$996))),"")</f>
        <v/>
      </c>
      <c r="L725" s="20"/>
    </row>
    <row r="726" customFormat="false" ht="13.8" hidden="false" customHeight="false" outlineLevel="0" collapsed="false">
      <c r="A726" s="16"/>
      <c r="B726" s="16"/>
      <c r="C726" s="17"/>
      <c r="D726" s="17"/>
      <c r="E726" s="17"/>
      <c r="F726" s="18"/>
      <c r="G726" s="19" t="str">
        <f aca="true">IF(F726="", "", DATEDIF(F726, TODAY(), "Y"))</f>
        <v/>
      </c>
      <c r="H726" s="18"/>
      <c r="I726" s="18"/>
      <c r="J726" s="19" t="str">
        <f aca="true">IF(ISBLANK(H726), "", I726-TODAY())</f>
        <v/>
      </c>
      <c r="K726" s="19" t="str">
        <f aca="false" t="array" ref="K726:K726">IF(A726&lt;&gt;"",IF(COUNTIF(A727:A$996,"&lt;&gt;")=0,COUNTA(B726:B$996),IFERROR(MATCH(TRUE(),INDEX((A727:A$996&lt;&gt;""),0),0),COUNTA(B726:B$996))),"")</f>
        <v/>
      </c>
      <c r="L726" s="20"/>
    </row>
    <row r="727" customFormat="false" ht="13.8" hidden="false" customHeight="false" outlineLevel="0" collapsed="false">
      <c r="A727" s="16"/>
      <c r="B727" s="16"/>
      <c r="C727" s="17"/>
      <c r="D727" s="17"/>
      <c r="E727" s="17"/>
      <c r="F727" s="18"/>
      <c r="G727" s="19" t="str">
        <f aca="true">IF(F727="", "", DATEDIF(F727, TODAY(), "Y"))</f>
        <v/>
      </c>
      <c r="H727" s="18"/>
      <c r="I727" s="18"/>
      <c r="J727" s="19" t="str">
        <f aca="true">IF(ISBLANK(H727), "", I727-TODAY())</f>
        <v/>
      </c>
      <c r="K727" s="19" t="str">
        <f aca="false" t="array" ref="K727:K727">IF(A727&lt;&gt;"",IF(COUNTIF(A728:A$996,"&lt;&gt;")=0,COUNTA(B727:B$996),IFERROR(MATCH(TRUE(),INDEX((A728:A$996&lt;&gt;""),0),0),COUNTA(B727:B$996))),"")</f>
        <v/>
      </c>
      <c r="L727" s="20"/>
    </row>
    <row r="728" customFormat="false" ht="13.8" hidden="false" customHeight="false" outlineLevel="0" collapsed="false">
      <c r="A728" s="16"/>
      <c r="B728" s="16"/>
      <c r="C728" s="17"/>
      <c r="D728" s="17"/>
      <c r="E728" s="17"/>
      <c r="F728" s="18"/>
      <c r="G728" s="19" t="str">
        <f aca="true">IF(F728="", "", DATEDIF(F728, TODAY(), "Y"))</f>
        <v/>
      </c>
      <c r="H728" s="18"/>
      <c r="I728" s="18"/>
      <c r="J728" s="19" t="str">
        <f aca="true">IF(ISBLANK(H728), "", I728-TODAY())</f>
        <v/>
      </c>
      <c r="K728" s="19" t="str">
        <f aca="false" t="array" ref="K728:K728">IF(A728&lt;&gt;"",IF(COUNTIF(A729:A$996,"&lt;&gt;")=0,COUNTA(B728:B$996),IFERROR(MATCH(TRUE(),INDEX((A729:A$996&lt;&gt;""),0),0),COUNTA(B728:B$996))),"")</f>
        <v/>
      </c>
      <c r="L728" s="20"/>
    </row>
    <row r="729" customFormat="false" ht="13.8" hidden="false" customHeight="false" outlineLevel="0" collapsed="false">
      <c r="A729" s="16"/>
      <c r="B729" s="16"/>
      <c r="C729" s="17"/>
      <c r="D729" s="17"/>
      <c r="E729" s="17"/>
      <c r="F729" s="18"/>
      <c r="G729" s="19" t="str">
        <f aca="true">IF(F729="", "", DATEDIF(F729, TODAY(), "Y"))</f>
        <v/>
      </c>
      <c r="H729" s="18"/>
      <c r="I729" s="18"/>
      <c r="J729" s="19" t="str">
        <f aca="true">IF(ISBLANK(H729), "", I729-TODAY())</f>
        <v/>
      </c>
      <c r="K729" s="19" t="str">
        <f aca="false" t="array" ref="K729:K729">IF(A729&lt;&gt;"",IF(COUNTIF(A730:A$996,"&lt;&gt;")=0,COUNTA(B729:B$996),IFERROR(MATCH(TRUE(),INDEX((A730:A$996&lt;&gt;""),0),0),COUNTA(B729:B$996))),"")</f>
        <v/>
      </c>
      <c r="L729" s="20"/>
    </row>
    <row r="730" customFormat="false" ht="13.8" hidden="false" customHeight="false" outlineLevel="0" collapsed="false">
      <c r="A730" s="16"/>
      <c r="B730" s="16"/>
      <c r="C730" s="17"/>
      <c r="D730" s="17"/>
      <c r="E730" s="17"/>
      <c r="F730" s="18"/>
      <c r="G730" s="19" t="str">
        <f aca="true">IF(F730="", "", DATEDIF(F730, TODAY(), "Y"))</f>
        <v/>
      </c>
      <c r="H730" s="18"/>
      <c r="I730" s="18"/>
      <c r="J730" s="19" t="str">
        <f aca="true">IF(ISBLANK(H730), "", I730-TODAY())</f>
        <v/>
      </c>
      <c r="K730" s="19" t="str">
        <f aca="false" t="array" ref="K730:K730">IF(A730&lt;&gt;"",IF(COUNTIF(A731:A$996,"&lt;&gt;")=0,COUNTA(B730:B$996),IFERROR(MATCH(TRUE(),INDEX((A731:A$996&lt;&gt;""),0),0),COUNTA(B730:B$996))),"")</f>
        <v/>
      </c>
      <c r="L730" s="20"/>
    </row>
    <row r="731" customFormat="false" ht="13.8" hidden="false" customHeight="false" outlineLevel="0" collapsed="false">
      <c r="A731" s="16"/>
      <c r="B731" s="16"/>
      <c r="C731" s="17"/>
      <c r="D731" s="17"/>
      <c r="E731" s="17"/>
      <c r="F731" s="18"/>
      <c r="G731" s="19" t="str">
        <f aca="true">IF(F731="", "", DATEDIF(F731, TODAY(), "Y"))</f>
        <v/>
      </c>
      <c r="H731" s="18"/>
      <c r="I731" s="18"/>
      <c r="J731" s="19" t="str">
        <f aca="true">IF(ISBLANK(H731), "", I731-TODAY())</f>
        <v/>
      </c>
      <c r="K731" s="19" t="str">
        <f aca="false" t="array" ref="K731:K731">IF(A731&lt;&gt;"",IF(COUNTIF(A732:A$996,"&lt;&gt;")=0,COUNTA(B731:B$996),IFERROR(MATCH(TRUE(),INDEX((A732:A$996&lt;&gt;""),0),0),COUNTA(B731:B$996))),"")</f>
        <v/>
      </c>
      <c r="L731" s="20"/>
    </row>
    <row r="732" customFormat="false" ht="13.8" hidden="false" customHeight="false" outlineLevel="0" collapsed="false">
      <c r="A732" s="16"/>
      <c r="B732" s="16"/>
      <c r="C732" s="17"/>
      <c r="D732" s="17"/>
      <c r="E732" s="17"/>
      <c r="F732" s="18"/>
      <c r="G732" s="19" t="str">
        <f aca="true">IF(F732="", "", DATEDIF(F732, TODAY(), "Y"))</f>
        <v/>
      </c>
      <c r="H732" s="18"/>
      <c r="I732" s="18"/>
      <c r="J732" s="19" t="str">
        <f aca="true">IF(ISBLANK(H732), "", I732-TODAY())</f>
        <v/>
      </c>
      <c r="K732" s="19" t="str">
        <f aca="false" t="array" ref="K732:K732">IF(A732&lt;&gt;"",IF(COUNTIF(A733:A$996,"&lt;&gt;")=0,COUNTA(B732:B$996),IFERROR(MATCH(TRUE(),INDEX((A733:A$996&lt;&gt;""),0),0),COUNTA(B732:B$996))),"")</f>
        <v/>
      </c>
      <c r="L732" s="20"/>
    </row>
    <row r="733" customFormat="false" ht="13.8" hidden="false" customHeight="false" outlineLevel="0" collapsed="false">
      <c r="A733" s="16"/>
      <c r="B733" s="16"/>
      <c r="C733" s="17"/>
      <c r="D733" s="17"/>
      <c r="E733" s="17"/>
      <c r="F733" s="18"/>
      <c r="G733" s="19" t="str">
        <f aca="true">IF(F733="", "", DATEDIF(F733, TODAY(), "Y"))</f>
        <v/>
      </c>
      <c r="H733" s="18"/>
      <c r="I733" s="18"/>
      <c r="J733" s="19" t="str">
        <f aca="true">IF(ISBLANK(H733), "", I733-TODAY())</f>
        <v/>
      </c>
      <c r="K733" s="19" t="str">
        <f aca="false" t="array" ref="K733:K733">IF(A733&lt;&gt;"",IF(COUNTIF(A734:A$996,"&lt;&gt;")=0,COUNTA(B733:B$996),IFERROR(MATCH(TRUE(),INDEX((A734:A$996&lt;&gt;""),0),0),COUNTA(B733:B$996))),"")</f>
        <v/>
      </c>
      <c r="L733" s="20"/>
    </row>
    <row r="734" customFormat="false" ht="13.8" hidden="false" customHeight="false" outlineLevel="0" collapsed="false">
      <c r="A734" s="16"/>
      <c r="B734" s="16"/>
      <c r="C734" s="17"/>
      <c r="D734" s="17"/>
      <c r="E734" s="17"/>
      <c r="F734" s="18"/>
      <c r="G734" s="19" t="str">
        <f aca="true">IF(F734="", "", DATEDIF(F734, TODAY(), "Y"))</f>
        <v/>
      </c>
      <c r="H734" s="18"/>
      <c r="I734" s="18"/>
      <c r="J734" s="19" t="str">
        <f aca="true">IF(ISBLANK(H734), "", I734-TODAY())</f>
        <v/>
      </c>
      <c r="K734" s="19" t="str">
        <f aca="false" t="array" ref="K734:K734">IF(A734&lt;&gt;"",IF(COUNTIF(A735:A$996,"&lt;&gt;")=0,COUNTA(B734:B$996),IFERROR(MATCH(TRUE(),INDEX((A735:A$996&lt;&gt;""),0),0),COUNTA(B734:B$996))),"")</f>
        <v/>
      </c>
      <c r="L734" s="20"/>
    </row>
    <row r="735" customFormat="false" ht="13.8" hidden="false" customHeight="false" outlineLevel="0" collapsed="false">
      <c r="A735" s="16"/>
      <c r="B735" s="16"/>
      <c r="C735" s="17"/>
      <c r="D735" s="17"/>
      <c r="E735" s="17"/>
      <c r="F735" s="18"/>
      <c r="G735" s="19" t="str">
        <f aca="true">IF(F735="", "", DATEDIF(F735, TODAY(), "Y"))</f>
        <v/>
      </c>
      <c r="H735" s="18"/>
      <c r="I735" s="18"/>
      <c r="J735" s="19" t="str">
        <f aca="true">IF(ISBLANK(H735), "", I735-TODAY())</f>
        <v/>
      </c>
      <c r="K735" s="19" t="str">
        <f aca="false" t="array" ref="K735:K735">IF(A735&lt;&gt;"",IF(COUNTIF(A736:A$996,"&lt;&gt;")=0,COUNTA(B735:B$996),IFERROR(MATCH(TRUE(),INDEX((A736:A$996&lt;&gt;""),0),0),COUNTA(B735:B$996))),"")</f>
        <v/>
      </c>
      <c r="L735" s="20"/>
    </row>
    <row r="736" customFormat="false" ht="13.8" hidden="false" customHeight="false" outlineLevel="0" collapsed="false">
      <c r="A736" s="16"/>
      <c r="B736" s="16"/>
      <c r="C736" s="17"/>
      <c r="D736" s="17"/>
      <c r="E736" s="17"/>
      <c r="F736" s="18"/>
      <c r="G736" s="19" t="str">
        <f aca="true">IF(F736="", "", DATEDIF(F736, TODAY(), "Y"))</f>
        <v/>
      </c>
      <c r="H736" s="18"/>
      <c r="I736" s="18"/>
      <c r="J736" s="19" t="str">
        <f aca="true">IF(ISBLANK(H736), "", I736-TODAY())</f>
        <v/>
      </c>
      <c r="K736" s="19" t="str">
        <f aca="false" t="array" ref="K736:K736">IF(A736&lt;&gt;"",IF(COUNTIF(A737:A$996,"&lt;&gt;")=0,COUNTA(B736:B$996),IFERROR(MATCH(TRUE(),INDEX((A737:A$996&lt;&gt;""),0),0),COUNTA(B736:B$996))),"")</f>
        <v/>
      </c>
      <c r="L736" s="20"/>
    </row>
    <row r="737" customFormat="false" ht="13.8" hidden="false" customHeight="false" outlineLevel="0" collapsed="false">
      <c r="A737" s="16"/>
      <c r="B737" s="16"/>
      <c r="C737" s="17"/>
      <c r="D737" s="17"/>
      <c r="E737" s="17"/>
      <c r="F737" s="18"/>
      <c r="G737" s="19" t="str">
        <f aca="true">IF(F737="", "", DATEDIF(F737, TODAY(), "Y"))</f>
        <v/>
      </c>
      <c r="H737" s="18"/>
      <c r="I737" s="18"/>
      <c r="J737" s="19" t="str">
        <f aca="true">IF(ISBLANK(H737), "", I737-TODAY())</f>
        <v/>
      </c>
      <c r="K737" s="19" t="str">
        <f aca="false" t="array" ref="K737:K737">IF(A737&lt;&gt;"",IF(COUNTIF(A738:A$996,"&lt;&gt;")=0,COUNTA(B737:B$996),IFERROR(MATCH(TRUE(),INDEX((A738:A$996&lt;&gt;""),0),0),COUNTA(B737:B$996))),"")</f>
        <v/>
      </c>
      <c r="L737" s="20"/>
    </row>
    <row r="738" customFormat="false" ht="13.8" hidden="false" customHeight="false" outlineLevel="0" collapsed="false">
      <c r="A738" s="16"/>
      <c r="B738" s="16"/>
      <c r="C738" s="17"/>
      <c r="D738" s="17"/>
      <c r="E738" s="17"/>
      <c r="F738" s="18"/>
      <c r="G738" s="19" t="str">
        <f aca="true">IF(F738="", "", DATEDIF(F738, TODAY(), "Y"))</f>
        <v/>
      </c>
      <c r="H738" s="18"/>
      <c r="I738" s="18"/>
      <c r="J738" s="19" t="str">
        <f aca="true">IF(ISBLANK(H738), "", I738-TODAY())</f>
        <v/>
      </c>
      <c r="K738" s="19" t="str">
        <f aca="false" t="array" ref="K738:K738">IF(A738&lt;&gt;"",IF(COUNTIF(A739:A$996,"&lt;&gt;")=0,COUNTA(B738:B$996),IFERROR(MATCH(TRUE(),INDEX((A739:A$996&lt;&gt;""),0),0),COUNTA(B738:B$996))),"")</f>
        <v/>
      </c>
      <c r="L738" s="20"/>
    </row>
    <row r="739" customFormat="false" ht="13.8" hidden="false" customHeight="false" outlineLevel="0" collapsed="false">
      <c r="A739" s="16"/>
      <c r="B739" s="16"/>
      <c r="C739" s="17"/>
      <c r="D739" s="17"/>
      <c r="E739" s="17"/>
      <c r="F739" s="18"/>
      <c r="G739" s="19" t="str">
        <f aca="true">IF(F739="", "", DATEDIF(F739, TODAY(), "Y"))</f>
        <v/>
      </c>
      <c r="H739" s="18"/>
      <c r="I739" s="18"/>
      <c r="J739" s="19" t="str">
        <f aca="true">IF(ISBLANK(H739), "", I739-TODAY())</f>
        <v/>
      </c>
      <c r="K739" s="19" t="str">
        <f aca="false" t="array" ref="K739:K739">IF(A739&lt;&gt;"",IF(COUNTIF(A740:A$996,"&lt;&gt;")=0,COUNTA(B739:B$996),IFERROR(MATCH(TRUE(),INDEX((A740:A$996&lt;&gt;""),0),0),COUNTA(B739:B$996))),"")</f>
        <v/>
      </c>
      <c r="L739" s="20"/>
    </row>
    <row r="740" customFormat="false" ht="13.8" hidden="false" customHeight="false" outlineLevel="0" collapsed="false">
      <c r="A740" s="16"/>
      <c r="B740" s="16"/>
      <c r="C740" s="17"/>
      <c r="D740" s="17"/>
      <c r="E740" s="17"/>
      <c r="F740" s="18"/>
      <c r="G740" s="19" t="str">
        <f aca="true">IF(F740="", "", DATEDIF(F740, TODAY(), "Y"))</f>
        <v/>
      </c>
      <c r="H740" s="18"/>
      <c r="I740" s="18"/>
      <c r="J740" s="19" t="str">
        <f aca="true">IF(ISBLANK(H740), "", I740-TODAY())</f>
        <v/>
      </c>
      <c r="K740" s="19" t="str">
        <f aca="false" t="array" ref="K740:K740">IF(A740&lt;&gt;"",IF(COUNTIF(A741:A$996,"&lt;&gt;")=0,COUNTA(B740:B$996),IFERROR(MATCH(TRUE(),INDEX((A741:A$996&lt;&gt;""),0),0),COUNTA(B740:B$996))),"")</f>
        <v/>
      </c>
      <c r="L740" s="20"/>
    </row>
    <row r="741" customFormat="false" ht="13.8" hidden="false" customHeight="false" outlineLevel="0" collapsed="false">
      <c r="A741" s="16"/>
      <c r="B741" s="16"/>
      <c r="C741" s="17"/>
      <c r="D741" s="17"/>
      <c r="E741" s="17"/>
      <c r="F741" s="18"/>
      <c r="G741" s="19" t="str">
        <f aca="true">IF(F741="", "", DATEDIF(F741, TODAY(), "Y"))</f>
        <v/>
      </c>
      <c r="H741" s="18"/>
      <c r="I741" s="18"/>
      <c r="J741" s="19" t="str">
        <f aca="true">IF(ISBLANK(H741), "", I741-TODAY())</f>
        <v/>
      </c>
      <c r="K741" s="19" t="str">
        <f aca="false" t="array" ref="K741:K741">IF(A741&lt;&gt;"",IF(COUNTIF(A742:A$996,"&lt;&gt;")=0,COUNTA(B741:B$996),IFERROR(MATCH(TRUE(),INDEX((A742:A$996&lt;&gt;""),0),0),COUNTA(B741:B$996))),"")</f>
        <v/>
      </c>
      <c r="L741" s="20"/>
    </row>
    <row r="742" customFormat="false" ht="13.8" hidden="false" customHeight="false" outlineLevel="0" collapsed="false">
      <c r="A742" s="16"/>
      <c r="B742" s="16"/>
      <c r="C742" s="17"/>
      <c r="D742" s="17"/>
      <c r="E742" s="17"/>
      <c r="F742" s="18"/>
      <c r="G742" s="19" t="str">
        <f aca="true">IF(F742="", "", DATEDIF(F742, TODAY(), "Y"))</f>
        <v/>
      </c>
      <c r="H742" s="18"/>
      <c r="I742" s="18"/>
      <c r="J742" s="19" t="str">
        <f aca="true">IF(ISBLANK(H742), "", I742-TODAY())</f>
        <v/>
      </c>
      <c r="K742" s="19" t="str">
        <f aca="false" t="array" ref="K742:K742">IF(A742&lt;&gt;"",IF(COUNTIF(A743:A$996,"&lt;&gt;")=0,COUNTA(B742:B$996),IFERROR(MATCH(TRUE(),INDEX((A743:A$996&lt;&gt;""),0),0),COUNTA(B742:B$996))),"")</f>
        <v/>
      </c>
      <c r="L742" s="20"/>
    </row>
    <row r="743" customFormat="false" ht="13.8" hidden="false" customHeight="false" outlineLevel="0" collapsed="false">
      <c r="A743" s="16"/>
      <c r="B743" s="16"/>
      <c r="C743" s="17"/>
      <c r="D743" s="17"/>
      <c r="E743" s="17"/>
      <c r="F743" s="18"/>
      <c r="G743" s="19" t="str">
        <f aca="true">IF(F743="", "", DATEDIF(F743, TODAY(), "Y"))</f>
        <v/>
      </c>
      <c r="H743" s="18"/>
      <c r="I743" s="18"/>
      <c r="J743" s="19" t="str">
        <f aca="true">IF(ISBLANK(H743), "", I743-TODAY())</f>
        <v/>
      </c>
      <c r="K743" s="19" t="str">
        <f aca="false" t="array" ref="K743:K743">IF(A743&lt;&gt;"",IF(COUNTIF(A744:A$996,"&lt;&gt;")=0,COUNTA(B743:B$996),IFERROR(MATCH(TRUE(),INDEX((A744:A$996&lt;&gt;""),0),0),COUNTA(B743:B$996))),"")</f>
        <v/>
      </c>
      <c r="L743" s="20"/>
    </row>
    <row r="744" customFormat="false" ht="13.8" hidden="false" customHeight="false" outlineLevel="0" collapsed="false">
      <c r="A744" s="16"/>
      <c r="B744" s="16"/>
      <c r="C744" s="17"/>
      <c r="D744" s="17"/>
      <c r="E744" s="17"/>
      <c r="F744" s="18"/>
      <c r="G744" s="19" t="str">
        <f aca="true">IF(F744="", "", DATEDIF(F744, TODAY(), "Y"))</f>
        <v/>
      </c>
      <c r="H744" s="18"/>
      <c r="I744" s="18"/>
      <c r="J744" s="19" t="str">
        <f aca="true">IF(ISBLANK(H744), "", I744-TODAY())</f>
        <v/>
      </c>
      <c r="K744" s="19" t="str">
        <f aca="false" t="array" ref="K744:K744">IF(A744&lt;&gt;"",IF(COUNTIF(A745:A$996,"&lt;&gt;")=0,COUNTA(B744:B$996),IFERROR(MATCH(TRUE(),INDEX((A745:A$996&lt;&gt;""),0),0),COUNTA(B744:B$996))),"")</f>
        <v/>
      </c>
      <c r="L744" s="20"/>
    </row>
    <row r="745" customFormat="false" ht="13.8" hidden="false" customHeight="false" outlineLevel="0" collapsed="false">
      <c r="A745" s="16"/>
      <c r="B745" s="16"/>
      <c r="C745" s="17"/>
      <c r="D745" s="17"/>
      <c r="E745" s="17"/>
      <c r="F745" s="18"/>
      <c r="G745" s="19" t="str">
        <f aca="true">IF(F745="", "", DATEDIF(F745, TODAY(), "Y"))</f>
        <v/>
      </c>
      <c r="H745" s="18"/>
      <c r="I745" s="18"/>
      <c r="J745" s="19" t="str">
        <f aca="true">IF(ISBLANK(H745), "", I745-TODAY())</f>
        <v/>
      </c>
      <c r="K745" s="19" t="str">
        <f aca="false" t="array" ref="K745:K745">IF(A745&lt;&gt;"",IF(COUNTIF(A746:A$996,"&lt;&gt;")=0,COUNTA(B745:B$996),IFERROR(MATCH(TRUE(),INDEX((A746:A$996&lt;&gt;""),0),0),COUNTA(B745:B$996))),"")</f>
        <v/>
      </c>
      <c r="L745" s="20"/>
    </row>
    <row r="746" customFormat="false" ht="13.8" hidden="false" customHeight="false" outlineLevel="0" collapsed="false">
      <c r="A746" s="16"/>
      <c r="B746" s="16"/>
      <c r="C746" s="17"/>
      <c r="D746" s="17"/>
      <c r="E746" s="17"/>
      <c r="F746" s="18"/>
      <c r="G746" s="19" t="str">
        <f aca="true">IF(F746="", "", DATEDIF(F746, TODAY(), "Y"))</f>
        <v/>
      </c>
      <c r="H746" s="18"/>
      <c r="I746" s="18"/>
      <c r="J746" s="19" t="str">
        <f aca="true">IF(ISBLANK(H746), "", I746-TODAY())</f>
        <v/>
      </c>
      <c r="K746" s="19" t="str">
        <f aca="false" t="array" ref="K746:K746">IF(A746&lt;&gt;"",IF(COUNTIF(A747:A$996,"&lt;&gt;")=0,COUNTA(B746:B$996),IFERROR(MATCH(TRUE(),INDEX((A747:A$996&lt;&gt;""),0),0),COUNTA(B746:B$996))),"")</f>
        <v/>
      </c>
      <c r="L746" s="20"/>
    </row>
    <row r="747" customFormat="false" ht="13.8" hidden="false" customHeight="false" outlineLevel="0" collapsed="false">
      <c r="A747" s="16"/>
      <c r="B747" s="16"/>
      <c r="C747" s="17"/>
      <c r="D747" s="17"/>
      <c r="E747" s="17"/>
      <c r="F747" s="18"/>
      <c r="G747" s="19" t="str">
        <f aca="true">IF(F747="", "", DATEDIF(F747, TODAY(), "Y"))</f>
        <v/>
      </c>
      <c r="H747" s="18"/>
      <c r="I747" s="18"/>
      <c r="J747" s="19" t="str">
        <f aca="true">IF(ISBLANK(H747), "", I747-TODAY())</f>
        <v/>
      </c>
      <c r="K747" s="19" t="str">
        <f aca="false" t="array" ref="K747:K747">IF(A747&lt;&gt;"",IF(COUNTIF(A748:A$996,"&lt;&gt;")=0,COUNTA(B747:B$996),IFERROR(MATCH(TRUE(),INDEX((A748:A$996&lt;&gt;""),0),0),COUNTA(B747:B$996))),"")</f>
        <v/>
      </c>
      <c r="L747" s="20"/>
    </row>
    <row r="748" customFormat="false" ht="13.8" hidden="false" customHeight="false" outlineLevel="0" collapsed="false">
      <c r="A748" s="16"/>
      <c r="B748" s="16"/>
      <c r="C748" s="17"/>
      <c r="D748" s="17"/>
      <c r="E748" s="17"/>
      <c r="F748" s="18"/>
      <c r="G748" s="19" t="str">
        <f aca="true">IF(F748="", "", DATEDIF(F748, TODAY(), "Y"))</f>
        <v/>
      </c>
      <c r="H748" s="18"/>
      <c r="I748" s="18"/>
      <c r="J748" s="19" t="str">
        <f aca="true">IF(ISBLANK(H748), "", I748-TODAY())</f>
        <v/>
      </c>
      <c r="K748" s="19" t="str">
        <f aca="false" t="array" ref="K748:K748">IF(A748&lt;&gt;"",IF(COUNTIF(A749:A$996,"&lt;&gt;")=0,COUNTA(B748:B$996),IFERROR(MATCH(TRUE(),INDEX((A749:A$996&lt;&gt;""),0),0),COUNTA(B748:B$996))),"")</f>
        <v/>
      </c>
      <c r="L748" s="20"/>
    </row>
    <row r="749" customFormat="false" ht="13.8" hidden="false" customHeight="false" outlineLevel="0" collapsed="false">
      <c r="A749" s="16"/>
      <c r="B749" s="16"/>
      <c r="C749" s="17"/>
      <c r="D749" s="17"/>
      <c r="E749" s="17"/>
      <c r="F749" s="18"/>
      <c r="G749" s="19" t="str">
        <f aca="true">IF(F749="", "", DATEDIF(F749, TODAY(), "Y"))</f>
        <v/>
      </c>
      <c r="H749" s="18"/>
      <c r="I749" s="18"/>
      <c r="J749" s="19" t="str">
        <f aca="true">IF(ISBLANK(H749), "", I749-TODAY())</f>
        <v/>
      </c>
      <c r="K749" s="19" t="str">
        <f aca="false" t="array" ref="K749:K749">IF(A749&lt;&gt;"",IF(COUNTIF(A750:A$996,"&lt;&gt;")=0,COUNTA(B749:B$996),IFERROR(MATCH(TRUE(),INDEX((A750:A$996&lt;&gt;""),0),0),COUNTA(B749:B$996))),"")</f>
        <v/>
      </c>
      <c r="L749" s="20"/>
    </row>
    <row r="750" customFormat="false" ht="13.8" hidden="false" customHeight="false" outlineLevel="0" collapsed="false">
      <c r="A750" s="16"/>
      <c r="B750" s="16"/>
      <c r="C750" s="17"/>
      <c r="D750" s="17"/>
      <c r="E750" s="17"/>
      <c r="F750" s="18"/>
      <c r="G750" s="19" t="str">
        <f aca="true">IF(F750="", "", DATEDIF(F750, TODAY(), "Y"))</f>
        <v/>
      </c>
      <c r="H750" s="18"/>
      <c r="I750" s="18"/>
      <c r="J750" s="19" t="str">
        <f aca="true">IF(ISBLANK(H750), "", I750-TODAY())</f>
        <v/>
      </c>
      <c r="K750" s="19" t="str">
        <f aca="false" t="array" ref="K750:K750">IF(A750&lt;&gt;"",IF(COUNTIF(A751:A$996,"&lt;&gt;")=0,COUNTA(B750:B$996),IFERROR(MATCH(TRUE(),INDEX((A751:A$996&lt;&gt;""),0),0),COUNTA(B750:B$996))),"")</f>
        <v/>
      </c>
      <c r="L750" s="20"/>
    </row>
    <row r="751" customFormat="false" ht="13.8" hidden="false" customHeight="false" outlineLevel="0" collapsed="false">
      <c r="A751" s="16"/>
      <c r="B751" s="16"/>
      <c r="C751" s="17"/>
      <c r="D751" s="17"/>
      <c r="E751" s="17"/>
      <c r="F751" s="18"/>
      <c r="G751" s="19" t="str">
        <f aca="true">IF(F751="", "", DATEDIF(F751, TODAY(), "Y"))</f>
        <v/>
      </c>
      <c r="H751" s="18"/>
      <c r="I751" s="18"/>
      <c r="J751" s="19" t="str">
        <f aca="true">IF(ISBLANK(H751), "", I751-TODAY())</f>
        <v/>
      </c>
      <c r="K751" s="19" t="str">
        <f aca="false" t="array" ref="K751:K751">IF(A751&lt;&gt;"",IF(COUNTIF(A752:A$996,"&lt;&gt;")=0,COUNTA(B751:B$996),IFERROR(MATCH(TRUE(),INDEX((A752:A$996&lt;&gt;""),0),0),COUNTA(B751:B$996))),"")</f>
        <v/>
      </c>
      <c r="L751" s="20"/>
    </row>
    <row r="752" customFormat="false" ht="13.8" hidden="false" customHeight="false" outlineLevel="0" collapsed="false">
      <c r="A752" s="16"/>
      <c r="B752" s="16"/>
      <c r="C752" s="17"/>
      <c r="D752" s="17"/>
      <c r="E752" s="17"/>
      <c r="F752" s="18"/>
      <c r="G752" s="19" t="str">
        <f aca="true">IF(F752="", "", DATEDIF(F752, TODAY(), "Y"))</f>
        <v/>
      </c>
      <c r="H752" s="18"/>
      <c r="I752" s="18"/>
      <c r="J752" s="19" t="str">
        <f aca="true">IF(ISBLANK(H752), "", I752-TODAY())</f>
        <v/>
      </c>
      <c r="K752" s="19" t="str">
        <f aca="false" t="array" ref="K752:K752">IF(A752&lt;&gt;"",IF(COUNTIF(A753:A$996,"&lt;&gt;")=0,COUNTA(B752:B$996),IFERROR(MATCH(TRUE(),INDEX((A753:A$996&lt;&gt;""),0),0),COUNTA(B752:B$996))),"")</f>
        <v/>
      </c>
      <c r="L752" s="20"/>
    </row>
    <row r="753" customFormat="false" ht="13.8" hidden="false" customHeight="false" outlineLevel="0" collapsed="false">
      <c r="A753" s="16"/>
      <c r="B753" s="16"/>
      <c r="C753" s="17"/>
      <c r="D753" s="17"/>
      <c r="E753" s="17"/>
      <c r="F753" s="18"/>
      <c r="G753" s="19" t="str">
        <f aca="true">IF(F753="", "", DATEDIF(F753, TODAY(), "Y"))</f>
        <v/>
      </c>
      <c r="H753" s="18"/>
      <c r="I753" s="18"/>
      <c r="J753" s="19" t="str">
        <f aca="true">IF(ISBLANK(H753), "", I753-TODAY())</f>
        <v/>
      </c>
      <c r="K753" s="19" t="str">
        <f aca="false" t="array" ref="K753:K753">IF(A753&lt;&gt;"",IF(COUNTIF(A754:A$996,"&lt;&gt;")=0,COUNTA(B753:B$996),IFERROR(MATCH(TRUE(),INDEX((A754:A$996&lt;&gt;""),0),0),COUNTA(B753:B$996))),"")</f>
        <v/>
      </c>
      <c r="L753" s="20"/>
    </row>
    <row r="754" customFormat="false" ht="13.8" hidden="false" customHeight="false" outlineLevel="0" collapsed="false">
      <c r="A754" s="16"/>
      <c r="B754" s="16"/>
      <c r="C754" s="17"/>
      <c r="D754" s="17"/>
      <c r="E754" s="17"/>
      <c r="F754" s="18"/>
      <c r="G754" s="19" t="str">
        <f aca="true">IF(F754="", "", DATEDIF(F754, TODAY(), "Y"))</f>
        <v/>
      </c>
      <c r="H754" s="18"/>
      <c r="I754" s="18"/>
      <c r="J754" s="19" t="str">
        <f aca="true">IF(ISBLANK(H754), "", I754-TODAY())</f>
        <v/>
      </c>
      <c r="K754" s="19" t="str">
        <f aca="false" t="array" ref="K754:K754">IF(A754&lt;&gt;"",IF(COUNTIF(A755:A$996,"&lt;&gt;")=0,COUNTA(B754:B$996),IFERROR(MATCH(TRUE(),INDEX((A755:A$996&lt;&gt;""),0),0),COUNTA(B754:B$996))),"")</f>
        <v/>
      </c>
      <c r="L754" s="20"/>
    </row>
    <row r="755" customFormat="false" ht="13.8" hidden="false" customHeight="false" outlineLevel="0" collapsed="false">
      <c r="A755" s="16"/>
      <c r="B755" s="16"/>
      <c r="C755" s="17"/>
      <c r="D755" s="17"/>
      <c r="E755" s="17"/>
      <c r="F755" s="18"/>
      <c r="G755" s="19" t="str">
        <f aca="true">IF(F755="", "", DATEDIF(F755, TODAY(), "Y"))</f>
        <v/>
      </c>
      <c r="H755" s="18"/>
      <c r="I755" s="18"/>
      <c r="J755" s="19" t="str">
        <f aca="true">IF(ISBLANK(H755), "", I755-TODAY())</f>
        <v/>
      </c>
      <c r="K755" s="19" t="str">
        <f aca="false" t="array" ref="K755:K755">IF(A755&lt;&gt;"",IF(COUNTIF(A756:A$996,"&lt;&gt;")=0,COUNTA(B755:B$996),IFERROR(MATCH(TRUE(),INDEX((A756:A$996&lt;&gt;""),0),0),COUNTA(B755:B$996))),"")</f>
        <v/>
      </c>
      <c r="L755" s="20"/>
    </row>
    <row r="756" customFormat="false" ht="13.8" hidden="false" customHeight="false" outlineLevel="0" collapsed="false">
      <c r="A756" s="16"/>
      <c r="B756" s="16"/>
      <c r="C756" s="17"/>
      <c r="D756" s="17"/>
      <c r="E756" s="17"/>
      <c r="F756" s="18"/>
      <c r="G756" s="19" t="str">
        <f aca="true">IF(F756="", "", DATEDIF(F756, TODAY(), "Y"))</f>
        <v/>
      </c>
      <c r="H756" s="18"/>
      <c r="I756" s="18"/>
      <c r="J756" s="19" t="str">
        <f aca="true">IF(ISBLANK(H756), "", I756-TODAY())</f>
        <v/>
      </c>
      <c r="K756" s="19" t="str">
        <f aca="false" t="array" ref="K756:K756">IF(A756&lt;&gt;"",IF(COUNTIF(A757:A$996,"&lt;&gt;")=0,COUNTA(B756:B$996),IFERROR(MATCH(TRUE(),INDEX((A757:A$996&lt;&gt;""),0),0),COUNTA(B756:B$996))),"")</f>
        <v/>
      </c>
      <c r="L756" s="20"/>
    </row>
    <row r="757" customFormat="false" ht="13.8" hidden="false" customHeight="false" outlineLevel="0" collapsed="false">
      <c r="A757" s="16"/>
      <c r="B757" s="16"/>
      <c r="C757" s="17"/>
      <c r="D757" s="17"/>
      <c r="E757" s="17"/>
      <c r="F757" s="18"/>
      <c r="G757" s="19" t="str">
        <f aca="true">IF(F757="", "", DATEDIF(F757, TODAY(), "Y"))</f>
        <v/>
      </c>
      <c r="H757" s="18"/>
      <c r="I757" s="18"/>
      <c r="J757" s="19" t="str">
        <f aca="true">IF(ISBLANK(H757), "", I757-TODAY())</f>
        <v/>
      </c>
      <c r="K757" s="19" t="str">
        <f aca="false" t="array" ref="K757:K757">IF(A757&lt;&gt;"",IF(COUNTIF(A758:A$996,"&lt;&gt;")=0,COUNTA(B757:B$996),IFERROR(MATCH(TRUE(),INDEX((A758:A$996&lt;&gt;""),0),0),COUNTA(B757:B$996))),"")</f>
        <v/>
      </c>
      <c r="L757" s="20"/>
    </row>
    <row r="758" customFormat="false" ht="13.8" hidden="false" customHeight="false" outlineLevel="0" collapsed="false">
      <c r="A758" s="16"/>
      <c r="B758" s="16"/>
      <c r="C758" s="17"/>
      <c r="D758" s="17"/>
      <c r="E758" s="17"/>
      <c r="F758" s="18"/>
      <c r="G758" s="19" t="str">
        <f aca="true">IF(F758="", "", DATEDIF(F758, TODAY(), "Y"))</f>
        <v/>
      </c>
      <c r="H758" s="18"/>
      <c r="I758" s="18"/>
      <c r="J758" s="19" t="str">
        <f aca="true">IF(ISBLANK(H758), "", I758-TODAY())</f>
        <v/>
      </c>
      <c r="K758" s="19" t="str">
        <f aca="false" t="array" ref="K758:K758">IF(A758&lt;&gt;"",IF(COUNTIF(A759:A$996,"&lt;&gt;")=0,COUNTA(B758:B$996),IFERROR(MATCH(TRUE(),INDEX((A759:A$996&lt;&gt;""),0),0),COUNTA(B758:B$996))),"")</f>
        <v/>
      </c>
      <c r="L758" s="20"/>
    </row>
    <row r="759" customFormat="false" ht="13.8" hidden="false" customHeight="false" outlineLevel="0" collapsed="false">
      <c r="A759" s="16"/>
      <c r="B759" s="16"/>
      <c r="C759" s="17"/>
      <c r="D759" s="17"/>
      <c r="E759" s="17"/>
      <c r="F759" s="18"/>
      <c r="G759" s="19" t="str">
        <f aca="true">IF(F759="", "", DATEDIF(F759, TODAY(), "Y"))</f>
        <v/>
      </c>
      <c r="H759" s="18"/>
      <c r="I759" s="18"/>
      <c r="J759" s="19" t="str">
        <f aca="true">IF(ISBLANK(H759), "", I759-TODAY())</f>
        <v/>
      </c>
      <c r="K759" s="19" t="str">
        <f aca="false" t="array" ref="K759:K759">IF(A759&lt;&gt;"",IF(COUNTIF(A760:A$996,"&lt;&gt;")=0,COUNTA(B759:B$996),IFERROR(MATCH(TRUE(),INDEX((A760:A$996&lt;&gt;""),0),0),COUNTA(B759:B$996))),"")</f>
        <v/>
      </c>
      <c r="L759" s="20"/>
    </row>
    <row r="760" customFormat="false" ht="13.8" hidden="false" customHeight="false" outlineLevel="0" collapsed="false">
      <c r="A760" s="16"/>
      <c r="B760" s="16"/>
      <c r="C760" s="17"/>
      <c r="D760" s="17"/>
      <c r="E760" s="17"/>
      <c r="F760" s="18"/>
      <c r="G760" s="19" t="str">
        <f aca="true">IF(F760="", "", DATEDIF(F760, TODAY(), "Y"))</f>
        <v/>
      </c>
      <c r="H760" s="18"/>
      <c r="I760" s="18"/>
      <c r="J760" s="19" t="str">
        <f aca="true">IF(ISBLANK(H760), "", I760-TODAY())</f>
        <v/>
      </c>
      <c r="K760" s="19" t="str">
        <f aca="false" t="array" ref="K760:K760">IF(A760&lt;&gt;"",IF(COUNTIF(A761:A$996,"&lt;&gt;")=0,COUNTA(B760:B$996),IFERROR(MATCH(TRUE(),INDEX((A761:A$996&lt;&gt;""),0),0),COUNTA(B760:B$996))),"")</f>
        <v/>
      </c>
      <c r="L760" s="20"/>
    </row>
    <row r="761" customFormat="false" ht="13.8" hidden="false" customHeight="false" outlineLevel="0" collapsed="false">
      <c r="A761" s="16"/>
      <c r="B761" s="16"/>
      <c r="C761" s="17"/>
      <c r="D761" s="17"/>
      <c r="E761" s="17"/>
      <c r="F761" s="18"/>
      <c r="G761" s="19" t="str">
        <f aca="true">IF(F761="", "", DATEDIF(F761, TODAY(), "Y"))</f>
        <v/>
      </c>
      <c r="H761" s="18"/>
      <c r="I761" s="18"/>
      <c r="J761" s="19" t="str">
        <f aca="true">IF(ISBLANK(H761), "", I761-TODAY())</f>
        <v/>
      </c>
      <c r="K761" s="19" t="str">
        <f aca="false" t="array" ref="K761:K761">IF(A761&lt;&gt;"",IF(COUNTIF(A762:A$996,"&lt;&gt;")=0,COUNTA(B761:B$996),IFERROR(MATCH(TRUE(),INDEX((A762:A$996&lt;&gt;""),0),0),COUNTA(B761:B$996))),"")</f>
        <v/>
      </c>
      <c r="L761" s="20"/>
    </row>
    <row r="762" customFormat="false" ht="13.8" hidden="false" customHeight="false" outlineLevel="0" collapsed="false">
      <c r="A762" s="16"/>
      <c r="B762" s="16"/>
      <c r="C762" s="17"/>
      <c r="D762" s="17"/>
      <c r="E762" s="17"/>
      <c r="F762" s="18"/>
      <c r="G762" s="19" t="str">
        <f aca="true">IF(F762="", "", DATEDIF(F762, TODAY(), "Y"))</f>
        <v/>
      </c>
      <c r="H762" s="18"/>
      <c r="I762" s="18"/>
      <c r="J762" s="19" t="str">
        <f aca="true">IF(ISBLANK(H762), "", I762-TODAY())</f>
        <v/>
      </c>
      <c r="K762" s="19" t="str">
        <f aca="false" t="array" ref="K762:K762">IF(A762&lt;&gt;"",IF(COUNTIF(A763:A$996,"&lt;&gt;")=0,COUNTA(B762:B$996),IFERROR(MATCH(TRUE(),INDEX((A763:A$996&lt;&gt;""),0),0),COUNTA(B762:B$996))),"")</f>
        <v/>
      </c>
      <c r="L762" s="20"/>
    </row>
    <row r="763" customFormat="false" ht="13.8" hidden="false" customHeight="false" outlineLevel="0" collapsed="false">
      <c r="A763" s="16"/>
      <c r="B763" s="16"/>
      <c r="C763" s="17"/>
      <c r="D763" s="17"/>
      <c r="E763" s="17"/>
      <c r="F763" s="18"/>
      <c r="G763" s="19" t="str">
        <f aca="true">IF(F763="", "", DATEDIF(F763, TODAY(), "Y"))</f>
        <v/>
      </c>
      <c r="H763" s="18"/>
      <c r="I763" s="18"/>
      <c r="J763" s="19" t="str">
        <f aca="true">IF(ISBLANK(H763), "", I763-TODAY())</f>
        <v/>
      </c>
      <c r="K763" s="19" t="str">
        <f aca="false" t="array" ref="K763:K763">IF(A763&lt;&gt;"",IF(COUNTIF(A764:A$996,"&lt;&gt;")=0,COUNTA(B763:B$996),IFERROR(MATCH(TRUE(),INDEX((A764:A$996&lt;&gt;""),0),0),COUNTA(B763:B$996))),"")</f>
        <v/>
      </c>
      <c r="L763" s="20"/>
    </row>
    <row r="764" customFormat="false" ht="13.8" hidden="false" customHeight="false" outlineLevel="0" collapsed="false">
      <c r="A764" s="16"/>
      <c r="B764" s="16"/>
      <c r="C764" s="17"/>
      <c r="D764" s="17"/>
      <c r="E764" s="17"/>
      <c r="F764" s="18"/>
      <c r="G764" s="19" t="str">
        <f aca="true">IF(F764="", "", DATEDIF(F764, TODAY(), "Y"))</f>
        <v/>
      </c>
      <c r="H764" s="18"/>
      <c r="I764" s="18"/>
      <c r="J764" s="19" t="str">
        <f aca="true">IF(ISBLANK(H764), "", I764-TODAY())</f>
        <v/>
      </c>
      <c r="K764" s="19" t="str">
        <f aca="false" t="array" ref="K764:K764">IF(A764&lt;&gt;"",IF(COUNTIF(A765:A$996,"&lt;&gt;")=0,COUNTA(B764:B$996),IFERROR(MATCH(TRUE(),INDEX((A765:A$996&lt;&gt;""),0),0),COUNTA(B764:B$996))),"")</f>
        <v/>
      </c>
      <c r="L764" s="20"/>
    </row>
    <row r="765" customFormat="false" ht="13.8" hidden="false" customHeight="false" outlineLevel="0" collapsed="false">
      <c r="A765" s="16"/>
      <c r="B765" s="16"/>
      <c r="C765" s="17"/>
      <c r="D765" s="17"/>
      <c r="E765" s="17"/>
      <c r="F765" s="18"/>
      <c r="G765" s="19" t="str">
        <f aca="true">IF(F765="", "", DATEDIF(F765, TODAY(), "Y"))</f>
        <v/>
      </c>
      <c r="H765" s="18"/>
      <c r="I765" s="18"/>
      <c r="J765" s="19" t="str">
        <f aca="true">IF(ISBLANK(H765), "", I765-TODAY())</f>
        <v/>
      </c>
      <c r="K765" s="19" t="str">
        <f aca="false" t="array" ref="K765:K765">IF(A765&lt;&gt;"",IF(COUNTIF(A766:A$996,"&lt;&gt;")=0,COUNTA(B765:B$996),IFERROR(MATCH(TRUE(),INDEX((A766:A$996&lt;&gt;""),0),0),COUNTA(B765:B$996))),"")</f>
        <v/>
      </c>
      <c r="L765" s="20"/>
    </row>
    <row r="766" customFormat="false" ht="13.8" hidden="false" customHeight="false" outlineLevel="0" collapsed="false">
      <c r="A766" s="16"/>
      <c r="B766" s="16"/>
      <c r="C766" s="17"/>
      <c r="D766" s="17"/>
      <c r="E766" s="17"/>
      <c r="F766" s="18"/>
      <c r="G766" s="19" t="str">
        <f aca="true">IF(F766="", "", DATEDIF(F766, TODAY(), "Y"))</f>
        <v/>
      </c>
      <c r="H766" s="18"/>
      <c r="I766" s="18"/>
      <c r="J766" s="19" t="str">
        <f aca="true">IF(ISBLANK(H766), "", I766-TODAY())</f>
        <v/>
      </c>
      <c r="K766" s="19" t="str">
        <f aca="false" t="array" ref="K766:K766">IF(A766&lt;&gt;"",IF(COUNTIF(A767:A$996,"&lt;&gt;")=0,COUNTA(B766:B$996),IFERROR(MATCH(TRUE(),INDEX((A767:A$996&lt;&gt;""),0),0),COUNTA(B766:B$996))),"")</f>
        <v/>
      </c>
      <c r="L766" s="20"/>
    </row>
    <row r="767" customFormat="false" ht="13.8" hidden="false" customHeight="false" outlineLevel="0" collapsed="false">
      <c r="A767" s="16"/>
      <c r="B767" s="16"/>
      <c r="C767" s="17"/>
      <c r="D767" s="17"/>
      <c r="E767" s="17"/>
      <c r="F767" s="18"/>
      <c r="G767" s="19" t="str">
        <f aca="true">IF(F767="", "", DATEDIF(F767, TODAY(), "Y"))</f>
        <v/>
      </c>
      <c r="H767" s="18"/>
      <c r="I767" s="18"/>
      <c r="J767" s="19" t="str">
        <f aca="true">IF(ISBLANK(H767), "", I767-TODAY())</f>
        <v/>
      </c>
      <c r="K767" s="19" t="str">
        <f aca="false" t="array" ref="K767:K767">IF(A767&lt;&gt;"",IF(COUNTIF(A768:A$996,"&lt;&gt;")=0,COUNTA(B767:B$996),IFERROR(MATCH(TRUE(),INDEX((A768:A$996&lt;&gt;""),0),0),COUNTA(B767:B$996))),"")</f>
        <v/>
      </c>
      <c r="L767" s="20"/>
    </row>
    <row r="768" customFormat="false" ht="13.8" hidden="false" customHeight="false" outlineLevel="0" collapsed="false">
      <c r="A768" s="16"/>
      <c r="B768" s="16"/>
      <c r="C768" s="17"/>
      <c r="D768" s="17"/>
      <c r="E768" s="17"/>
      <c r="F768" s="18"/>
      <c r="G768" s="19" t="str">
        <f aca="true">IF(F768="", "", DATEDIF(F768, TODAY(), "Y"))</f>
        <v/>
      </c>
      <c r="H768" s="18"/>
      <c r="I768" s="18"/>
      <c r="J768" s="19" t="str">
        <f aca="true">IF(ISBLANK(H768), "", I768-TODAY())</f>
        <v/>
      </c>
      <c r="K768" s="19" t="str">
        <f aca="false" t="array" ref="K768:K768">IF(A768&lt;&gt;"",IF(COUNTIF(A769:A$996,"&lt;&gt;")=0,COUNTA(B768:B$996),IFERROR(MATCH(TRUE(),INDEX((A769:A$996&lt;&gt;""),0),0),COUNTA(B768:B$996))),"")</f>
        <v/>
      </c>
      <c r="L768" s="20"/>
    </row>
    <row r="769" customFormat="false" ht="13.8" hidden="false" customHeight="false" outlineLevel="0" collapsed="false">
      <c r="A769" s="16"/>
      <c r="B769" s="16"/>
      <c r="C769" s="17"/>
      <c r="D769" s="17"/>
      <c r="E769" s="17"/>
      <c r="F769" s="18"/>
      <c r="G769" s="19" t="str">
        <f aca="true">IF(F769="", "", DATEDIF(F769, TODAY(), "Y"))</f>
        <v/>
      </c>
      <c r="H769" s="18"/>
      <c r="I769" s="18"/>
      <c r="J769" s="19" t="str">
        <f aca="true">IF(ISBLANK(H769), "", I769-TODAY())</f>
        <v/>
      </c>
      <c r="K769" s="19" t="str">
        <f aca="false" t="array" ref="K769:K769">IF(A769&lt;&gt;"",IF(COUNTIF(A770:A$996,"&lt;&gt;")=0,COUNTA(B769:B$996),IFERROR(MATCH(TRUE(),INDEX((A770:A$996&lt;&gt;""),0),0),COUNTA(B769:B$996))),"")</f>
        <v/>
      </c>
      <c r="L769" s="20"/>
    </row>
    <row r="770" customFormat="false" ht="13.8" hidden="false" customHeight="false" outlineLevel="0" collapsed="false">
      <c r="A770" s="16"/>
      <c r="B770" s="16"/>
      <c r="C770" s="17"/>
      <c r="D770" s="17"/>
      <c r="E770" s="17"/>
      <c r="F770" s="18"/>
      <c r="G770" s="19" t="str">
        <f aca="true">IF(F770="", "", DATEDIF(F770, TODAY(), "Y"))</f>
        <v/>
      </c>
      <c r="H770" s="18"/>
      <c r="I770" s="18"/>
      <c r="J770" s="19" t="str">
        <f aca="true">IF(ISBLANK(H770), "", I770-TODAY())</f>
        <v/>
      </c>
      <c r="K770" s="19" t="str">
        <f aca="false" t="array" ref="K770:K770">IF(A770&lt;&gt;"",IF(COUNTIF(A771:A$996,"&lt;&gt;")=0,COUNTA(B770:B$996),IFERROR(MATCH(TRUE(),INDEX((A771:A$996&lt;&gt;""),0),0),COUNTA(B770:B$996))),"")</f>
        <v/>
      </c>
      <c r="L770" s="20"/>
    </row>
    <row r="771" customFormat="false" ht="13.8" hidden="false" customHeight="false" outlineLevel="0" collapsed="false">
      <c r="A771" s="16"/>
      <c r="B771" s="16"/>
      <c r="C771" s="17"/>
      <c r="D771" s="17"/>
      <c r="E771" s="17"/>
      <c r="F771" s="18"/>
      <c r="G771" s="19" t="str">
        <f aca="true">IF(F771="", "", DATEDIF(F771, TODAY(), "Y"))</f>
        <v/>
      </c>
      <c r="H771" s="18"/>
      <c r="I771" s="18"/>
      <c r="J771" s="19" t="str">
        <f aca="true">IF(ISBLANK(H771), "", I771-TODAY())</f>
        <v/>
      </c>
      <c r="K771" s="19" t="str">
        <f aca="false" t="array" ref="K771:K771">IF(A771&lt;&gt;"",IF(COUNTIF(A772:A$996,"&lt;&gt;")=0,COUNTA(B771:B$996),IFERROR(MATCH(TRUE(),INDEX((A772:A$996&lt;&gt;""),0),0),COUNTA(B771:B$996))),"")</f>
        <v/>
      </c>
      <c r="L771" s="20"/>
    </row>
    <row r="772" customFormat="false" ht="13.8" hidden="false" customHeight="false" outlineLevel="0" collapsed="false">
      <c r="A772" s="16"/>
      <c r="B772" s="16"/>
      <c r="C772" s="17"/>
      <c r="D772" s="17"/>
      <c r="E772" s="17"/>
      <c r="F772" s="18"/>
      <c r="G772" s="19" t="str">
        <f aca="true">IF(F772="", "", DATEDIF(F772, TODAY(), "Y"))</f>
        <v/>
      </c>
      <c r="H772" s="18"/>
      <c r="I772" s="18"/>
      <c r="J772" s="19" t="str">
        <f aca="true">IF(ISBLANK(H772), "", I772-TODAY())</f>
        <v/>
      </c>
      <c r="K772" s="19" t="str">
        <f aca="false" t="array" ref="K772:K772">IF(A772&lt;&gt;"",IF(COUNTIF(A773:A$996,"&lt;&gt;")=0,COUNTA(B772:B$996),IFERROR(MATCH(TRUE(),INDEX((A773:A$996&lt;&gt;""),0),0),COUNTA(B772:B$996))),"")</f>
        <v/>
      </c>
      <c r="L772" s="20"/>
    </row>
    <row r="773" customFormat="false" ht="13.8" hidden="false" customHeight="false" outlineLevel="0" collapsed="false">
      <c r="A773" s="16"/>
      <c r="B773" s="16"/>
      <c r="C773" s="17"/>
      <c r="D773" s="17"/>
      <c r="E773" s="17"/>
      <c r="F773" s="18"/>
      <c r="G773" s="19" t="str">
        <f aca="true">IF(F773="", "", DATEDIF(F773, TODAY(), "Y"))</f>
        <v/>
      </c>
      <c r="H773" s="18"/>
      <c r="I773" s="18"/>
      <c r="J773" s="19" t="str">
        <f aca="true">IF(ISBLANK(H773), "", I773-TODAY())</f>
        <v/>
      </c>
      <c r="K773" s="19" t="str">
        <f aca="false" t="array" ref="K773:K773">IF(A773&lt;&gt;"",IF(COUNTIF(A774:A$996,"&lt;&gt;")=0,COUNTA(B773:B$996),IFERROR(MATCH(TRUE(),INDEX((A774:A$996&lt;&gt;""),0),0),COUNTA(B773:B$996))),"")</f>
        <v/>
      </c>
      <c r="L773" s="20"/>
    </row>
    <row r="774" customFormat="false" ht="13.8" hidden="false" customHeight="false" outlineLevel="0" collapsed="false">
      <c r="A774" s="16"/>
      <c r="B774" s="16"/>
      <c r="C774" s="17"/>
      <c r="D774" s="17"/>
      <c r="E774" s="17"/>
      <c r="F774" s="18"/>
      <c r="G774" s="19" t="str">
        <f aca="true">IF(F774="", "", DATEDIF(F774, TODAY(), "Y"))</f>
        <v/>
      </c>
      <c r="H774" s="18"/>
      <c r="I774" s="18"/>
      <c r="J774" s="19" t="str">
        <f aca="true">IF(ISBLANK(H774), "", I774-TODAY())</f>
        <v/>
      </c>
      <c r="K774" s="19" t="str">
        <f aca="false" t="array" ref="K774:K774">IF(A774&lt;&gt;"",IF(COUNTIF(A775:A$996,"&lt;&gt;")=0,COUNTA(B774:B$996),IFERROR(MATCH(TRUE(),INDEX((A775:A$996&lt;&gt;""),0),0),COUNTA(B774:B$996))),"")</f>
        <v/>
      </c>
      <c r="L774" s="20"/>
    </row>
    <row r="775" customFormat="false" ht="13.8" hidden="false" customHeight="false" outlineLevel="0" collapsed="false">
      <c r="A775" s="16"/>
      <c r="B775" s="16"/>
      <c r="C775" s="17"/>
      <c r="D775" s="17"/>
      <c r="E775" s="17"/>
      <c r="F775" s="18"/>
      <c r="G775" s="19" t="str">
        <f aca="true">IF(F775="", "", DATEDIF(F775, TODAY(), "Y"))</f>
        <v/>
      </c>
      <c r="H775" s="18"/>
      <c r="I775" s="18"/>
      <c r="J775" s="19" t="str">
        <f aca="true">IF(ISBLANK(H775), "", I775-TODAY())</f>
        <v/>
      </c>
      <c r="K775" s="19" t="str">
        <f aca="false" t="array" ref="K775:K775">IF(A775&lt;&gt;"",IF(COUNTIF(A776:A$996,"&lt;&gt;")=0,COUNTA(B775:B$996),IFERROR(MATCH(TRUE(),INDEX((A776:A$996&lt;&gt;""),0),0),COUNTA(B775:B$996))),"")</f>
        <v/>
      </c>
      <c r="L775" s="20"/>
    </row>
    <row r="776" customFormat="false" ht="13.8" hidden="false" customHeight="false" outlineLevel="0" collapsed="false">
      <c r="A776" s="16"/>
      <c r="B776" s="16"/>
      <c r="C776" s="17"/>
      <c r="D776" s="17"/>
      <c r="E776" s="17"/>
      <c r="F776" s="18"/>
      <c r="G776" s="19" t="str">
        <f aca="true">IF(F776="", "", DATEDIF(F776, TODAY(), "Y"))</f>
        <v/>
      </c>
      <c r="H776" s="18"/>
      <c r="I776" s="18"/>
      <c r="J776" s="19" t="str">
        <f aca="true">IF(ISBLANK(H776), "", I776-TODAY())</f>
        <v/>
      </c>
      <c r="K776" s="19" t="str">
        <f aca="false" t="array" ref="K776:K776">IF(A776&lt;&gt;"",IF(COUNTIF(A777:A$996,"&lt;&gt;")=0,COUNTA(B776:B$996),IFERROR(MATCH(TRUE(),INDEX((A777:A$996&lt;&gt;""),0),0),COUNTA(B776:B$996))),"")</f>
        <v/>
      </c>
      <c r="L776" s="20"/>
    </row>
    <row r="777" customFormat="false" ht="13.8" hidden="false" customHeight="false" outlineLevel="0" collapsed="false">
      <c r="A777" s="16"/>
      <c r="B777" s="16"/>
      <c r="C777" s="17"/>
      <c r="D777" s="17"/>
      <c r="E777" s="17"/>
      <c r="F777" s="18"/>
      <c r="G777" s="19" t="str">
        <f aca="true">IF(F777="", "", DATEDIF(F777, TODAY(), "Y"))</f>
        <v/>
      </c>
      <c r="H777" s="18"/>
      <c r="I777" s="18"/>
      <c r="J777" s="19" t="str">
        <f aca="true">IF(ISBLANK(H777), "", I777-TODAY())</f>
        <v/>
      </c>
      <c r="K777" s="19" t="str">
        <f aca="false" t="array" ref="K777:K777">IF(A777&lt;&gt;"",IF(COUNTIF(A778:A$996,"&lt;&gt;")=0,COUNTA(B777:B$996),IFERROR(MATCH(TRUE(),INDEX((A778:A$996&lt;&gt;""),0),0),COUNTA(B777:B$996))),"")</f>
        <v/>
      </c>
      <c r="L777" s="20"/>
    </row>
    <row r="778" customFormat="false" ht="13.8" hidden="false" customHeight="false" outlineLevel="0" collapsed="false">
      <c r="A778" s="16"/>
      <c r="B778" s="16"/>
      <c r="C778" s="17"/>
      <c r="D778" s="17"/>
      <c r="E778" s="17"/>
      <c r="F778" s="18"/>
      <c r="G778" s="19" t="str">
        <f aca="true">IF(F778="", "", DATEDIF(F778, TODAY(), "Y"))</f>
        <v/>
      </c>
      <c r="H778" s="18"/>
      <c r="I778" s="18"/>
      <c r="J778" s="19" t="str">
        <f aca="true">IF(ISBLANK(H778), "", I778-TODAY())</f>
        <v/>
      </c>
      <c r="K778" s="19" t="str">
        <f aca="false" t="array" ref="K778:K778">IF(A778&lt;&gt;"",IF(COUNTIF(A779:A$996,"&lt;&gt;")=0,COUNTA(B778:B$996),IFERROR(MATCH(TRUE(),INDEX((A779:A$996&lt;&gt;""),0),0),COUNTA(B778:B$996))),"")</f>
        <v/>
      </c>
      <c r="L778" s="20"/>
    </row>
    <row r="779" customFormat="false" ht="13.8" hidden="false" customHeight="false" outlineLevel="0" collapsed="false">
      <c r="A779" s="16"/>
      <c r="B779" s="16"/>
      <c r="C779" s="17"/>
      <c r="D779" s="17"/>
      <c r="E779" s="17"/>
      <c r="F779" s="18"/>
      <c r="G779" s="19" t="str">
        <f aca="true">IF(F779="", "", DATEDIF(F779, TODAY(), "Y"))</f>
        <v/>
      </c>
      <c r="H779" s="18"/>
      <c r="I779" s="18"/>
      <c r="J779" s="19" t="str">
        <f aca="true">IF(ISBLANK(H779), "", I779-TODAY())</f>
        <v/>
      </c>
      <c r="K779" s="19" t="str">
        <f aca="false" t="array" ref="K779:K779">IF(A779&lt;&gt;"",IF(COUNTIF(A780:A$996,"&lt;&gt;")=0,COUNTA(B779:B$996),IFERROR(MATCH(TRUE(),INDEX((A780:A$996&lt;&gt;""),0),0),COUNTA(B779:B$996))),"")</f>
        <v/>
      </c>
      <c r="L779" s="20"/>
    </row>
    <row r="780" customFormat="false" ht="13.8" hidden="false" customHeight="false" outlineLevel="0" collapsed="false">
      <c r="A780" s="16"/>
      <c r="B780" s="16"/>
      <c r="C780" s="17"/>
      <c r="D780" s="17"/>
      <c r="E780" s="17"/>
      <c r="F780" s="18"/>
      <c r="G780" s="19" t="str">
        <f aca="true">IF(F780="", "", DATEDIF(F780, TODAY(), "Y"))</f>
        <v/>
      </c>
      <c r="H780" s="18"/>
      <c r="I780" s="18"/>
      <c r="J780" s="19" t="str">
        <f aca="true">IF(ISBLANK(H780), "", I780-TODAY())</f>
        <v/>
      </c>
      <c r="K780" s="19" t="str">
        <f aca="false" t="array" ref="K780:K780">IF(A780&lt;&gt;"",IF(COUNTIF(A781:A$996,"&lt;&gt;")=0,COUNTA(B780:B$996),IFERROR(MATCH(TRUE(),INDEX((A781:A$996&lt;&gt;""),0),0),COUNTA(B780:B$996))),"")</f>
        <v/>
      </c>
      <c r="L780" s="20"/>
    </row>
    <row r="781" customFormat="false" ht="13.8" hidden="false" customHeight="false" outlineLevel="0" collapsed="false">
      <c r="A781" s="16"/>
      <c r="B781" s="16"/>
      <c r="C781" s="17"/>
      <c r="D781" s="17"/>
      <c r="E781" s="17"/>
      <c r="F781" s="18"/>
      <c r="G781" s="19" t="str">
        <f aca="true">IF(F781="", "", DATEDIF(F781, TODAY(), "Y"))</f>
        <v/>
      </c>
      <c r="H781" s="18"/>
      <c r="I781" s="18"/>
      <c r="J781" s="19" t="str">
        <f aca="true">IF(ISBLANK(H781), "", I781-TODAY())</f>
        <v/>
      </c>
      <c r="K781" s="19" t="str">
        <f aca="false" t="array" ref="K781:K781">IF(A781&lt;&gt;"",IF(COUNTIF(A782:A$996,"&lt;&gt;")=0,COUNTA(B781:B$996),IFERROR(MATCH(TRUE(),INDEX((A782:A$996&lt;&gt;""),0),0),COUNTA(B781:B$996))),"")</f>
        <v/>
      </c>
      <c r="L781" s="20"/>
    </row>
    <row r="782" customFormat="false" ht="13.8" hidden="false" customHeight="false" outlineLevel="0" collapsed="false">
      <c r="A782" s="16"/>
      <c r="B782" s="16"/>
      <c r="C782" s="17"/>
      <c r="D782" s="17"/>
      <c r="E782" s="17"/>
      <c r="F782" s="18"/>
      <c r="G782" s="19" t="str">
        <f aca="true">IF(F782="", "", DATEDIF(F782, TODAY(), "Y"))</f>
        <v/>
      </c>
      <c r="H782" s="18"/>
      <c r="I782" s="18"/>
      <c r="J782" s="19" t="str">
        <f aca="true">IF(ISBLANK(H782), "", I782-TODAY())</f>
        <v/>
      </c>
      <c r="K782" s="19" t="str">
        <f aca="false" t="array" ref="K782:K782">IF(A782&lt;&gt;"",IF(COUNTIF(A783:A$996,"&lt;&gt;")=0,COUNTA(B782:B$996),IFERROR(MATCH(TRUE(),INDEX((A783:A$996&lt;&gt;""),0),0),COUNTA(B782:B$996))),"")</f>
        <v/>
      </c>
      <c r="L782" s="20"/>
    </row>
    <row r="783" customFormat="false" ht="13.8" hidden="false" customHeight="false" outlineLevel="0" collapsed="false">
      <c r="A783" s="16"/>
      <c r="B783" s="16"/>
      <c r="C783" s="17"/>
      <c r="D783" s="17"/>
      <c r="E783" s="17"/>
      <c r="F783" s="18"/>
      <c r="G783" s="19" t="str">
        <f aca="true">IF(F783="", "", DATEDIF(F783, TODAY(), "Y"))</f>
        <v/>
      </c>
      <c r="H783" s="18"/>
      <c r="I783" s="18"/>
      <c r="J783" s="19" t="str">
        <f aca="true">IF(ISBLANK(H783), "", I783-TODAY())</f>
        <v/>
      </c>
      <c r="K783" s="19" t="str">
        <f aca="false" t="array" ref="K783:K783">IF(A783&lt;&gt;"",IF(COUNTIF(A784:A$996,"&lt;&gt;")=0,COUNTA(B783:B$996),IFERROR(MATCH(TRUE(),INDEX((A784:A$996&lt;&gt;""),0),0),COUNTA(B783:B$996))),"")</f>
        <v/>
      </c>
      <c r="L783" s="20"/>
    </row>
    <row r="784" customFormat="false" ht="13.8" hidden="false" customHeight="false" outlineLevel="0" collapsed="false">
      <c r="A784" s="16"/>
      <c r="B784" s="16"/>
      <c r="C784" s="17"/>
      <c r="D784" s="17"/>
      <c r="E784" s="17"/>
      <c r="F784" s="18"/>
      <c r="G784" s="19" t="str">
        <f aca="true">IF(F784="", "", DATEDIF(F784, TODAY(), "Y"))</f>
        <v/>
      </c>
      <c r="H784" s="18"/>
      <c r="I784" s="18"/>
      <c r="J784" s="19" t="str">
        <f aca="true">IF(ISBLANK(H784), "", I784-TODAY())</f>
        <v/>
      </c>
      <c r="K784" s="19" t="str">
        <f aca="false" t="array" ref="K784:K784">IF(A784&lt;&gt;"",IF(COUNTIF(A785:A$996,"&lt;&gt;")=0,COUNTA(B784:B$996),IFERROR(MATCH(TRUE(),INDEX((A785:A$996&lt;&gt;""),0),0),COUNTA(B784:B$996))),"")</f>
        <v/>
      </c>
      <c r="L784" s="20"/>
    </row>
    <row r="785" customFormat="false" ht="13.8" hidden="false" customHeight="false" outlineLevel="0" collapsed="false">
      <c r="A785" s="16"/>
      <c r="B785" s="16"/>
      <c r="C785" s="17"/>
      <c r="D785" s="17"/>
      <c r="E785" s="17"/>
      <c r="F785" s="18"/>
      <c r="G785" s="19" t="str">
        <f aca="true">IF(F785="", "", DATEDIF(F785, TODAY(), "Y"))</f>
        <v/>
      </c>
      <c r="H785" s="18"/>
      <c r="I785" s="18"/>
      <c r="J785" s="19" t="str">
        <f aca="true">IF(ISBLANK(H785), "", I785-TODAY())</f>
        <v/>
      </c>
      <c r="K785" s="19" t="str">
        <f aca="false" t="array" ref="K785:K785">IF(A785&lt;&gt;"",IF(COUNTIF(A786:A$996,"&lt;&gt;")=0,COUNTA(B785:B$996),IFERROR(MATCH(TRUE(),INDEX((A786:A$996&lt;&gt;""),0),0),COUNTA(B785:B$996))),"")</f>
        <v/>
      </c>
      <c r="L785" s="20"/>
    </row>
    <row r="786" customFormat="false" ht="13.8" hidden="false" customHeight="false" outlineLevel="0" collapsed="false">
      <c r="A786" s="16"/>
      <c r="B786" s="16"/>
      <c r="C786" s="17"/>
      <c r="D786" s="17"/>
      <c r="E786" s="17"/>
      <c r="F786" s="18"/>
      <c r="G786" s="19" t="str">
        <f aca="true">IF(F786="", "", DATEDIF(F786, TODAY(), "Y"))</f>
        <v/>
      </c>
      <c r="H786" s="18"/>
      <c r="I786" s="18"/>
      <c r="J786" s="19" t="str">
        <f aca="true">IF(ISBLANK(H786), "", I786-TODAY())</f>
        <v/>
      </c>
      <c r="K786" s="19" t="str">
        <f aca="false" t="array" ref="K786:K786">IF(A786&lt;&gt;"",IF(COUNTIF(A787:A$996,"&lt;&gt;")=0,COUNTA(B786:B$996),IFERROR(MATCH(TRUE(),INDEX((A787:A$996&lt;&gt;""),0),0),COUNTA(B786:B$996))),"")</f>
        <v/>
      </c>
      <c r="L786" s="20"/>
    </row>
    <row r="787" customFormat="false" ht="13.8" hidden="false" customHeight="false" outlineLevel="0" collapsed="false">
      <c r="A787" s="16"/>
      <c r="B787" s="16"/>
      <c r="C787" s="17"/>
      <c r="D787" s="17"/>
      <c r="E787" s="17"/>
      <c r="F787" s="18"/>
      <c r="G787" s="19" t="str">
        <f aca="true">IF(F787="", "", DATEDIF(F787, TODAY(), "Y"))</f>
        <v/>
      </c>
      <c r="H787" s="18"/>
      <c r="I787" s="18"/>
      <c r="J787" s="19" t="str">
        <f aca="true">IF(ISBLANK(H787), "", I787-TODAY())</f>
        <v/>
      </c>
      <c r="K787" s="19" t="str">
        <f aca="false" t="array" ref="K787:K787">IF(A787&lt;&gt;"",IF(COUNTIF(A788:A$996,"&lt;&gt;")=0,COUNTA(B787:B$996),IFERROR(MATCH(TRUE(),INDEX((A788:A$996&lt;&gt;""),0),0),COUNTA(B787:B$996))),"")</f>
        <v/>
      </c>
      <c r="L787" s="20"/>
    </row>
    <row r="788" customFormat="false" ht="13.8" hidden="false" customHeight="false" outlineLevel="0" collapsed="false">
      <c r="A788" s="16"/>
      <c r="B788" s="16"/>
      <c r="C788" s="17"/>
      <c r="D788" s="17"/>
      <c r="E788" s="17"/>
      <c r="F788" s="18"/>
      <c r="G788" s="19" t="str">
        <f aca="true">IF(F788="", "", DATEDIF(F788, TODAY(), "Y"))</f>
        <v/>
      </c>
      <c r="H788" s="18"/>
      <c r="I788" s="18"/>
      <c r="J788" s="19" t="str">
        <f aca="true">IF(ISBLANK(H788), "", I788-TODAY())</f>
        <v/>
      </c>
      <c r="K788" s="19" t="str">
        <f aca="false" t="array" ref="K788:K788">IF(A788&lt;&gt;"",IF(COUNTIF(A789:A$996,"&lt;&gt;")=0,COUNTA(B788:B$996),IFERROR(MATCH(TRUE(),INDEX((A789:A$996&lt;&gt;""),0),0),COUNTA(B788:B$996))),"")</f>
        <v/>
      </c>
      <c r="L788" s="20"/>
    </row>
    <row r="789" customFormat="false" ht="13.8" hidden="false" customHeight="false" outlineLevel="0" collapsed="false">
      <c r="A789" s="16"/>
      <c r="B789" s="16"/>
      <c r="C789" s="17"/>
      <c r="D789" s="17"/>
      <c r="E789" s="17"/>
      <c r="F789" s="18"/>
      <c r="G789" s="19" t="str">
        <f aca="true">IF(F789="", "", DATEDIF(F789, TODAY(), "Y"))</f>
        <v/>
      </c>
      <c r="H789" s="18"/>
      <c r="I789" s="18"/>
      <c r="J789" s="19" t="str">
        <f aca="true">IF(ISBLANK(H789), "", I789-TODAY())</f>
        <v/>
      </c>
      <c r="K789" s="19" t="str">
        <f aca="false" t="array" ref="K789:K789">IF(A789&lt;&gt;"",IF(COUNTIF(A790:A$996,"&lt;&gt;")=0,COUNTA(B789:B$996),IFERROR(MATCH(TRUE(),INDEX((A790:A$996&lt;&gt;""),0),0),COUNTA(B789:B$996))),"")</f>
        <v/>
      </c>
      <c r="L789" s="20"/>
    </row>
    <row r="790" customFormat="false" ht="13.8" hidden="false" customHeight="false" outlineLevel="0" collapsed="false">
      <c r="A790" s="16"/>
      <c r="B790" s="16"/>
      <c r="C790" s="17"/>
      <c r="D790" s="17"/>
      <c r="E790" s="17"/>
      <c r="F790" s="18"/>
      <c r="G790" s="19" t="str">
        <f aca="true">IF(F790="", "", DATEDIF(F790, TODAY(), "Y"))</f>
        <v/>
      </c>
      <c r="H790" s="18"/>
      <c r="I790" s="18"/>
      <c r="J790" s="19" t="str">
        <f aca="true">IF(ISBLANK(H790), "", I790-TODAY())</f>
        <v/>
      </c>
      <c r="K790" s="19" t="str">
        <f aca="false" t="array" ref="K790:K790">IF(A790&lt;&gt;"",IF(COUNTIF(A791:A$996,"&lt;&gt;")=0,COUNTA(B790:B$996),IFERROR(MATCH(TRUE(),INDEX((A791:A$996&lt;&gt;""),0),0),COUNTA(B790:B$996))),"")</f>
        <v/>
      </c>
      <c r="L790" s="20"/>
    </row>
    <row r="791" customFormat="false" ht="13.8" hidden="false" customHeight="false" outlineLevel="0" collapsed="false">
      <c r="A791" s="16"/>
      <c r="B791" s="16"/>
      <c r="C791" s="17"/>
      <c r="D791" s="17"/>
      <c r="E791" s="17"/>
      <c r="F791" s="18"/>
      <c r="G791" s="19" t="str">
        <f aca="true">IF(F791="", "", DATEDIF(F791, TODAY(), "Y"))</f>
        <v/>
      </c>
      <c r="H791" s="18"/>
      <c r="I791" s="18"/>
      <c r="J791" s="19" t="str">
        <f aca="true">IF(ISBLANK(H791), "", I791-TODAY())</f>
        <v/>
      </c>
      <c r="K791" s="19" t="str">
        <f aca="false" t="array" ref="K791:K791">IF(A791&lt;&gt;"",IF(COUNTIF(A792:A$996,"&lt;&gt;")=0,COUNTA(B791:B$996),IFERROR(MATCH(TRUE(),INDEX((A792:A$996&lt;&gt;""),0),0),COUNTA(B791:B$996))),"")</f>
        <v/>
      </c>
      <c r="L791" s="20"/>
    </row>
    <row r="792" customFormat="false" ht="13.8" hidden="false" customHeight="false" outlineLevel="0" collapsed="false">
      <c r="A792" s="16"/>
      <c r="B792" s="16"/>
      <c r="C792" s="17"/>
      <c r="D792" s="17"/>
      <c r="E792" s="17"/>
      <c r="F792" s="18"/>
      <c r="G792" s="19" t="str">
        <f aca="true">IF(F792="", "", DATEDIF(F792, TODAY(), "Y"))</f>
        <v/>
      </c>
      <c r="H792" s="18"/>
      <c r="I792" s="18"/>
      <c r="J792" s="19" t="str">
        <f aca="true">IF(ISBLANK(H792), "", I792-TODAY())</f>
        <v/>
      </c>
      <c r="K792" s="19" t="str">
        <f aca="false" t="array" ref="K792:K792">IF(A792&lt;&gt;"",IF(COUNTIF(A793:A$996,"&lt;&gt;")=0,COUNTA(B792:B$996),IFERROR(MATCH(TRUE(),INDEX((A793:A$996&lt;&gt;""),0),0),COUNTA(B792:B$996))),"")</f>
        <v/>
      </c>
      <c r="L792" s="20"/>
    </row>
    <row r="793" customFormat="false" ht="13.8" hidden="false" customHeight="false" outlineLevel="0" collapsed="false">
      <c r="A793" s="16"/>
      <c r="B793" s="16"/>
      <c r="C793" s="17"/>
      <c r="D793" s="17"/>
      <c r="E793" s="17"/>
      <c r="F793" s="18"/>
      <c r="G793" s="19" t="str">
        <f aca="true">IF(F793="", "", DATEDIF(F793, TODAY(), "Y"))</f>
        <v/>
      </c>
      <c r="H793" s="18"/>
      <c r="I793" s="18"/>
      <c r="J793" s="19" t="str">
        <f aca="true">IF(ISBLANK(H793), "", I793-TODAY())</f>
        <v/>
      </c>
      <c r="K793" s="19" t="str">
        <f aca="false" t="array" ref="K793:K793">IF(A793&lt;&gt;"",IF(COUNTIF(A794:A$996,"&lt;&gt;")=0,COUNTA(B793:B$996),IFERROR(MATCH(TRUE(),INDEX((A794:A$996&lt;&gt;""),0),0),COUNTA(B793:B$996))),"")</f>
        <v/>
      </c>
      <c r="L793" s="20"/>
    </row>
    <row r="794" customFormat="false" ht="13.8" hidden="false" customHeight="false" outlineLevel="0" collapsed="false">
      <c r="A794" s="16"/>
      <c r="B794" s="16"/>
      <c r="C794" s="17"/>
      <c r="D794" s="17"/>
      <c r="E794" s="17"/>
      <c r="F794" s="18"/>
      <c r="G794" s="19" t="str">
        <f aca="true">IF(F794="", "", DATEDIF(F794, TODAY(), "Y"))</f>
        <v/>
      </c>
      <c r="H794" s="18"/>
      <c r="I794" s="18"/>
      <c r="J794" s="19" t="str">
        <f aca="true">IF(ISBLANK(H794), "", I794-TODAY())</f>
        <v/>
      </c>
      <c r="K794" s="19" t="str">
        <f aca="false" t="array" ref="K794:K794">IF(A794&lt;&gt;"",IF(COUNTIF(A795:A$996,"&lt;&gt;")=0,COUNTA(B794:B$996),IFERROR(MATCH(TRUE(),INDEX((A795:A$996&lt;&gt;""),0),0),COUNTA(B794:B$996))),"")</f>
        <v/>
      </c>
      <c r="L794" s="20"/>
    </row>
    <row r="795" customFormat="false" ht="13.8" hidden="false" customHeight="false" outlineLevel="0" collapsed="false">
      <c r="A795" s="16"/>
      <c r="B795" s="16"/>
      <c r="C795" s="17"/>
      <c r="D795" s="17"/>
      <c r="E795" s="17"/>
      <c r="F795" s="18"/>
      <c r="G795" s="19" t="str">
        <f aca="true">IF(F795="", "", DATEDIF(F795, TODAY(), "Y"))</f>
        <v/>
      </c>
      <c r="H795" s="18"/>
      <c r="I795" s="18"/>
      <c r="J795" s="19" t="str">
        <f aca="true">IF(ISBLANK(H795), "", I795-TODAY())</f>
        <v/>
      </c>
      <c r="K795" s="19" t="str">
        <f aca="false" t="array" ref="K795:K795">IF(A795&lt;&gt;"",IF(COUNTIF(A796:A$996,"&lt;&gt;")=0,COUNTA(B795:B$996),IFERROR(MATCH(TRUE(),INDEX((A796:A$996&lt;&gt;""),0),0),COUNTA(B795:B$996))),"")</f>
        <v/>
      </c>
      <c r="L795" s="20"/>
    </row>
    <row r="796" customFormat="false" ht="13.8" hidden="false" customHeight="false" outlineLevel="0" collapsed="false">
      <c r="A796" s="16"/>
      <c r="B796" s="16"/>
      <c r="C796" s="17"/>
      <c r="D796" s="17"/>
      <c r="E796" s="17"/>
      <c r="F796" s="18"/>
      <c r="G796" s="19" t="str">
        <f aca="true">IF(F796="", "", DATEDIF(F796, TODAY(), "Y"))</f>
        <v/>
      </c>
      <c r="H796" s="18"/>
      <c r="I796" s="18"/>
      <c r="J796" s="19" t="str">
        <f aca="true">IF(ISBLANK(H796), "", I796-TODAY())</f>
        <v/>
      </c>
      <c r="K796" s="19" t="str">
        <f aca="false" t="array" ref="K796:K796">IF(A796&lt;&gt;"",IF(COUNTIF(A797:A$996,"&lt;&gt;")=0,COUNTA(B796:B$996),IFERROR(MATCH(TRUE(),INDEX((A797:A$996&lt;&gt;""),0),0),COUNTA(B796:B$996))),"")</f>
        <v/>
      </c>
      <c r="L796" s="20"/>
    </row>
    <row r="797" customFormat="false" ht="13.8" hidden="false" customHeight="false" outlineLevel="0" collapsed="false">
      <c r="A797" s="16"/>
      <c r="B797" s="16"/>
      <c r="C797" s="17"/>
      <c r="D797" s="17"/>
      <c r="E797" s="17"/>
      <c r="F797" s="18"/>
      <c r="G797" s="19" t="str">
        <f aca="true">IF(F797="", "", DATEDIF(F797, TODAY(), "Y"))</f>
        <v/>
      </c>
      <c r="H797" s="18"/>
      <c r="I797" s="18"/>
      <c r="J797" s="19" t="str">
        <f aca="true">IF(ISBLANK(H797), "", I797-TODAY())</f>
        <v/>
      </c>
      <c r="K797" s="19" t="str">
        <f aca="false" t="array" ref="K797:K797">IF(A797&lt;&gt;"",IF(COUNTIF(A798:A$996,"&lt;&gt;")=0,COUNTA(B797:B$996),IFERROR(MATCH(TRUE(),INDEX((A798:A$996&lt;&gt;""),0),0),COUNTA(B797:B$996))),"")</f>
        <v/>
      </c>
      <c r="L797" s="20"/>
    </row>
    <row r="798" customFormat="false" ht="13.8" hidden="false" customHeight="false" outlineLevel="0" collapsed="false">
      <c r="A798" s="16"/>
      <c r="B798" s="16"/>
      <c r="C798" s="17"/>
      <c r="D798" s="17"/>
      <c r="E798" s="17"/>
      <c r="F798" s="18"/>
      <c r="G798" s="19" t="str">
        <f aca="true">IF(F798="", "", DATEDIF(F798, TODAY(), "Y"))</f>
        <v/>
      </c>
      <c r="H798" s="18"/>
      <c r="I798" s="18"/>
      <c r="J798" s="19" t="str">
        <f aca="true">IF(ISBLANK(H798), "", I798-TODAY())</f>
        <v/>
      </c>
      <c r="K798" s="19" t="str">
        <f aca="false" t="array" ref="K798:K798">IF(A798&lt;&gt;"",IF(COUNTIF(A799:A$996,"&lt;&gt;")=0,COUNTA(B798:B$996),IFERROR(MATCH(TRUE(),INDEX((A799:A$996&lt;&gt;""),0),0),COUNTA(B798:B$996))),"")</f>
        <v/>
      </c>
      <c r="L798" s="20"/>
    </row>
    <row r="799" customFormat="false" ht="13.8" hidden="false" customHeight="false" outlineLevel="0" collapsed="false">
      <c r="A799" s="16"/>
      <c r="B799" s="16"/>
      <c r="C799" s="17"/>
      <c r="D799" s="17"/>
      <c r="E799" s="17"/>
      <c r="F799" s="18"/>
      <c r="G799" s="19" t="str">
        <f aca="true">IF(F799="", "", DATEDIF(F799, TODAY(), "Y"))</f>
        <v/>
      </c>
      <c r="H799" s="18"/>
      <c r="I799" s="18"/>
      <c r="J799" s="19" t="str">
        <f aca="true">IF(ISBLANK(H799), "", I799-TODAY())</f>
        <v/>
      </c>
      <c r="K799" s="19" t="str">
        <f aca="false" t="array" ref="K799:K799">IF(A799&lt;&gt;"",IF(COUNTIF(A800:A$996,"&lt;&gt;")=0,COUNTA(B799:B$996),IFERROR(MATCH(TRUE(),INDEX((A800:A$996&lt;&gt;""),0),0),COUNTA(B799:B$996))),"")</f>
        <v/>
      </c>
      <c r="L799" s="20"/>
    </row>
    <row r="800" customFormat="false" ht="13.8" hidden="false" customHeight="false" outlineLevel="0" collapsed="false">
      <c r="A800" s="16"/>
      <c r="B800" s="16"/>
      <c r="C800" s="17"/>
      <c r="D800" s="17"/>
      <c r="E800" s="17"/>
      <c r="F800" s="18"/>
      <c r="G800" s="19" t="str">
        <f aca="true">IF(F800="", "", DATEDIF(F800, TODAY(), "Y"))</f>
        <v/>
      </c>
      <c r="H800" s="18"/>
      <c r="I800" s="18"/>
      <c r="J800" s="19" t="str">
        <f aca="true">IF(ISBLANK(H800), "", I800-TODAY())</f>
        <v/>
      </c>
      <c r="K800" s="19" t="str">
        <f aca="false" t="array" ref="K800:K800">IF(A800&lt;&gt;"",IF(COUNTIF(A801:A$996,"&lt;&gt;")=0,COUNTA(B800:B$996),IFERROR(MATCH(TRUE(),INDEX((A801:A$996&lt;&gt;""),0),0),COUNTA(B800:B$996))),"")</f>
        <v/>
      </c>
      <c r="L800" s="20"/>
    </row>
    <row r="801" customFormat="false" ht="13.8" hidden="false" customHeight="false" outlineLevel="0" collapsed="false">
      <c r="A801" s="16"/>
      <c r="B801" s="16"/>
      <c r="C801" s="17"/>
      <c r="D801" s="17"/>
      <c r="E801" s="17"/>
      <c r="F801" s="18"/>
      <c r="G801" s="19" t="str">
        <f aca="true">IF(F801="", "", DATEDIF(F801, TODAY(), "Y"))</f>
        <v/>
      </c>
      <c r="H801" s="18"/>
      <c r="I801" s="18"/>
      <c r="J801" s="19" t="str">
        <f aca="true">IF(ISBLANK(H801), "", I801-TODAY())</f>
        <v/>
      </c>
      <c r="K801" s="19" t="str">
        <f aca="false" t="array" ref="K801:K801">IF(A801&lt;&gt;"",IF(COUNTIF(A802:A$996,"&lt;&gt;")=0,COUNTA(B801:B$996),IFERROR(MATCH(TRUE(),INDEX((A802:A$996&lt;&gt;""),0),0),COUNTA(B801:B$996))),"")</f>
        <v/>
      </c>
      <c r="L801" s="20"/>
    </row>
    <row r="802" customFormat="false" ht="13.8" hidden="false" customHeight="false" outlineLevel="0" collapsed="false">
      <c r="A802" s="16"/>
      <c r="B802" s="16"/>
      <c r="C802" s="17"/>
      <c r="D802" s="17"/>
      <c r="E802" s="17"/>
      <c r="F802" s="18"/>
      <c r="G802" s="19" t="str">
        <f aca="true">IF(F802="", "", DATEDIF(F802, TODAY(), "Y"))</f>
        <v/>
      </c>
      <c r="H802" s="18"/>
      <c r="I802" s="18"/>
      <c r="J802" s="19" t="str">
        <f aca="true">IF(ISBLANK(H802), "", I802-TODAY())</f>
        <v/>
      </c>
      <c r="K802" s="19" t="str">
        <f aca="false" t="array" ref="K802:K802">IF(A802&lt;&gt;"",IF(COUNTIF(A803:A$996,"&lt;&gt;")=0,COUNTA(B802:B$996),IFERROR(MATCH(TRUE(),INDEX((A803:A$996&lt;&gt;""),0),0),COUNTA(B802:B$996))),"")</f>
        <v/>
      </c>
      <c r="L802" s="20"/>
    </row>
    <row r="803" customFormat="false" ht="13.8" hidden="false" customHeight="false" outlineLevel="0" collapsed="false">
      <c r="A803" s="16"/>
      <c r="B803" s="16"/>
      <c r="C803" s="17"/>
      <c r="D803" s="17"/>
      <c r="E803" s="17"/>
      <c r="F803" s="18"/>
      <c r="G803" s="19" t="str">
        <f aca="true">IF(F803="", "", DATEDIF(F803, TODAY(), "Y"))</f>
        <v/>
      </c>
      <c r="H803" s="18"/>
      <c r="I803" s="18"/>
      <c r="J803" s="19" t="str">
        <f aca="true">IF(ISBLANK(H803), "", I803-TODAY())</f>
        <v/>
      </c>
      <c r="K803" s="19" t="str">
        <f aca="false" t="array" ref="K803:K803">IF(A803&lt;&gt;"",IF(COUNTIF(A804:A$996,"&lt;&gt;")=0,COUNTA(B803:B$996),IFERROR(MATCH(TRUE(),INDEX((A804:A$996&lt;&gt;""),0),0),COUNTA(B803:B$996))),"")</f>
        <v/>
      </c>
      <c r="L803" s="20"/>
    </row>
    <row r="804" customFormat="false" ht="13.8" hidden="false" customHeight="false" outlineLevel="0" collapsed="false">
      <c r="A804" s="16"/>
      <c r="B804" s="16"/>
      <c r="C804" s="17"/>
      <c r="D804" s="17"/>
      <c r="E804" s="17"/>
      <c r="F804" s="18"/>
      <c r="G804" s="19" t="str">
        <f aca="true">IF(F804="", "", DATEDIF(F804, TODAY(), "Y"))</f>
        <v/>
      </c>
      <c r="H804" s="18"/>
      <c r="I804" s="18"/>
      <c r="J804" s="19" t="str">
        <f aca="true">IF(ISBLANK(H804), "", I804-TODAY())</f>
        <v/>
      </c>
      <c r="K804" s="19" t="str">
        <f aca="false" t="array" ref="K804:K804">IF(A804&lt;&gt;"",IF(COUNTIF(A805:A$996,"&lt;&gt;")=0,COUNTA(B804:B$996),IFERROR(MATCH(TRUE(),INDEX((A805:A$996&lt;&gt;""),0),0),COUNTA(B804:B$996))),"")</f>
        <v/>
      </c>
      <c r="L804" s="20"/>
    </row>
    <row r="805" customFormat="false" ht="13.8" hidden="false" customHeight="false" outlineLevel="0" collapsed="false">
      <c r="A805" s="16"/>
      <c r="B805" s="16"/>
      <c r="C805" s="17"/>
      <c r="D805" s="17"/>
      <c r="E805" s="17"/>
      <c r="F805" s="18"/>
      <c r="G805" s="19" t="str">
        <f aca="true">IF(F805="", "", DATEDIF(F805, TODAY(), "Y"))</f>
        <v/>
      </c>
      <c r="H805" s="18"/>
      <c r="I805" s="18"/>
      <c r="J805" s="19" t="str">
        <f aca="true">IF(ISBLANK(H805), "", I805-TODAY())</f>
        <v/>
      </c>
      <c r="K805" s="19" t="str">
        <f aca="false" t="array" ref="K805:K805">IF(A805&lt;&gt;"",IF(COUNTIF(A806:A$996,"&lt;&gt;")=0,COUNTA(B805:B$996),IFERROR(MATCH(TRUE(),INDEX((A806:A$996&lt;&gt;""),0),0),COUNTA(B805:B$996))),"")</f>
        <v/>
      </c>
      <c r="L805" s="20"/>
    </row>
    <row r="806" customFormat="false" ht="13.8" hidden="false" customHeight="false" outlineLevel="0" collapsed="false">
      <c r="A806" s="16"/>
      <c r="B806" s="16"/>
      <c r="C806" s="17"/>
      <c r="D806" s="17"/>
      <c r="E806" s="17"/>
      <c r="F806" s="18"/>
      <c r="G806" s="19" t="str">
        <f aca="true">IF(F806="", "", DATEDIF(F806, TODAY(), "Y"))</f>
        <v/>
      </c>
      <c r="H806" s="18"/>
      <c r="I806" s="18"/>
      <c r="J806" s="19" t="str">
        <f aca="true">IF(ISBLANK(H806), "", I806-TODAY())</f>
        <v/>
      </c>
      <c r="K806" s="19" t="str">
        <f aca="false" t="array" ref="K806:K806">IF(A806&lt;&gt;"",IF(COUNTIF(A807:A$996,"&lt;&gt;")=0,COUNTA(B806:B$996),IFERROR(MATCH(TRUE(),INDEX((A807:A$996&lt;&gt;""),0),0),COUNTA(B806:B$996))),"")</f>
        <v/>
      </c>
      <c r="L806" s="20"/>
    </row>
    <row r="807" customFormat="false" ht="13.8" hidden="false" customHeight="false" outlineLevel="0" collapsed="false">
      <c r="A807" s="16"/>
      <c r="B807" s="16"/>
      <c r="C807" s="17"/>
      <c r="D807" s="17"/>
      <c r="E807" s="17"/>
      <c r="F807" s="18"/>
      <c r="G807" s="19" t="str">
        <f aca="true">IF(F807="", "", DATEDIF(F807, TODAY(), "Y"))</f>
        <v/>
      </c>
      <c r="H807" s="18"/>
      <c r="I807" s="18"/>
      <c r="J807" s="19" t="str">
        <f aca="true">IF(ISBLANK(H807), "", I807-TODAY())</f>
        <v/>
      </c>
      <c r="K807" s="19" t="str">
        <f aca="false" t="array" ref="K807:K807">IF(A807&lt;&gt;"",IF(COUNTIF(A808:A$996,"&lt;&gt;")=0,COUNTA(B807:B$996),IFERROR(MATCH(TRUE(),INDEX((A808:A$996&lt;&gt;""),0),0),COUNTA(B807:B$996))),"")</f>
        <v/>
      </c>
      <c r="L807" s="20"/>
    </row>
    <row r="808" customFormat="false" ht="13.8" hidden="false" customHeight="false" outlineLevel="0" collapsed="false">
      <c r="A808" s="16"/>
      <c r="B808" s="16"/>
      <c r="C808" s="17"/>
      <c r="D808" s="17"/>
      <c r="E808" s="17"/>
      <c r="F808" s="18"/>
      <c r="G808" s="19" t="str">
        <f aca="true">IF(F808="", "", DATEDIF(F808, TODAY(), "Y"))</f>
        <v/>
      </c>
      <c r="H808" s="18"/>
      <c r="I808" s="18"/>
      <c r="J808" s="19" t="str">
        <f aca="true">IF(ISBLANK(H808), "", I808-TODAY())</f>
        <v/>
      </c>
      <c r="K808" s="19" t="str">
        <f aca="false" t="array" ref="K808:K808">IF(A808&lt;&gt;"",IF(COUNTIF(A809:A$996,"&lt;&gt;")=0,COUNTA(B808:B$996),IFERROR(MATCH(TRUE(),INDEX((A809:A$996&lt;&gt;""),0),0),COUNTA(B808:B$996))),"")</f>
        <v/>
      </c>
      <c r="L808" s="20"/>
    </row>
    <row r="809" customFormat="false" ht="13.8" hidden="false" customHeight="false" outlineLevel="0" collapsed="false">
      <c r="A809" s="16"/>
      <c r="B809" s="16"/>
      <c r="C809" s="17"/>
      <c r="D809" s="17"/>
      <c r="E809" s="17"/>
      <c r="F809" s="18"/>
      <c r="G809" s="19" t="str">
        <f aca="true">IF(F809="", "", DATEDIF(F809, TODAY(), "Y"))</f>
        <v/>
      </c>
      <c r="H809" s="18"/>
      <c r="I809" s="18"/>
      <c r="J809" s="19" t="str">
        <f aca="true">IF(ISBLANK(H809), "", I809-TODAY())</f>
        <v/>
      </c>
      <c r="K809" s="19" t="str">
        <f aca="false" t="array" ref="K809:K809">IF(A809&lt;&gt;"",IF(COUNTIF(A810:A$996,"&lt;&gt;")=0,COUNTA(B809:B$996),IFERROR(MATCH(TRUE(),INDEX((A810:A$996&lt;&gt;""),0),0),COUNTA(B809:B$996))),"")</f>
        <v/>
      </c>
      <c r="L809" s="20"/>
    </row>
    <row r="810" customFormat="false" ht="13.8" hidden="false" customHeight="false" outlineLevel="0" collapsed="false">
      <c r="A810" s="16"/>
      <c r="B810" s="16"/>
      <c r="C810" s="17"/>
      <c r="D810" s="17"/>
      <c r="E810" s="17"/>
      <c r="F810" s="18"/>
      <c r="G810" s="19" t="str">
        <f aca="true">IF(F810="", "", DATEDIF(F810, TODAY(), "Y"))</f>
        <v/>
      </c>
      <c r="H810" s="18"/>
      <c r="I810" s="18"/>
      <c r="J810" s="19" t="str">
        <f aca="true">IF(ISBLANK(H810), "", I810-TODAY())</f>
        <v/>
      </c>
      <c r="K810" s="19" t="str">
        <f aca="false" t="array" ref="K810:K810">IF(A810&lt;&gt;"",IF(COUNTIF(A811:A$996,"&lt;&gt;")=0,COUNTA(B810:B$996),IFERROR(MATCH(TRUE(),INDEX((A811:A$996&lt;&gt;""),0),0),COUNTA(B810:B$996))),"")</f>
        <v/>
      </c>
      <c r="L810" s="20"/>
    </row>
    <row r="811" customFormat="false" ht="13.8" hidden="false" customHeight="false" outlineLevel="0" collapsed="false">
      <c r="A811" s="16"/>
      <c r="B811" s="16"/>
      <c r="C811" s="17"/>
      <c r="D811" s="17"/>
      <c r="E811" s="17"/>
      <c r="F811" s="18"/>
      <c r="G811" s="19" t="str">
        <f aca="true">IF(F811="", "", DATEDIF(F811, TODAY(), "Y"))</f>
        <v/>
      </c>
      <c r="H811" s="18"/>
      <c r="I811" s="18"/>
      <c r="J811" s="19" t="str">
        <f aca="true">IF(ISBLANK(H811), "", I811-TODAY())</f>
        <v/>
      </c>
      <c r="K811" s="19" t="str">
        <f aca="false" t="array" ref="K811:K811">IF(A811&lt;&gt;"",IF(COUNTIF(A812:A$996,"&lt;&gt;")=0,COUNTA(B811:B$996),IFERROR(MATCH(TRUE(),INDEX((A812:A$996&lt;&gt;""),0),0),COUNTA(B811:B$996))),"")</f>
        <v/>
      </c>
      <c r="L811" s="20"/>
    </row>
    <row r="812" customFormat="false" ht="13.8" hidden="false" customHeight="false" outlineLevel="0" collapsed="false">
      <c r="A812" s="16"/>
      <c r="B812" s="16"/>
      <c r="C812" s="17"/>
      <c r="D812" s="17"/>
      <c r="E812" s="17"/>
      <c r="F812" s="18"/>
      <c r="G812" s="19" t="str">
        <f aca="true">IF(F812="", "", DATEDIF(F812, TODAY(), "Y"))</f>
        <v/>
      </c>
      <c r="H812" s="18"/>
      <c r="I812" s="18"/>
      <c r="J812" s="19" t="str">
        <f aca="true">IF(ISBLANK(H812), "", I812-TODAY())</f>
        <v/>
      </c>
      <c r="K812" s="19" t="str">
        <f aca="false" t="array" ref="K812:K812">IF(A812&lt;&gt;"",IF(COUNTIF(A813:A$996,"&lt;&gt;")=0,COUNTA(B812:B$996),IFERROR(MATCH(TRUE(),INDEX((A813:A$996&lt;&gt;""),0),0),COUNTA(B812:B$996))),"")</f>
        <v/>
      </c>
      <c r="L812" s="20"/>
    </row>
    <row r="813" customFormat="false" ht="13.8" hidden="false" customHeight="false" outlineLevel="0" collapsed="false">
      <c r="A813" s="16"/>
      <c r="B813" s="16"/>
      <c r="C813" s="17"/>
      <c r="D813" s="17"/>
      <c r="E813" s="17"/>
      <c r="F813" s="18"/>
      <c r="G813" s="19" t="str">
        <f aca="true">IF(F813="", "", DATEDIF(F813, TODAY(), "Y"))</f>
        <v/>
      </c>
      <c r="H813" s="18"/>
      <c r="I813" s="18"/>
      <c r="J813" s="19" t="str">
        <f aca="true">IF(ISBLANK(H813), "", I813-TODAY())</f>
        <v/>
      </c>
      <c r="K813" s="19" t="str">
        <f aca="false" t="array" ref="K813:K813">IF(A813&lt;&gt;"",IF(COUNTIF(A814:A$996,"&lt;&gt;")=0,COUNTA(B813:B$996),IFERROR(MATCH(TRUE(),INDEX((A814:A$996&lt;&gt;""),0),0),COUNTA(B813:B$996))),"")</f>
        <v/>
      </c>
      <c r="L813" s="20"/>
    </row>
    <row r="814" customFormat="false" ht="13.8" hidden="false" customHeight="false" outlineLevel="0" collapsed="false">
      <c r="A814" s="16"/>
      <c r="B814" s="16"/>
      <c r="C814" s="17"/>
      <c r="D814" s="17"/>
      <c r="E814" s="17"/>
      <c r="F814" s="18"/>
      <c r="G814" s="19" t="str">
        <f aca="true">IF(F814="", "", DATEDIF(F814, TODAY(), "Y"))</f>
        <v/>
      </c>
      <c r="H814" s="18"/>
      <c r="I814" s="18"/>
      <c r="J814" s="19" t="str">
        <f aca="true">IF(ISBLANK(H814), "", I814-TODAY())</f>
        <v/>
      </c>
      <c r="K814" s="19" t="str">
        <f aca="false" t="array" ref="K814:K814">IF(A814&lt;&gt;"",IF(COUNTIF(A815:A$996,"&lt;&gt;")=0,COUNTA(B814:B$996),IFERROR(MATCH(TRUE(),INDEX((A815:A$996&lt;&gt;""),0),0),COUNTA(B814:B$996))),"")</f>
        <v/>
      </c>
      <c r="L814" s="20"/>
    </row>
    <row r="815" customFormat="false" ht="13.8" hidden="false" customHeight="false" outlineLevel="0" collapsed="false">
      <c r="A815" s="16"/>
      <c r="B815" s="16"/>
      <c r="C815" s="17"/>
      <c r="D815" s="17"/>
      <c r="E815" s="17"/>
      <c r="F815" s="18"/>
      <c r="G815" s="19" t="str">
        <f aca="true">IF(F815="", "", DATEDIF(F815, TODAY(), "Y"))</f>
        <v/>
      </c>
      <c r="H815" s="18"/>
      <c r="I815" s="18"/>
      <c r="J815" s="19" t="str">
        <f aca="true">IF(ISBLANK(H815), "", I815-TODAY())</f>
        <v/>
      </c>
      <c r="K815" s="19" t="str">
        <f aca="false" t="array" ref="K815:K815">IF(A815&lt;&gt;"",IF(COUNTIF(A816:A$996,"&lt;&gt;")=0,COUNTA(B815:B$996),IFERROR(MATCH(TRUE(),INDEX((A816:A$996&lt;&gt;""),0),0),COUNTA(B815:B$996))),"")</f>
        <v/>
      </c>
      <c r="L815" s="20"/>
    </row>
    <row r="816" customFormat="false" ht="13.8" hidden="false" customHeight="false" outlineLevel="0" collapsed="false">
      <c r="A816" s="16"/>
      <c r="B816" s="16"/>
      <c r="C816" s="17"/>
      <c r="D816" s="17"/>
      <c r="E816" s="17"/>
      <c r="F816" s="18"/>
      <c r="G816" s="19" t="str">
        <f aca="true">IF(F816="", "", DATEDIF(F816, TODAY(), "Y"))</f>
        <v/>
      </c>
      <c r="H816" s="18"/>
      <c r="I816" s="18"/>
      <c r="J816" s="19" t="str">
        <f aca="true">IF(ISBLANK(H816), "", I816-TODAY())</f>
        <v/>
      </c>
      <c r="K816" s="19" t="str">
        <f aca="false" t="array" ref="K816:K816">IF(A816&lt;&gt;"",IF(COUNTIF(A817:A$996,"&lt;&gt;")=0,COUNTA(B816:B$996),IFERROR(MATCH(TRUE(),INDEX((A817:A$996&lt;&gt;""),0),0),COUNTA(B816:B$996))),"")</f>
        <v/>
      </c>
      <c r="L816" s="20"/>
    </row>
    <row r="817" customFormat="false" ht="13.8" hidden="false" customHeight="false" outlineLevel="0" collapsed="false">
      <c r="A817" s="16"/>
      <c r="B817" s="16"/>
      <c r="C817" s="17"/>
      <c r="D817" s="17"/>
      <c r="E817" s="17"/>
      <c r="F817" s="18"/>
      <c r="G817" s="19" t="str">
        <f aca="true">IF(F817="", "", DATEDIF(F817, TODAY(), "Y"))</f>
        <v/>
      </c>
      <c r="H817" s="18"/>
      <c r="I817" s="18"/>
      <c r="J817" s="19" t="str">
        <f aca="true">IF(ISBLANK(H817), "", I817-TODAY())</f>
        <v/>
      </c>
      <c r="K817" s="19" t="str">
        <f aca="false" t="array" ref="K817:K817">IF(A817&lt;&gt;"",IF(COUNTIF(A818:A$996,"&lt;&gt;")=0,COUNTA(B817:B$996),IFERROR(MATCH(TRUE(),INDEX((A818:A$996&lt;&gt;""),0),0),COUNTA(B817:B$996))),"")</f>
        <v/>
      </c>
      <c r="L817" s="20"/>
    </row>
    <row r="818" customFormat="false" ht="13.8" hidden="false" customHeight="false" outlineLevel="0" collapsed="false">
      <c r="A818" s="16"/>
      <c r="B818" s="16"/>
      <c r="C818" s="17"/>
      <c r="D818" s="17"/>
      <c r="E818" s="17"/>
      <c r="F818" s="18"/>
      <c r="G818" s="19" t="str">
        <f aca="true">IF(F818="", "", DATEDIF(F818, TODAY(), "Y"))</f>
        <v/>
      </c>
      <c r="H818" s="18"/>
      <c r="I818" s="18"/>
      <c r="J818" s="19" t="str">
        <f aca="true">IF(ISBLANK(H818), "", I818-TODAY())</f>
        <v/>
      </c>
      <c r="K818" s="19" t="str">
        <f aca="false" t="array" ref="K818:K818">IF(A818&lt;&gt;"",IF(COUNTIF(A819:A$996,"&lt;&gt;")=0,COUNTA(B818:B$996),IFERROR(MATCH(TRUE(),INDEX((A819:A$996&lt;&gt;""),0),0),COUNTA(B818:B$996))),"")</f>
        <v/>
      </c>
      <c r="L818" s="20"/>
    </row>
    <row r="819" customFormat="false" ht="13.8" hidden="false" customHeight="false" outlineLevel="0" collapsed="false">
      <c r="A819" s="16"/>
      <c r="B819" s="16"/>
      <c r="C819" s="17"/>
      <c r="D819" s="17"/>
      <c r="E819" s="17"/>
      <c r="F819" s="18"/>
      <c r="G819" s="19" t="str">
        <f aca="true">IF(F819="", "", DATEDIF(F819, TODAY(), "Y"))</f>
        <v/>
      </c>
      <c r="H819" s="18"/>
      <c r="I819" s="18"/>
      <c r="J819" s="19" t="str">
        <f aca="true">IF(ISBLANK(H819), "", I819-TODAY())</f>
        <v/>
      </c>
      <c r="K819" s="19" t="str">
        <f aca="false" t="array" ref="K819:K819">IF(A819&lt;&gt;"",IF(COUNTIF(A820:A$996,"&lt;&gt;")=0,COUNTA(B819:B$996),IFERROR(MATCH(TRUE(),INDEX((A820:A$996&lt;&gt;""),0),0),COUNTA(B819:B$996))),"")</f>
        <v/>
      </c>
      <c r="L819" s="20"/>
    </row>
    <row r="820" customFormat="false" ht="13.8" hidden="false" customHeight="false" outlineLevel="0" collapsed="false">
      <c r="A820" s="16"/>
      <c r="B820" s="16"/>
      <c r="C820" s="17"/>
      <c r="D820" s="17"/>
      <c r="E820" s="17"/>
      <c r="F820" s="18"/>
      <c r="G820" s="19" t="str">
        <f aca="true">IF(F820="", "", DATEDIF(F820, TODAY(), "Y"))</f>
        <v/>
      </c>
      <c r="H820" s="18"/>
      <c r="I820" s="18"/>
      <c r="J820" s="19" t="str">
        <f aca="true">IF(ISBLANK(H820), "", I820-TODAY())</f>
        <v/>
      </c>
      <c r="K820" s="19" t="str">
        <f aca="false" t="array" ref="K820:K820">IF(A820&lt;&gt;"",IF(COUNTIF(A821:A$996,"&lt;&gt;")=0,COUNTA(B820:B$996),IFERROR(MATCH(TRUE(),INDEX((A821:A$996&lt;&gt;""),0),0),COUNTA(B820:B$996))),"")</f>
        <v/>
      </c>
      <c r="L820" s="20"/>
    </row>
    <row r="821" customFormat="false" ht="13.8" hidden="false" customHeight="false" outlineLevel="0" collapsed="false">
      <c r="A821" s="16"/>
      <c r="B821" s="16"/>
      <c r="C821" s="17"/>
      <c r="D821" s="17"/>
      <c r="E821" s="17"/>
      <c r="F821" s="18"/>
      <c r="G821" s="19" t="str">
        <f aca="true">IF(F821="", "", DATEDIF(F821, TODAY(), "Y"))</f>
        <v/>
      </c>
      <c r="H821" s="18"/>
      <c r="I821" s="18"/>
      <c r="J821" s="19" t="str">
        <f aca="true">IF(ISBLANK(H821), "", I821-TODAY())</f>
        <v/>
      </c>
      <c r="K821" s="19" t="str">
        <f aca="false" t="array" ref="K821:K821">IF(A821&lt;&gt;"",IF(COUNTIF(A822:A$996,"&lt;&gt;")=0,COUNTA(B821:B$996),IFERROR(MATCH(TRUE(),INDEX((A822:A$996&lt;&gt;""),0),0),COUNTA(B821:B$996))),"")</f>
        <v/>
      </c>
      <c r="L821" s="20"/>
    </row>
    <row r="822" customFormat="false" ht="13.8" hidden="false" customHeight="false" outlineLevel="0" collapsed="false">
      <c r="A822" s="16"/>
      <c r="B822" s="16"/>
      <c r="C822" s="17"/>
      <c r="D822" s="17"/>
      <c r="E822" s="17"/>
      <c r="F822" s="18"/>
      <c r="G822" s="19" t="str">
        <f aca="true">IF(F822="", "", DATEDIF(F822, TODAY(), "Y"))</f>
        <v/>
      </c>
      <c r="H822" s="18"/>
      <c r="I822" s="18"/>
      <c r="J822" s="19" t="str">
        <f aca="true">IF(ISBLANK(H822), "", I822-TODAY())</f>
        <v/>
      </c>
      <c r="K822" s="19" t="str">
        <f aca="false" t="array" ref="K822:K822">IF(A822&lt;&gt;"",IF(COUNTIF(A823:A$996,"&lt;&gt;")=0,COUNTA(B822:B$996),IFERROR(MATCH(TRUE(),INDEX((A823:A$996&lt;&gt;""),0),0),COUNTA(B822:B$996))),"")</f>
        <v/>
      </c>
      <c r="L822" s="20"/>
    </row>
    <row r="823" customFormat="false" ht="13.8" hidden="false" customHeight="false" outlineLevel="0" collapsed="false">
      <c r="A823" s="16"/>
      <c r="B823" s="16"/>
      <c r="C823" s="17"/>
      <c r="D823" s="17"/>
      <c r="E823" s="17"/>
      <c r="F823" s="18"/>
      <c r="G823" s="19" t="str">
        <f aca="true">IF(F823="", "", DATEDIF(F823, TODAY(), "Y"))</f>
        <v/>
      </c>
      <c r="H823" s="18"/>
      <c r="I823" s="18"/>
      <c r="J823" s="19" t="str">
        <f aca="true">IF(ISBLANK(H823), "", I823-TODAY())</f>
        <v/>
      </c>
      <c r="K823" s="19" t="str">
        <f aca="false" t="array" ref="K823:K823">IF(A823&lt;&gt;"",IF(COUNTIF(A824:A$996,"&lt;&gt;")=0,COUNTA(B823:B$996),IFERROR(MATCH(TRUE(),INDEX((A824:A$996&lt;&gt;""),0),0),COUNTA(B823:B$996))),"")</f>
        <v/>
      </c>
      <c r="L823" s="20"/>
    </row>
    <row r="824" customFormat="false" ht="13.8" hidden="false" customHeight="false" outlineLevel="0" collapsed="false">
      <c r="A824" s="16"/>
      <c r="B824" s="16"/>
      <c r="C824" s="17"/>
      <c r="D824" s="17"/>
      <c r="E824" s="17"/>
      <c r="F824" s="18"/>
      <c r="G824" s="19" t="str">
        <f aca="true">IF(F824="", "", DATEDIF(F824, TODAY(), "Y"))</f>
        <v/>
      </c>
      <c r="H824" s="18"/>
      <c r="I824" s="18"/>
      <c r="J824" s="19" t="str">
        <f aca="true">IF(ISBLANK(H824), "", I824-TODAY())</f>
        <v/>
      </c>
      <c r="K824" s="19" t="str">
        <f aca="false" t="array" ref="K824:K824">IF(A824&lt;&gt;"",IF(COUNTIF(A825:A$996,"&lt;&gt;")=0,COUNTA(B824:B$996),IFERROR(MATCH(TRUE(),INDEX((A825:A$996&lt;&gt;""),0),0),COUNTA(B824:B$996))),"")</f>
        <v/>
      </c>
      <c r="L824" s="20"/>
    </row>
    <row r="825" customFormat="false" ht="13.8" hidden="false" customHeight="false" outlineLevel="0" collapsed="false">
      <c r="A825" s="16"/>
      <c r="B825" s="16"/>
      <c r="C825" s="17"/>
      <c r="D825" s="17"/>
      <c r="E825" s="17"/>
      <c r="F825" s="18"/>
      <c r="G825" s="19" t="str">
        <f aca="true">IF(F825="", "", DATEDIF(F825, TODAY(), "Y"))</f>
        <v/>
      </c>
      <c r="H825" s="18"/>
      <c r="I825" s="18"/>
      <c r="J825" s="19" t="str">
        <f aca="true">IF(ISBLANK(H825), "", I825-TODAY())</f>
        <v/>
      </c>
      <c r="K825" s="19" t="str">
        <f aca="false" t="array" ref="K825:K825">IF(A825&lt;&gt;"",IF(COUNTIF(A826:A$996,"&lt;&gt;")=0,COUNTA(B825:B$996),IFERROR(MATCH(TRUE(),INDEX((A826:A$996&lt;&gt;""),0),0),COUNTA(B825:B$996))),"")</f>
        <v/>
      </c>
      <c r="L825" s="20"/>
    </row>
    <row r="826" customFormat="false" ht="13.8" hidden="false" customHeight="false" outlineLevel="0" collapsed="false">
      <c r="A826" s="16"/>
      <c r="B826" s="16"/>
      <c r="C826" s="17"/>
      <c r="D826" s="17"/>
      <c r="E826" s="17"/>
      <c r="F826" s="18"/>
      <c r="G826" s="19" t="str">
        <f aca="true">IF(F826="", "", DATEDIF(F826, TODAY(), "Y"))</f>
        <v/>
      </c>
      <c r="H826" s="18"/>
      <c r="I826" s="18"/>
      <c r="J826" s="19" t="str">
        <f aca="true">IF(ISBLANK(H826), "", I826-TODAY())</f>
        <v/>
      </c>
      <c r="K826" s="19" t="str">
        <f aca="false" t="array" ref="K826:K826">IF(A826&lt;&gt;"",IF(COUNTIF(A827:A$996,"&lt;&gt;")=0,COUNTA(B826:B$996),IFERROR(MATCH(TRUE(),INDEX((A827:A$996&lt;&gt;""),0),0),COUNTA(B826:B$996))),"")</f>
        <v/>
      </c>
      <c r="L826" s="20"/>
    </row>
    <row r="827" customFormat="false" ht="13.8" hidden="false" customHeight="false" outlineLevel="0" collapsed="false">
      <c r="A827" s="16"/>
      <c r="B827" s="16"/>
      <c r="C827" s="17"/>
      <c r="D827" s="17"/>
      <c r="E827" s="17"/>
      <c r="F827" s="18"/>
      <c r="G827" s="19" t="str">
        <f aca="true">IF(F827="", "", DATEDIF(F827, TODAY(), "Y"))</f>
        <v/>
      </c>
      <c r="H827" s="18"/>
      <c r="I827" s="18"/>
      <c r="J827" s="19" t="str">
        <f aca="true">IF(ISBLANK(H827), "", I827-TODAY())</f>
        <v/>
      </c>
      <c r="K827" s="19" t="str">
        <f aca="false" t="array" ref="K827:K827">IF(A827&lt;&gt;"",IF(COUNTIF(A828:A$996,"&lt;&gt;")=0,COUNTA(B827:B$996),IFERROR(MATCH(TRUE(),INDEX((A828:A$996&lt;&gt;""),0),0),COUNTA(B827:B$996))),"")</f>
        <v/>
      </c>
      <c r="L827" s="20"/>
    </row>
    <row r="828" customFormat="false" ht="13.8" hidden="false" customHeight="false" outlineLevel="0" collapsed="false">
      <c r="A828" s="16"/>
      <c r="B828" s="16"/>
      <c r="C828" s="17"/>
      <c r="D828" s="17"/>
      <c r="E828" s="17"/>
      <c r="F828" s="18"/>
      <c r="G828" s="19" t="str">
        <f aca="true">IF(F828="", "", DATEDIF(F828, TODAY(), "Y"))</f>
        <v/>
      </c>
      <c r="H828" s="18"/>
      <c r="I828" s="18"/>
      <c r="J828" s="19" t="str">
        <f aca="true">IF(ISBLANK(H828), "", I828-TODAY())</f>
        <v/>
      </c>
      <c r="K828" s="19" t="str">
        <f aca="false" t="array" ref="K828:K828">IF(A828&lt;&gt;"",IF(COUNTIF(A829:A$996,"&lt;&gt;")=0,COUNTA(B828:B$996),IFERROR(MATCH(TRUE(),INDEX((A829:A$996&lt;&gt;""),0),0),COUNTA(B828:B$996))),"")</f>
        <v/>
      </c>
      <c r="L828" s="20"/>
    </row>
    <row r="829" customFormat="false" ht="13.8" hidden="false" customHeight="false" outlineLevel="0" collapsed="false">
      <c r="A829" s="16"/>
      <c r="B829" s="16"/>
      <c r="C829" s="17"/>
      <c r="D829" s="17"/>
      <c r="E829" s="17"/>
      <c r="F829" s="18"/>
      <c r="G829" s="19" t="str">
        <f aca="true">IF(F829="", "", DATEDIF(F829, TODAY(), "Y"))</f>
        <v/>
      </c>
      <c r="H829" s="18"/>
      <c r="I829" s="18"/>
      <c r="J829" s="19" t="str">
        <f aca="true">IF(ISBLANK(H829), "", I829-TODAY())</f>
        <v/>
      </c>
      <c r="K829" s="19" t="str">
        <f aca="false" t="array" ref="K829:K829">IF(A829&lt;&gt;"",IF(COUNTIF(A830:A$996,"&lt;&gt;")=0,COUNTA(B829:B$996),IFERROR(MATCH(TRUE(),INDEX((A830:A$996&lt;&gt;""),0),0),COUNTA(B829:B$996))),"")</f>
        <v/>
      </c>
      <c r="L829" s="20"/>
    </row>
    <row r="830" customFormat="false" ht="13.8" hidden="false" customHeight="false" outlineLevel="0" collapsed="false">
      <c r="A830" s="16"/>
      <c r="B830" s="16"/>
      <c r="C830" s="17"/>
      <c r="D830" s="17"/>
      <c r="E830" s="17"/>
      <c r="F830" s="18"/>
      <c r="G830" s="19" t="str">
        <f aca="true">IF(F830="", "", DATEDIF(F830, TODAY(), "Y"))</f>
        <v/>
      </c>
      <c r="H830" s="18"/>
      <c r="I830" s="18"/>
      <c r="J830" s="19" t="str">
        <f aca="true">IF(ISBLANK(H830), "", I830-TODAY())</f>
        <v/>
      </c>
      <c r="K830" s="19" t="str">
        <f aca="false" t="array" ref="K830:K830">IF(A830&lt;&gt;"",IF(COUNTIF(A831:A$996,"&lt;&gt;")=0,COUNTA(B830:B$996),IFERROR(MATCH(TRUE(),INDEX((A831:A$996&lt;&gt;""),0),0),COUNTA(B830:B$996))),"")</f>
        <v/>
      </c>
      <c r="L830" s="20"/>
    </row>
    <row r="831" customFormat="false" ht="13.8" hidden="false" customHeight="false" outlineLevel="0" collapsed="false">
      <c r="A831" s="16"/>
      <c r="B831" s="16"/>
      <c r="C831" s="17"/>
      <c r="D831" s="17"/>
      <c r="E831" s="17"/>
      <c r="F831" s="18"/>
      <c r="G831" s="19" t="str">
        <f aca="true">IF(F831="", "", DATEDIF(F831, TODAY(), "Y"))</f>
        <v/>
      </c>
      <c r="H831" s="18"/>
      <c r="I831" s="18"/>
      <c r="J831" s="19" t="str">
        <f aca="true">IF(ISBLANK(H831), "", I831-TODAY())</f>
        <v/>
      </c>
      <c r="K831" s="19" t="str">
        <f aca="false" t="array" ref="K831:K831">IF(A831&lt;&gt;"",IF(COUNTIF(A832:A$996,"&lt;&gt;")=0,COUNTA(B831:B$996),IFERROR(MATCH(TRUE(),INDEX((A832:A$996&lt;&gt;""),0),0),COUNTA(B831:B$996))),"")</f>
        <v/>
      </c>
      <c r="L831" s="20"/>
    </row>
    <row r="832" customFormat="false" ht="13.8" hidden="false" customHeight="false" outlineLevel="0" collapsed="false">
      <c r="A832" s="16"/>
      <c r="B832" s="16"/>
      <c r="C832" s="17"/>
      <c r="D832" s="17"/>
      <c r="E832" s="17"/>
      <c r="F832" s="18"/>
      <c r="G832" s="19" t="str">
        <f aca="true">IF(F832="", "", DATEDIF(F832, TODAY(), "Y"))</f>
        <v/>
      </c>
      <c r="H832" s="18"/>
      <c r="I832" s="18"/>
      <c r="J832" s="19" t="str">
        <f aca="true">IF(ISBLANK(H832), "", I832-TODAY())</f>
        <v/>
      </c>
      <c r="K832" s="19" t="str">
        <f aca="false" t="array" ref="K832:K832">IF(A832&lt;&gt;"",IF(COUNTIF(A833:A$996,"&lt;&gt;")=0,COUNTA(B832:B$996),IFERROR(MATCH(TRUE(),INDEX((A833:A$996&lt;&gt;""),0),0),COUNTA(B832:B$996))),"")</f>
        <v/>
      </c>
      <c r="L832" s="20"/>
    </row>
    <row r="833" customFormat="false" ht="13.8" hidden="false" customHeight="false" outlineLevel="0" collapsed="false">
      <c r="A833" s="16"/>
      <c r="B833" s="16"/>
      <c r="C833" s="17"/>
      <c r="D833" s="17"/>
      <c r="E833" s="17"/>
      <c r="F833" s="18"/>
      <c r="G833" s="19" t="str">
        <f aca="true">IF(F833="", "", DATEDIF(F833, TODAY(), "Y"))</f>
        <v/>
      </c>
      <c r="H833" s="18"/>
      <c r="I833" s="18"/>
      <c r="J833" s="19" t="str">
        <f aca="true">IF(ISBLANK(H833), "", I833-TODAY())</f>
        <v/>
      </c>
      <c r="K833" s="19" t="str">
        <f aca="false" t="array" ref="K833:K833">IF(A833&lt;&gt;"",IF(COUNTIF(A834:A$996,"&lt;&gt;")=0,COUNTA(B833:B$996),IFERROR(MATCH(TRUE(),INDEX((A834:A$996&lt;&gt;""),0),0),COUNTA(B833:B$996))),"")</f>
        <v/>
      </c>
      <c r="L833" s="20"/>
    </row>
    <row r="834" customFormat="false" ht="13.8" hidden="false" customHeight="false" outlineLevel="0" collapsed="false">
      <c r="A834" s="16"/>
      <c r="B834" s="16"/>
      <c r="C834" s="17"/>
      <c r="D834" s="17"/>
      <c r="E834" s="17"/>
      <c r="F834" s="18"/>
      <c r="G834" s="19" t="str">
        <f aca="true">IF(F834="", "", DATEDIF(F834, TODAY(), "Y"))</f>
        <v/>
      </c>
      <c r="H834" s="18"/>
      <c r="I834" s="18"/>
      <c r="J834" s="19" t="str">
        <f aca="true">IF(ISBLANK(H834), "", I834-TODAY())</f>
        <v/>
      </c>
      <c r="K834" s="19" t="str">
        <f aca="false" t="array" ref="K834:K834">IF(A834&lt;&gt;"",IF(COUNTIF(A835:A$996,"&lt;&gt;")=0,COUNTA(B834:B$996),IFERROR(MATCH(TRUE(),INDEX((A835:A$996&lt;&gt;""),0),0),COUNTA(B834:B$996))),"")</f>
        <v/>
      </c>
      <c r="L834" s="20"/>
    </row>
    <row r="835" customFormat="false" ht="13.8" hidden="false" customHeight="false" outlineLevel="0" collapsed="false">
      <c r="A835" s="16"/>
      <c r="B835" s="16"/>
      <c r="C835" s="17"/>
      <c r="D835" s="17"/>
      <c r="E835" s="17"/>
      <c r="F835" s="18"/>
      <c r="G835" s="19" t="str">
        <f aca="true">IF(F835="", "", DATEDIF(F835, TODAY(), "Y"))</f>
        <v/>
      </c>
      <c r="H835" s="18"/>
      <c r="I835" s="18"/>
      <c r="J835" s="19" t="str">
        <f aca="true">IF(ISBLANK(H835), "", I835-TODAY())</f>
        <v/>
      </c>
      <c r="K835" s="19" t="str">
        <f aca="false" t="array" ref="K835:K835">IF(A835&lt;&gt;"",IF(COUNTIF(A836:A$996,"&lt;&gt;")=0,COUNTA(B835:B$996),IFERROR(MATCH(TRUE(),INDEX((A836:A$996&lt;&gt;""),0),0),COUNTA(B835:B$996))),"")</f>
        <v/>
      </c>
      <c r="L835" s="20"/>
    </row>
    <row r="836" customFormat="false" ht="13.8" hidden="false" customHeight="false" outlineLevel="0" collapsed="false">
      <c r="A836" s="16"/>
      <c r="B836" s="16"/>
      <c r="C836" s="17"/>
      <c r="D836" s="17"/>
      <c r="E836" s="17"/>
      <c r="F836" s="18"/>
      <c r="G836" s="19" t="str">
        <f aca="true">IF(F836="", "", DATEDIF(F836, TODAY(), "Y"))</f>
        <v/>
      </c>
      <c r="H836" s="18"/>
      <c r="I836" s="18"/>
      <c r="J836" s="19" t="str">
        <f aca="true">IF(ISBLANK(H836), "", I836-TODAY())</f>
        <v/>
      </c>
      <c r="K836" s="19" t="str">
        <f aca="false" t="array" ref="K836:K836">IF(A836&lt;&gt;"",IF(COUNTIF(A837:A$996,"&lt;&gt;")=0,COUNTA(B836:B$996),IFERROR(MATCH(TRUE(),INDEX((A837:A$996&lt;&gt;""),0),0),COUNTA(B836:B$996))),"")</f>
        <v/>
      </c>
      <c r="L836" s="20"/>
    </row>
    <row r="837" customFormat="false" ht="13.8" hidden="false" customHeight="false" outlineLevel="0" collapsed="false">
      <c r="A837" s="16"/>
      <c r="B837" s="16"/>
      <c r="C837" s="17"/>
      <c r="D837" s="17"/>
      <c r="E837" s="17"/>
      <c r="F837" s="18"/>
      <c r="G837" s="19" t="str">
        <f aca="true">IF(F837="", "", DATEDIF(F837, TODAY(), "Y"))</f>
        <v/>
      </c>
      <c r="H837" s="18"/>
      <c r="I837" s="18"/>
      <c r="J837" s="19" t="str">
        <f aca="true">IF(ISBLANK(H837), "", I837-TODAY())</f>
        <v/>
      </c>
      <c r="K837" s="19" t="str">
        <f aca="false" t="array" ref="K837:K837">IF(A837&lt;&gt;"",IF(COUNTIF(A838:A$996,"&lt;&gt;")=0,COUNTA(B837:B$996),IFERROR(MATCH(TRUE(),INDEX((A838:A$996&lt;&gt;""),0),0),COUNTA(B837:B$996))),"")</f>
        <v/>
      </c>
      <c r="L837" s="20"/>
    </row>
    <row r="838" customFormat="false" ht="13.8" hidden="false" customHeight="false" outlineLevel="0" collapsed="false">
      <c r="A838" s="16"/>
      <c r="B838" s="16"/>
      <c r="C838" s="17"/>
      <c r="D838" s="17"/>
      <c r="E838" s="17"/>
      <c r="F838" s="18"/>
      <c r="G838" s="19" t="str">
        <f aca="true">IF(F838="", "", DATEDIF(F838, TODAY(), "Y"))</f>
        <v/>
      </c>
      <c r="H838" s="18"/>
      <c r="I838" s="18"/>
      <c r="J838" s="19" t="str">
        <f aca="true">IF(ISBLANK(H838), "", I838-TODAY())</f>
        <v/>
      </c>
      <c r="K838" s="19" t="str">
        <f aca="false" t="array" ref="K838:K838">IF(A838&lt;&gt;"",IF(COUNTIF(A839:A$996,"&lt;&gt;")=0,COUNTA(B838:B$996),IFERROR(MATCH(TRUE(),INDEX((A839:A$996&lt;&gt;""),0),0),COUNTA(B838:B$996))),"")</f>
        <v/>
      </c>
      <c r="L838" s="20"/>
    </row>
    <row r="839" customFormat="false" ht="13.8" hidden="false" customHeight="false" outlineLevel="0" collapsed="false">
      <c r="A839" s="16"/>
      <c r="B839" s="16"/>
      <c r="C839" s="17"/>
      <c r="D839" s="17"/>
      <c r="E839" s="17"/>
      <c r="F839" s="18"/>
      <c r="G839" s="19" t="str">
        <f aca="true">IF(F839="", "", DATEDIF(F839, TODAY(), "Y"))</f>
        <v/>
      </c>
      <c r="H839" s="18"/>
      <c r="I839" s="18"/>
      <c r="J839" s="19" t="str">
        <f aca="true">IF(ISBLANK(H839), "", I839-TODAY())</f>
        <v/>
      </c>
      <c r="K839" s="19" t="str">
        <f aca="false" t="array" ref="K839:K839">IF(A839&lt;&gt;"",IF(COUNTIF(A840:A$996,"&lt;&gt;")=0,COUNTA(B839:B$996),IFERROR(MATCH(TRUE(),INDEX((A840:A$996&lt;&gt;""),0),0),COUNTA(B839:B$996))),"")</f>
        <v/>
      </c>
      <c r="L839" s="20"/>
    </row>
    <row r="840" customFormat="false" ht="13.8" hidden="false" customHeight="false" outlineLevel="0" collapsed="false">
      <c r="A840" s="16"/>
      <c r="B840" s="16"/>
      <c r="C840" s="17"/>
      <c r="D840" s="17"/>
      <c r="E840" s="17"/>
      <c r="F840" s="18"/>
      <c r="G840" s="19" t="str">
        <f aca="true">IF(F840="", "", DATEDIF(F840, TODAY(), "Y"))</f>
        <v/>
      </c>
      <c r="H840" s="18"/>
      <c r="I840" s="18"/>
      <c r="J840" s="19" t="str">
        <f aca="true">IF(ISBLANK(H840), "", I840-TODAY())</f>
        <v/>
      </c>
      <c r="K840" s="19" t="str">
        <f aca="false" t="array" ref="K840:K840">IF(A840&lt;&gt;"",IF(COUNTIF(A841:A$996,"&lt;&gt;")=0,COUNTA(B840:B$996),IFERROR(MATCH(TRUE(),INDEX((A841:A$996&lt;&gt;""),0),0),COUNTA(B840:B$996))),"")</f>
        <v/>
      </c>
      <c r="L840" s="20"/>
    </row>
    <row r="841" customFormat="false" ht="13.8" hidden="false" customHeight="false" outlineLevel="0" collapsed="false">
      <c r="A841" s="16"/>
      <c r="B841" s="16"/>
      <c r="C841" s="17"/>
      <c r="D841" s="17"/>
      <c r="E841" s="17"/>
      <c r="F841" s="18"/>
      <c r="G841" s="19" t="str">
        <f aca="true">IF(F841="", "", DATEDIF(F841, TODAY(), "Y"))</f>
        <v/>
      </c>
      <c r="H841" s="18"/>
      <c r="I841" s="18"/>
      <c r="J841" s="19" t="str">
        <f aca="true">IF(ISBLANK(H841), "", I841-TODAY())</f>
        <v/>
      </c>
      <c r="K841" s="19" t="str">
        <f aca="false" t="array" ref="K841:K841">IF(A841&lt;&gt;"",IF(COUNTIF(A842:A$996,"&lt;&gt;")=0,COUNTA(B841:B$996),IFERROR(MATCH(TRUE(),INDEX((A842:A$996&lt;&gt;""),0),0),COUNTA(B841:B$996))),"")</f>
        <v/>
      </c>
      <c r="L841" s="20"/>
    </row>
    <row r="842" customFormat="false" ht="13.8" hidden="false" customHeight="false" outlineLevel="0" collapsed="false">
      <c r="A842" s="16"/>
      <c r="B842" s="16"/>
      <c r="C842" s="17"/>
      <c r="D842" s="17"/>
      <c r="E842" s="17"/>
      <c r="F842" s="18"/>
      <c r="G842" s="19" t="str">
        <f aca="true">IF(F842="", "", DATEDIF(F842, TODAY(), "Y"))</f>
        <v/>
      </c>
      <c r="H842" s="18"/>
      <c r="I842" s="18"/>
      <c r="J842" s="19" t="str">
        <f aca="true">IF(ISBLANK(H842), "", I842-TODAY())</f>
        <v/>
      </c>
      <c r="K842" s="19" t="str">
        <f aca="false" t="array" ref="K842:K842">IF(A842&lt;&gt;"",IF(COUNTIF(A843:A$996,"&lt;&gt;")=0,COUNTA(B842:B$996),IFERROR(MATCH(TRUE(),INDEX((A843:A$996&lt;&gt;""),0),0),COUNTA(B842:B$996))),"")</f>
        <v/>
      </c>
      <c r="L842" s="20"/>
    </row>
    <row r="843" customFormat="false" ht="13.8" hidden="false" customHeight="false" outlineLevel="0" collapsed="false">
      <c r="A843" s="16"/>
      <c r="B843" s="16"/>
      <c r="C843" s="17"/>
      <c r="D843" s="17"/>
      <c r="E843" s="17"/>
      <c r="F843" s="18"/>
      <c r="G843" s="19" t="str">
        <f aca="true">IF(F843="", "", DATEDIF(F843, TODAY(), "Y"))</f>
        <v/>
      </c>
      <c r="H843" s="18"/>
      <c r="I843" s="18"/>
      <c r="J843" s="19" t="str">
        <f aca="true">IF(ISBLANK(H843), "", I843-TODAY())</f>
        <v/>
      </c>
      <c r="K843" s="19" t="str">
        <f aca="false" t="array" ref="K843:K843">IF(A843&lt;&gt;"",IF(COUNTIF(A844:A$996,"&lt;&gt;")=0,COUNTA(B843:B$996),IFERROR(MATCH(TRUE(),INDEX((A844:A$996&lt;&gt;""),0),0),COUNTA(B843:B$996))),"")</f>
        <v/>
      </c>
      <c r="L843" s="20"/>
    </row>
    <row r="844" customFormat="false" ht="13.8" hidden="false" customHeight="false" outlineLevel="0" collapsed="false">
      <c r="A844" s="16"/>
      <c r="B844" s="16"/>
      <c r="C844" s="17"/>
      <c r="D844" s="17"/>
      <c r="E844" s="17"/>
      <c r="F844" s="18"/>
      <c r="G844" s="19" t="str">
        <f aca="true">IF(F844="", "", DATEDIF(F844, TODAY(), "Y"))</f>
        <v/>
      </c>
      <c r="H844" s="18"/>
      <c r="I844" s="18"/>
      <c r="J844" s="19" t="str">
        <f aca="true">IF(ISBLANK(H844), "", I844-TODAY())</f>
        <v/>
      </c>
      <c r="K844" s="19" t="str">
        <f aca="false" t="array" ref="K844:K844">IF(A844&lt;&gt;"",IF(COUNTIF(A845:A$996,"&lt;&gt;")=0,COUNTA(B844:B$996),IFERROR(MATCH(TRUE(),INDEX((A845:A$996&lt;&gt;""),0),0),COUNTA(B844:B$996))),"")</f>
        <v/>
      </c>
      <c r="L844" s="20"/>
    </row>
    <row r="845" customFormat="false" ht="13.8" hidden="false" customHeight="false" outlineLevel="0" collapsed="false">
      <c r="A845" s="16"/>
      <c r="B845" s="16"/>
      <c r="C845" s="17"/>
      <c r="D845" s="17"/>
      <c r="E845" s="17"/>
      <c r="F845" s="18"/>
      <c r="G845" s="19" t="str">
        <f aca="true">IF(F845="", "", DATEDIF(F845, TODAY(), "Y"))</f>
        <v/>
      </c>
      <c r="H845" s="18"/>
      <c r="I845" s="18"/>
      <c r="J845" s="19" t="str">
        <f aca="true">IF(ISBLANK(H845), "", I845-TODAY())</f>
        <v/>
      </c>
      <c r="K845" s="19" t="str">
        <f aca="false" t="array" ref="K845:K845">IF(A845&lt;&gt;"",IF(COUNTIF(A846:A$996,"&lt;&gt;")=0,COUNTA(B845:B$996),IFERROR(MATCH(TRUE(),INDEX((A846:A$996&lt;&gt;""),0),0),COUNTA(B845:B$996))),"")</f>
        <v/>
      </c>
      <c r="L845" s="20"/>
    </row>
    <row r="846" customFormat="false" ht="13.8" hidden="false" customHeight="false" outlineLevel="0" collapsed="false">
      <c r="A846" s="16"/>
      <c r="B846" s="16"/>
      <c r="C846" s="17"/>
      <c r="D846" s="17"/>
      <c r="E846" s="17"/>
      <c r="F846" s="18"/>
      <c r="G846" s="19" t="str">
        <f aca="true">IF(F846="", "", DATEDIF(F846, TODAY(), "Y"))</f>
        <v/>
      </c>
      <c r="H846" s="18"/>
      <c r="I846" s="18"/>
      <c r="J846" s="19" t="str">
        <f aca="true">IF(ISBLANK(H846), "", I846-TODAY())</f>
        <v/>
      </c>
      <c r="K846" s="19" t="str">
        <f aca="false" t="array" ref="K846:K846">IF(A846&lt;&gt;"",IF(COUNTIF(A847:A$996,"&lt;&gt;")=0,COUNTA(B846:B$996),IFERROR(MATCH(TRUE(),INDEX((A847:A$996&lt;&gt;""),0),0),COUNTA(B846:B$996))),"")</f>
        <v/>
      </c>
      <c r="L846" s="20"/>
    </row>
    <row r="847" customFormat="false" ht="13.8" hidden="false" customHeight="false" outlineLevel="0" collapsed="false">
      <c r="A847" s="16"/>
      <c r="B847" s="16"/>
      <c r="C847" s="17"/>
      <c r="D847" s="17"/>
      <c r="E847" s="17"/>
      <c r="F847" s="18"/>
      <c r="G847" s="19" t="str">
        <f aca="true">IF(F847="", "", DATEDIF(F847, TODAY(), "Y"))</f>
        <v/>
      </c>
      <c r="H847" s="18"/>
      <c r="I847" s="18"/>
      <c r="J847" s="19" t="str">
        <f aca="true">IF(ISBLANK(H847), "", I847-TODAY())</f>
        <v/>
      </c>
      <c r="K847" s="19" t="str">
        <f aca="false" t="array" ref="K847:K847">IF(A847&lt;&gt;"",IF(COUNTIF(A848:A$996,"&lt;&gt;")=0,COUNTA(B847:B$996),IFERROR(MATCH(TRUE(),INDEX((A848:A$996&lt;&gt;""),0),0),COUNTA(B847:B$996))),"")</f>
        <v/>
      </c>
      <c r="L847" s="20"/>
    </row>
    <row r="848" customFormat="false" ht="13.8" hidden="false" customHeight="false" outlineLevel="0" collapsed="false">
      <c r="A848" s="16"/>
      <c r="B848" s="16"/>
      <c r="C848" s="17"/>
      <c r="D848" s="17"/>
      <c r="E848" s="17"/>
      <c r="F848" s="18"/>
      <c r="G848" s="19" t="str">
        <f aca="true">IF(F848="", "", DATEDIF(F848, TODAY(), "Y"))</f>
        <v/>
      </c>
      <c r="H848" s="18"/>
      <c r="I848" s="18"/>
      <c r="J848" s="19" t="str">
        <f aca="true">IF(ISBLANK(H848), "", I848-TODAY())</f>
        <v/>
      </c>
      <c r="K848" s="19" t="str">
        <f aca="false" t="array" ref="K848:K848">IF(A848&lt;&gt;"",IF(COUNTIF(A849:A$996,"&lt;&gt;")=0,COUNTA(B848:B$996),IFERROR(MATCH(TRUE(),INDEX((A849:A$996&lt;&gt;""),0),0),COUNTA(B848:B$996))),"")</f>
        <v/>
      </c>
      <c r="L848" s="20"/>
    </row>
    <row r="849" customFormat="false" ht="13.8" hidden="false" customHeight="false" outlineLevel="0" collapsed="false">
      <c r="A849" s="16"/>
      <c r="B849" s="16"/>
      <c r="C849" s="17"/>
      <c r="D849" s="17"/>
      <c r="E849" s="17"/>
      <c r="F849" s="18"/>
      <c r="G849" s="19" t="str">
        <f aca="true">IF(F849="", "", DATEDIF(F849, TODAY(), "Y"))</f>
        <v/>
      </c>
      <c r="H849" s="18"/>
      <c r="I849" s="18"/>
      <c r="J849" s="19" t="str">
        <f aca="true">IF(ISBLANK(H849), "", I849-TODAY())</f>
        <v/>
      </c>
      <c r="K849" s="19" t="str">
        <f aca="false" t="array" ref="K849:K849">IF(A849&lt;&gt;"",IF(COUNTIF(A850:A$996,"&lt;&gt;")=0,COUNTA(B849:B$996),IFERROR(MATCH(TRUE(),INDEX((A850:A$996&lt;&gt;""),0),0),COUNTA(B849:B$996))),"")</f>
        <v/>
      </c>
      <c r="L849" s="20"/>
    </row>
    <row r="850" customFormat="false" ht="13.8" hidden="false" customHeight="false" outlineLevel="0" collapsed="false">
      <c r="A850" s="16"/>
      <c r="B850" s="16"/>
      <c r="C850" s="17"/>
      <c r="D850" s="17"/>
      <c r="E850" s="17"/>
      <c r="F850" s="18"/>
      <c r="G850" s="19" t="str">
        <f aca="true">IF(F850="", "", DATEDIF(F850, TODAY(), "Y"))</f>
        <v/>
      </c>
      <c r="H850" s="18"/>
      <c r="I850" s="18"/>
      <c r="J850" s="19" t="str">
        <f aca="true">IF(ISBLANK(H850), "", I850-TODAY())</f>
        <v/>
      </c>
      <c r="K850" s="19" t="str">
        <f aca="false" t="array" ref="K850:K850">IF(A850&lt;&gt;"",IF(COUNTIF(A851:A$996,"&lt;&gt;")=0,COUNTA(B850:B$996),IFERROR(MATCH(TRUE(),INDEX((A851:A$996&lt;&gt;""),0),0),COUNTA(B850:B$996))),"")</f>
        <v/>
      </c>
      <c r="L850" s="20"/>
    </row>
    <row r="851" customFormat="false" ht="13.8" hidden="false" customHeight="false" outlineLevel="0" collapsed="false">
      <c r="A851" s="16"/>
      <c r="B851" s="16"/>
      <c r="C851" s="17"/>
      <c r="D851" s="17"/>
      <c r="E851" s="17"/>
      <c r="F851" s="18"/>
      <c r="G851" s="19" t="str">
        <f aca="true">IF(F851="", "", DATEDIF(F851, TODAY(), "Y"))</f>
        <v/>
      </c>
      <c r="H851" s="18"/>
      <c r="I851" s="18"/>
      <c r="J851" s="19" t="str">
        <f aca="true">IF(ISBLANK(H851), "", I851-TODAY())</f>
        <v/>
      </c>
      <c r="K851" s="19" t="str">
        <f aca="false" t="array" ref="K851:K851">IF(A851&lt;&gt;"",IF(COUNTIF(A852:A$996,"&lt;&gt;")=0,COUNTA(B851:B$996),IFERROR(MATCH(TRUE(),INDEX((A852:A$996&lt;&gt;""),0),0),COUNTA(B851:B$996))),"")</f>
        <v/>
      </c>
      <c r="L851" s="20"/>
    </row>
    <row r="852" customFormat="false" ht="13.8" hidden="false" customHeight="false" outlineLevel="0" collapsed="false">
      <c r="A852" s="16"/>
      <c r="B852" s="16"/>
      <c r="C852" s="17"/>
      <c r="D852" s="17"/>
      <c r="E852" s="17"/>
      <c r="F852" s="18"/>
      <c r="G852" s="19" t="str">
        <f aca="true">IF(F852="", "", DATEDIF(F852, TODAY(), "Y"))</f>
        <v/>
      </c>
      <c r="H852" s="18"/>
      <c r="I852" s="18"/>
      <c r="J852" s="19" t="str">
        <f aca="true">IF(ISBLANK(H852), "", I852-TODAY())</f>
        <v/>
      </c>
      <c r="K852" s="19" t="str">
        <f aca="false" t="array" ref="K852:K852">IF(A852&lt;&gt;"",IF(COUNTIF(A853:A$996,"&lt;&gt;")=0,COUNTA(B852:B$996),IFERROR(MATCH(TRUE(),INDEX((A853:A$996&lt;&gt;""),0),0),COUNTA(B852:B$996))),"")</f>
        <v/>
      </c>
      <c r="L852" s="20"/>
    </row>
    <row r="853" customFormat="false" ht="13.8" hidden="false" customHeight="false" outlineLevel="0" collapsed="false">
      <c r="A853" s="16"/>
      <c r="B853" s="16"/>
      <c r="C853" s="17"/>
      <c r="D853" s="17"/>
      <c r="E853" s="17"/>
      <c r="F853" s="18"/>
      <c r="G853" s="19" t="str">
        <f aca="true">IF(F853="", "", DATEDIF(F853, TODAY(), "Y"))</f>
        <v/>
      </c>
      <c r="H853" s="18"/>
      <c r="I853" s="18"/>
      <c r="J853" s="19" t="str">
        <f aca="true">IF(ISBLANK(H853), "", I853-TODAY())</f>
        <v/>
      </c>
      <c r="K853" s="19" t="str">
        <f aca="false" t="array" ref="K853:K853">IF(A853&lt;&gt;"",IF(COUNTIF(A854:A$996,"&lt;&gt;")=0,COUNTA(B853:B$996),IFERROR(MATCH(TRUE(),INDEX((A854:A$996&lt;&gt;""),0),0),COUNTA(B853:B$996))),"")</f>
        <v/>
      </c>
      <c r="L853" s="20"/>
    </row>
    <row r="854" customFormat="false" ht="13.8" hidden="false" customHeight="false" outlineLevel="0" collapsed="false">
      <c r="A854" s="16"/>
      <c r="B854" s="16"/>
      <c r="C854" s="17"/>
      <c r="D854" s="17"/>
      <c r="E854" s="17"/>
      <c r="F854" s="18"/>
      <c r="G854" s="19" t="str">
        <f aca="true">IF(F854="", "", DATEDIF(F854, TODAY(), "Y"))</f>
        <v/>
      </c>
      <c r="H854" s="18"/>
      <c r="I854" s="18"/>
      <c r="J854" s="19" t="str">
        <f aca="true">IF(ISBLANK(H854), "", I854-TODAY())</f>
        <v/>
      </c>
      <c r="K854" s="19" t="str">
        <f aca="false" t="array" ref="K854:K854">IF(A854&lt;&gt;"",IF(COUNTIF(A855:A$996,"&lt;&gt;")=0,COUNTA(B854:B$996),IFERROR(MATCH(TRUE(),INDEX((A855:A$996&lt;&gt;""),0),0),COUNTA(B854:B$996))),"")</f>
        <v/>
      </c>
      <c r="L854" s="20"/>
    </row>
    <row r="855" customFormat="false" ht="13.8" hidden="false" customHeight="false" outlineLevel="0" collapsed="false">
      <c r="A855" s="16"/>
      <c r="B855" s="16"/>
      <c r="C855" s="17"/>
      <c r="D855" s="17"/>
      <c r="E855" s="17"/>
      <c r="F855" s="18"/>
      <c r="G855" s="19" t="str">
        <f aca="true">IF(F855="", "", DATEDIF(F855, TODAY(), "Y"))</f>
        <v/>
      </c>
      <c r="H855" s="18"/>
      <c r="I855" s="18"/>
      <c r="J855" s="19" t="str">
        <f aca="true">IF(ISBLANK(H855), "", I855-TODAY())</f>
        <v/>
      </c>
      <c r="K855" s="19" t="str">
        <f aca="false" t="array" ref="K855:K855">IF(A855&lt;&gt;"",IF(COUNTIF(A856:A$996,"&lt;&gt;")=0,COUNTA(B855:B$996),IFERROR(MATCH(TRUE(),INDEX((A856:A$996&lt;&gt;""),0),0),COUNTA(B855:B$996))),"")</f>
        <v/>
      </c>
      <c r="L855" s="20"/>
    </row>
    <row r="856" customFormat="false" ht="13.8" hidden="false" customHeight="false" outlineLevel="0" collapsed="false">
      <c r="A856" s="16"/>
      <c r="B856" s="16"/>
      <c r="C856" s="17"/>
      <c r="D856" s="17"/>
      <c r="E856" s="17"/>
      <c r="F856" s="18"/>
      <c r="G856" s="19" t="str">
        <f aca="true">IF(F856="", "", DATEDIF(F856, TODAY(), "Y"))</f>
        <v/>
      </c>
      <c r="H856" s="18"/>
      <c r="I856" s="18"/>
      <c r="J856" s="19" t="str">
        <f aca="true">IF(ISBLANK(H856), "", I856-TODAY())</f>
        <v/>
      </c>
      <c r="K856" s="19" t="str">
        <f aca="false" t="array" ref="K856:K856">IF(A856&lt;&gt;"",IF(COUNTIF(A857:A$996,"&lt;&gt;")=0,COUNTA(B856:B$996),IFERROR(MATCH(TRUE(),INDEX((A857:A$996&lt;&gt;""),0),0),COUNTA(B856:B$996))),"")</f>
        <v/>
      </c>
      <c r="L856" s="20"/>
    </row>
    <row r="857" customFormat="false" ht="13.8" hidden="false" customHeight="false" outlineLevel="0" collapsed="false">
      <c r="A857" s="16"/>
      <c r="B857" s="16"/>
      <c r="C857" s="17"/>
      <c r="D857" s="17"/>
      <c r="E857" s="17"/>
      <c r="F857" s="18"/>
      <c r="G857" s="19" t="str">
        <f aca="true">IF(F857="", "", DATEDIF(F857, TODAY(), "Y"))</f>
        <v/>
      </c>
      <c r="H857" s="18"/>
      <c r="I857" s="18"/>
      <c r="J857" s="19" t="str">
        <f aca="true">IF(ISBLANK(H857), "", I857-TODAY())</f>
        <v/>
      </c>
      <c r="K857" s="19" t="str">
        <f aca="false" t="array" ref="K857:K857">IF(A857&lt;&gt;"",IF(COUNTIF(A858:A$996,"&lt;&gt;")=0,COUNTA(B857:B$996),IFERROR(MATCH(TRUE(),INDEX((A858:A$996&lt;&gt;""),0),0),COUNTA(B857:B$996))),"")</f>
        <v/>
      </c>
      <c r="L857" s="20"/>
    </row>
    <row r="858" customFormat="false" ht="13.8" hidden="false" customHeight="false" outlineLevel="0" collapsed="false">
      <c r="A858" s="16"/>
      <c r="B858" s="16"/>
      <c r="C858" s="17"/>
      <c r="D858" s="17"/>
      <c r="E858" s="17"/>
      <c r="F858" s="18"/>
      <c r="G858" s="19" t="str">
        <f aca="true">IF(F858="", "", DATEDIF(F858, TODAY(), "Y"))</f>
        <v/>
      </c>
      <c r="H858" s="18"/>
      <c r="I858" s="18"/>
      <c r="J858" s="19" t="str">
        <f aca="true">IF(ISBLANK(H858), "", I858-TODAY())</f>
        <v/>
      </c>
      <c r="K858" s="19" t="str">
        <f aca="false" t="array" ref="K858:K858">IF(A858&lt;&gt;"",IF(COUNTIF(A859:A$996,"&lt;&gt;")=0,COUNTA(B858:B$996),IFERROR(MATCH(TRUE(),INDEX((A859:A$996&lt;&gt;""),0),0),COUNTA(B858:B$996))),"")</f>
        <v/>
      </c>
      <c r="L858" s="20"/>
    </row>
    <row r="859" customFormat="false" ht="13.8" hidden="false" customHeight="false" outlineLevel="0" collapsed="false">
      <c r="A859" s="16"/>
      <c r="B859" s="16"/>
      <c r="C859" s="17"/>
      <c r="D859" s="17"/>
      <c r="E859" s="17"/>
      <c r="F859" s="18"/>
      <c r="G859" s="19" t="str">
        <f aca="true">IF(F859="", "", DATEDIF(F859, TODAY(), "Y"))</f>
        <v/>
      </c>
      <c r="H859" s="18"/>
      <c r="I859" s="18"/>
      <c r="J859" s="19" t="str">
        <f aca="true">IF(ISBLANK(H859), "", I859-TODAY())</f>
        <v/>
      </c>
      <c r="K859" s="19" t="str">
        <f aca="false" t="array" ref="K859:K859">IF(A859&lt;&gt;"",IF(COUNTIF(A860:A$996,"&lt;&gt;")=0,COUNTA(B859:B$996),IFERROR(MATCH(TRUE(),INDEX((A860:A$996&lt;&gt;""),0),0),COUNTA(B859:B$996))),"")</f>
        <v/>
      </c>
      <c r="L859" s="20"/>
    </row>
    <row r="860" customFormat="false" ht="13.8" hidden="false" customHeight="false" outlineLevel="0" collapsed="false">
      <c r="A860" s="16"/>
      <c r="B860" s="16"/>
      <c r="C860" s="17"/>
      <c r="D860" s="17"/>
      <c r="E860" s="17"/>
      <c r="F860" s="18"/>
      <c r="G860" s="19" t="str">
        <f aca="true">IF(F860="", "", DATEDIF(F860, TODAY(), "Y"))</f>
        <v/>
      </c>
      <c r="H860" s="18"/>
      <c r="I860" s="18"/>
      <c r="J860" s="19" t="str">
        <f aca="true">IF(ISBLANK(H860), "", I860-TODAY())</f>
        <v/>
      </c>
      <c r="K860" s="19" t="str">
        <f aca="false" t="array" ref="K860:K860">IF(A860&lt;&gt;"",IF(COUNTIF(A861:A$996,"&lt;&gt;")=0,COUNTA(B860:B$996),IFERROR(MATCH(TRUE(),INDEX((A861:A$996&lt;&gt;""),0),0),COUNTA(B860:B$996))),"")</f>
        <v/>
      </c>
      <c r="L860" s="20"/>
    </row>
    <row r="861" customFormat="false" ht="13.8" hidden="false" customHeight="false" outlineLevel="0" collapsed="false">
      <c r="A861" s="16"/>
      <c r="B861" s="16"/>
      <c r="C861" s="17"/>
      <c r="D861" s="17"/>
      <c r="E861" s="17"/>
      <c r="F861" s="18"/>
      <c r="G861" s="19" t="str">
        <f aca="true">IF(F861="", "", DATEDIF(F861, TODAY(), "Y"))</f>
        <v/>
      </c>
      <c r="H861" s="18"/>
      <c r="I861" s="18"/>
      <c r="J861" s="19" t="str">
        <f aca="true">IF(ISBLANK(H861), "", I861-TODAY())</f>
        <v/>
      </c>
      <c r="K861" s="19" t="str">
        <f aca="false" t="array" ref="K861:K861">IF(A861&lt;&gt;"",IF(COUNTIF(A862:A$996,"&lt;&gt;")=0,COUNTA(B861:B$996),IFERROR(MATCH(TRUE(),INDEX((A862:A$996&lt;&gt;""),0),0),COUNTA(B861:B$996))),"")</f>
        <v/>
      </c>
      <c r="L861" s="20"/>
    </row>
    <row r="862" customFormat="false" ht="13.8" hidden="false" customHeight="false" outlineLevel="0" collapsed="false">
      <c r="A862" s="16"/>
      <c r="B862" s="16"/>
      <c r="C862" s="17"/>
      <c r="D862" s="17"/>
      <c r="E862" s="17"/>
      <c r="F862" s="18"/>
      <c r="G862" s="19" t="str">
        <f aca="true">IF(F862="", "", DATEDIF(F862, TODAY(), "Y"))</f>
        <v/>
      </c>
      <c r="H862" s="18"/>
      <c r="I862" s="18"/>
      <c r="J862" s="19" t="str">
        <f aca="true">IF(ISBLANK(H862), "", I862-TODAY())</f>
        <v/>
      </c>
      <c r="K862" s="19" t="str">
        <f aca="false" t="array" ref="K862:K862">IF(A862&lt;&gt;"",IF(COUNTIF(A863:A$996,"&lt;&gt;")=0,COUNTA(B862:B$996),IFERROR(MATCH(TRUE(),INDEX((A863:A$996&lt;&gt;""),0),0),COUNTA(B862:B$996))),"")</f>
        <v/>
      </c>
      <c r="L862" s="20"/>
    </row>
    <row r="863" customFormat="false" ht="13.8" hidden="false" customHeight="false" outlineLevel="0" collapsed="false">
      <c r="A863" s="16"/>
      <c r="B863" s="16"/>
      <c r="C863" s="17"/>
      <c r="D863" s="17"/>
      <c r="E863" s="17"/>
      <c r="F863" s="18"/>
      <c r="G863" s="19" t="str">
        <f aca="true">IF(F863="", "", DATEDIF(F863, TODAY(), "Y"))</f>
        <v/>
      </c>
      <c r="H863" s="18"/>
      <c r="I863" s="18"/>
      <c r="J863" s="19" t="str">
        <f aca="true">IF(ISBLANK(H863), "", I863-TODAY())</f>
        <v/>
      </c>
      <c r="K863" s="19" t="str">
        <f aca="false" t="array" ref="K863:K863">IF(A863&lt;&gt;"",IF(COUNTIF(A864:A$996,"&lt;&gt;")=0,COUNTA(B863:B$996),IFERROR(MATCH(TRUE(),INDEX((A864:A$996&lt;&gt;""),0),0),COUNTA(B863:B$996))),"")</f>
        <v/>
      </c>
      <c r="L863" s="20"/>
    </row>
    <row r="864" customFormat="false" ht="13.8" hidden="false" customHeight="false" outlineLevel="0" collapsed="false">
      <c r="A864" s="16"/>
      <c r="B864" s="16"/>
      <c r="C864" s="17"/>
      <c r="D864" s="17"/>
      <c r="E864" s="17"/>
      <c r="F864" s="18"/>
      <c r="G864" s="19" t="str">
        <f aca="true">IF(F864="", "", DATEDIF(F864, TODAY(), "Y"))</f>
        <v/>
      </c>
      <c r="H864" s="18"/>
      <c r="I864" s="18"/>
      <c r="J864" s="19" t="str">
        <f aca="true">IF(ISBLANK(H864), "", I864-TODAY())</f>
        <v/>
      </c>
      <c r="K864" s="19" t="str">
        <f aca="false" t="array" ref="K864:K864">IF(A864&lt;&gt;"",IF(COUNTIF(A865:A$996,"&lt;&gt;")=0,COUNTA(B864:B$996),IFERROR(MATCH(TRUE(),INDEX((A865:A$996&lt;&gt;""),0),0),COUNTA(B864:B$996))),"")</f>
        <v/>
      </c>
      <c r="L864" s="20"/>
    </row>
    <row r="865" customFormat="false" ht="13.8" hidden="false" customHeight="false" outlineLevel="0" collapsed="false">
      <c r="A865" s="16"/>
      <c r="B865" s="16"/>
      <c r="C865" s="17"/>
      <c r="D865" s="17"/>
      <c r="E865" s="17"/>
      <c r="F865" s="18"/>
      <c r="G865" s="19" t="str">
        <f aca="true">IF(F865="", "", DATEDIF(F865, TODAY(), "Y"))</f>
        <v/>
      </c>
      <c r="H865" s="18"/>
      <c r="I865" s="18"/>
      <c r="J865" s="19" t="str">
        <f aca="true">IF(ISBLANK(H865), "", I865-TODAY())</f>
        <v/>
      </c>
      <c r="K865" s="19" t="str">
        <f aca="false" t="array" ref="K865:K865">IF(A865&lt;&gt;"",IF(COUNTIF(A866:A$996,"&lt;&gt;")=0,COUNTA(B865:B$996),IFERROR(MATCH(TRUE(),INDEX((A866:A$996&lt;&gt;""),0),0),COUNTA(B865:B$996))),"")</f>
        <v/>
      </c>
      <c r="L865" s="20"/>
    </row>
    <row r="866" customFormat="false" ht="13.8" hidden="false" customHeight="false" outlineLevel="0" collapsed="false">
      <c r="A866" s="16"/>
      <c r="B866" s="16"/>
      <c r="C866" s="17"/>
      <c r="D866" s="17"/>
      <c r="E866" s="17"/>
      <c r="F866" s="18"/>
      <c r="G866" s="19" t="str">
        <f aca="true">IF(F866="", "", DATEDIF(F866, TODAY(), "Y"))</f>
        <v/>
      </c>
      <c r="H866" s="18"/>
      <c r="I866" s="18"/>
      <c r="J866" s="19" t="str">
        <f aca="true">IF(ISBLANK(H866), "", I866-TODAY())</f>
        <v/>
      </c>
      <c r="K866" s="19" t="str">
        <f aca="false" t="array" ref="K866:K866">IF(A866&lt;&gt;"",IF(COUNTIF(A867:A$996,"&lt;&gt;")=0,COUNTA(B866:B$996),IFERROR(MATCH(TRUE(),INDEX((A867:A$996&lt;&gt;""),0),0),COUNTA(B866:B$996))),"")</f>
        <v/>
      </c>
      <c r="L866" s="20"/>
    </row>
    <row r="867" customFormat="false" ht="13.8" hidden="false" customHeight="false" outlineLevel="0" collapsed="false">
      <c r="A867" s="16"/>
      <c r="B867" s="16"/>
      <c r="C867" s="17"/>
      <c r="D867" s="17"/>
      <c r="E867" s="17"/>
      <c r="F867" s="18"/>
      <c r="G867" s="19" t="str">
        <f aca="true">IF(F867="", "", DATEDIF(F867, TODAY(), "Y"))</f>
        <v/>
      </c>
      <c r="H867" s="18"/>
      <c r="I867" s="18"/>
      <c r="J867" s="19" t="str">
        <f aca="true">IF(ISBLANK(H867), "", I867-TODAY())</f>
        <v/>
      </c>
      <c r="K867" s="19" t="str">
        <f aca="false" t="array" ref="K867:K867">IF(A867&lt;&gt;"",IF(COUNTIF(A868:A$996,"&lt;&gt;")=0,COUNTA(B867:B$996),IFERROR(MATCH(TRUE(),INDEX((A868:A$996&lt;&gt;""),0),0),COUNTA(B867:B$996))),"")</f>
        <v/>
      </c>
      <c r="L867" s="20"/>
    </row>
    <row r="868" customFormat="false" ht="13.8" hidden="false" customHeight="false" outlineLevel="0" collapsed="false">
      <c r="A868" s="16"/>
      <c r="B868" s="16"/>
      <c r="C868" s="17"/>
      <c r="D868" s="17"/>
      <c r="E868" s="17"/>
      <c r="F868" s="18"/>
      <c r="G868" s="19" t="str">
        <f aca="true">IF(F868="", "", DATEDIF(F868, TODAY(), "Y"))</f>
        <v/>
      </c>
      <c r="H868" s="18"/>
      <c r="I868" s="18"/>
      <c r="J868" s="19" t="str">
        <f aca="true">IF(ISBLANK(H868), "", I868-TODAY())</f>
        <v/>
      </c>
      <c r="K868" s="19" t="str">
        <f aca="false" t="array" ref="K868:K868">IF(A868&lt;&gt;"",IF(COUNTIF(A869:A$996,"&lt;&gt;")=0,COUNTA(B868:B$996),IFERROR(MATCH(TRUE(),INDEX((A869:A$996&lt;&gt;""),0),0),COUNTA(B868:B$996))),"")</f>
        <v/>
      </c>
      <c r="L868" s="20"/>
    </row>
    <row r="869" customFormat="false" ht="13.8" hidden="false" customHeight="false" outlineLevel="0" collapsed="false">
      <c r="A869" s="16"/>
      <c r="B869" s="16"/>
      <c r="C869" s="17"/>
      <c r="D869" s="17"/>
      <c r="E869" s="17"/>
      <c r="F869" s="18"/>
      <c r="G869" s="19" t="str">
        <f aca="true">IF(F869="", "", DATEDIF(F869, TODAY(), "Y"))</f>
        <v/>
      </c>
      <c r="H869" s="18"/>
      <c r="I869" s="18"/>
      <c r="J869" s="19" t="str">
        <f aca="true">IF(ISBLANK(H869), "", I869-TODAY())</f>
        <v/>
      </c>
      <c r="K869" s="19" t="str">
        <f aca="false" t="array" ref="K869:K869">IF(A869&lt;&gt;"",IF(COUNTIF(A870:A$996,"&lt;&gt;")=0,COUNTA(B869:B$996),IFERROR(MATCH(TRUE(),INDEX((A870:A$996&lt;&gt;""),0),0),COUNTA(B869:B$996))),"")</f>
        <v/>
      </c>
      <c r="L869" s="20"/>
    </row>
    <row r="870" customFormat="false" ht="13.8" hidden="false" customHeight="false" outlineLevel="0" collapsed="false">
      <c r="A870" s="16"/>
      <c r="B870" s="16"/>
      <c r="C870" s="17"/>
      <c r="D870" s="17"/>
      <c r="E870" s="17"/>
      <c r="F870" s="18"/>
      <c r="G870" s="19" t="str">
        <f aca="true">IF(F870="", "", DATEDIF(F870, TODAY(), "Y"))</f>
        <v/>
      </c>
      <c r="H870" s="18"/>
      <c r="I870" s="18"/>
      <c r="J870" s="19" t="str">
        <f aca="true">IF(ISBLANK(H870), "", I870-TODAY())</f>
        <v/>
      </c>
      <c r="K870" s="19" t="str">
        <f aca="false" t="array" ref="K870:K870">IF(A870&lt;&gt;"",IF(COUNTIF(A871:A$996,"&lt;&gt;")=0,COUNTA(B870:B$996),IFERROR(MATCH(TRUE(),INDEX((A871:A$996&lt;&gt;""),0),0),COUNTA(B870:B$996))),"")</f>
        <v/>
      </c>
      <c r="L870" s="20"/>
    </row>
    <row r="871" customFormat="false" ht="13.8" hidden="false" customHeight="false" outlineLevel="0" collapsed="false">
      <c r="A871" s="16"/>
      <c r="B871" s="16"/>
      <c r="C871" s="17"/>
      <c r="D871" s="17"/>
      <c r="E871" s="17"/>
      <c r="F871" s="18"/>
      <c r="G871" s="19" t="str">
        <f aca="true">IF(F871="", "", DATEDIF(F871, TODAY(), "Y"))</f>
        <v/>
      </c>
      <c r="H871" s="18"/>
      <c r="I871" s="18"/>
      <c r="J871" s="19" t="str">
        <f aca="true">IF(ISBLANK(H871), "", I871-TODAY())</f>
        <v/>
      </c>
      <c r="K871" s="19" t="str">
        <f aca="false" t="array" ref="K871:K871">IF(A871&lt;&gt;"",IF(COUNTIF(A872:A$996,"&lt;&gt;")=0,COUNTA(B871:B$996),IFERROR(MATCH(TRUE(),INDEX((A872:A$996&lt;&gt;""),0),0),COUNTA(B871:B$996))),"")</f>
        <v/>
      </c>
      <c r="L871" s="20"/>
    </row>
    <row r="872" customFormat="false" ht="13.8" hidden="false" customHeight="false" outlineLevel="0" collapsed="false">
      <c r="A872" s="16"/>
      <c r="B872" s="16"/>
      <c r="C872" s="17"/>
      <c r="D872" s="17"/>
      <c r="E872" s="17"/>
      <c r="F872" s="18"/>
      <c r="G872" s="19" t="str">
        <f aca="true">IF(F872="", "", DATEDIF(F872, TODAY(), "Y"))</f>
        <v/>
      </c>
      <c r="H872" s="18"/>
      <c r="I872" s="18"/>
      <c r="J872" s="19" t="str">
        <f aca="true">IF(ISBLANK(H872), "", I872-TODAY())</f>
        <v/>
      </c>
      <c r="K872" s="19" t="str">
        <f aca="false" t="array" ref="K872:K872">IF(A872&lt;&gt;"",IF(COUNTIF(A873:A$996,"&lt;&gt;")=0,COUNTA(B872:B$996),IFERROR(MATCH(TRUE(),INDEX((A873:A$996&lt;&gt;""),0),0),COUNTA(B872:B$996))),"")</f>
        <v/>
      </c>
      <c r="L872" s="20"/>
    </row>
    <row r="873" customFormat="false" ht="13.8" hidden="false" customHeight="false" outlineLevel="0" collapsed="false">
      <c r="A873" s="16"/>
      <c r="B873" s="16"/>
      <c r="C873" s="17"/>
      <c r="D873" s="17"/>
      <c r="E873" s="17"/>
      <c r="F873" s="18"/>
      <c r="G873" s="19" t="str">
        <f aca="true">IF(F873="", "", DATEDIF(F873, TODAY(), "Y"))</f>
        <v/>
      </c>
      <c r="H873" s="18"/>
      <c r="I873" s="18"/>
      <c r="J873" s="19" t="str">
        <f aca="true">IF(ISBLANK(H873), "", I873-TODAY())</f>
        <v/>
      </c>
      <c r="K873" s="19" t="str">
        <f aca="false" t="array" ref="K873:K873">IF(A873&lt;&gt;"",IF(COUNTIF(A874:A$996,"&lt;&gt;")=0,COUNTA(B873:B$996),IFERROR(MATCH(TRUE(),INDEX((A874:A$996&lt;&gt;""),0),0),COUNTA(B873:B$996))),"")</f>
        <v/>
      </c>
      <c r="L873" s="20"/>
    </row>
    <row r="874" customFormat="false" ht="13.8" hidden="false" customHeight="false" outlineLevel="0" collapsed="false">
      <c r="A874" s="16"/>
      <c r="B874" s="16"/>
      <c r="C874" s="17"/>
      <c r="D874" s="17"/>
      <c r="E874" s="17"/>
      <c r="F874" s="18"/>
      <c r="G874" s="19" t="str">
        <f aca="true">IF(F874="", "", DATEDIF(F874, TODAY(), "Y"))</f>
        <v/>
      </c>
      <c r="H874" s="18"/>
      <c r="I874" s="18"/>
      <c r="J874" s="19" t="str">
        <f aca="true">IF(ISBLANK(H874), "", I874-TODAY())</f>
        <v/>
      </c>
      <c r="K874" s="19" t="str">
        <f aca="false" t="array" ref="K874:K874">IF(A874&lt;&gt;"",IF(COUNTIF(A875:A$996,"&lt;&gt;")=0,COUNTA(B874:B$996),IFERROR(MATCH(TRUE(),INDEX((A875:A$996&lt;&gt;""),0),0),COUNTA(B874:B$996))),"")</f>
        <v/>
      </c>
      <c r="L874" s="20"/>
    </row>
    <row r="875" customFormat="false" ht="13.8" hidden="false" customHeight="false" outlineLevel="0" collapsed="false">
      <c r="A875" s="16"/>
      <c r="B875" s="16"/>
      <c r="C875" s="17"/>
      <c r="D875" s="17"/>
      <c r="E875" s="17"/>
      <c r="F875" s="18"/>
      <c r="G875" s="19" t="str">
        <f aca="true">IF(F875="", "", DATEDIF(F875, TODAY(), "Y"))</f>
        <v/>
      </c>
      <c r="H875" s="18"/>
      <c r="I875" s="18"/>
      <c r="J875" s="19" t="str">
        <f aca="true">IF(ISBLANK(H875), "", I875-TODAY())</f>
        <v/>
      </c>
      <c r="K875" s="19" t="str">
        <f aca="false" t="array" ref="K875:K875">IF(A875&lt;&gt;"",IF(COUNTIF(A876:A$996,"&lt;&gt;")=0,COUNTA(B875:B$996),IFERROR(MATCH(TRUE(),INDEX((A876:A$996&lt;&gt;""),0),0),COUNTA(B875:B$996))),"")</f>
        <v/>
      </c>
      <c r="L875" s="20"/>
    </row>
    <row r="876" customFormat="false" ht="13.8" hidden="false" customHeight="false" outlineLevel="0" collapsed="false">
      <c r="A876" s="16"/>
      <c r="B876" s="16"/>
      <c r="C876" s="17"/>
      <c r="D876" s="17"/>
      <c r="E876" s="17"/>
      <c r="F876" s="18"/>
      <c r="G876" s="19" t="str">
        <f aca="true">IF(F876="", "", DATEDIF(F876, TODAY(), "Y"))</f>
        <v/>
      </c>
      <c r="H876" s="18"/>
      <c r="I876" s="18"/>
      <c r="J876" s="19" t="str">
        <f aca="true">IF(ISBLANK(H876), "", I876-TODAY())</f>
        <v/>
      </c>
      <c r="K876" s="19" t="str">
        <f aca="false" t="array" ref="K876:K876">IF(A876&lt;&gt;"",IF(COUNTIF(A877:A$996,"&lt;&gt;")=0,COUNTA(B876:B$996),IFERROR(MATCH(TRUE(),INDEX((A877:A$996&lt;&gt;""),0),0),COUNTA(B876:B$996))),"")</f>
        <v/>
      </c>
      <c r="L876" s="20"/>
    </row>
    <row r="877" customFormat="false" ht="13.8" hidden="false" customHeight="false" outlineLevel="0" collapsed="false">
      <c r="A877" s="16"/>
      <c r="B877" s="16"/>
      <c r="C877" s="17"/>
      <c r="D877" s="17"/>
      <c r="E877" s="17"/>
      <c r="F877" s="18"/>
      <c r="G877" s="19" t="str">
        <f aca="true">IF(F877="", "", DATEDIF(F877, TODAY(), "Y"))</f>
        <v/>
      </c>
      <c r="H877" s="18"/>
      <c r="I877" s="18"/>
      <c r="J877" s="19" t="str">
        <f aca="true">IF(ISBLANK(H877), "", I877-TODAY())</f>
        <v/>
      </c>
      <c r="K877" s="19" t="str">
        <f aca="false" t="array" ref="K877:K877">IF(A877&lt;&gt;"",IF(COUNTIF(A878:A$996,"&lt;&gt;")=0,COUNTA(B877:B$996),IFERROR(MATCH(TRUE(),INDEX((A878:A$996&lt;&gt;""),0),0),COUNTA(B877:B$996))),"")</f>
        <v/>
      </c>
      <c r="L877" s="20"/>
    </row>
    <row r="878" customFormat="false" ht="13.8" hidden="false" customHeight="false" outlineLevel="0" collapsed="false">
      <c r="A878" s="16"/>
      <c r="B878" s="16"/>
      <c r="C878" s="17"/>
      <c r="D878" s="17"/>
      <c r="E878" s="17"/>
      <c r="F878" s="18"/>
      <c r="G878" s="19" t="str">
        <f aca="true">IF(F878="", "", DATEDIF(F878, TODAY(), "Y"))</f>
        <v/>
      </c>
      <c r="H878" s="18"/>
      <c r="I878" s="18"/>
      <c r="J878" s="19" t="str">
        <f aca="true">IF(ISBLANK(H878), "", I878-TODAY())</f>
        <v/>
      </c>
      <c r="K878" s="19" t="str">
        <f aca="false" t="array" ref="K878:K878">IF(A878&lt;&gt;"",IF(COUNTIF(A879:A$996,"&lt;&gt;")=0,COUNTA(B878:B$996),IFERROR(MATCH(TRUE(),INDEX((A879:A$996&lt;&gt;""),0),0),COUNTA(B878:B$996))),"")</f>
        <v/>
      </c>
      <c r="L878" s="20"/>
    </row>
    <row r="879" customFormat="false" ht="13.8" hidden="false" customHeight="false" outlineLevel="0" collapsed="false">
      <c r="A879" s="16"/>
      <c r="B879" s="16"/>
      <c r="C879" s="17"/>
      <c r="D879" s="17"/>
      <c r="E879" s="17"/>
      <c r="F879" s="18"/>
      <c r="G879" s="19" t="str">
        <f aca="true">IF(F879="", "", DATEDIF(F879, TODAY(), "Y"))</f>
        <v/>
      </c>
      <c r="H879" s="18"/>
      <c r="I879" s="18"/>
      <c r="J879" s="19" t="str">
        <f aca="true">IF(ISBLANK(H879), "", I879-TODAY())</f>
        <v/>
      </c>
      <c r="K879" s="19" t="str">
        <f aca="false" t="array" ref="K879:K879">IF(A879&lt;&gt;"",IF(COUNTIF(A880:A$996,"&lt;&gt;")=0,COUNTA(B879:B$996),IFERROR(MATCH(TRUE(),INDEX((A880:A$996&lt;&gt;""),0),0),COUNTA(B879:B$996))),"")</f>
        <v/>
      </c>
      <c r="L879" s="20"/>
    </row>
    <row r="880" customFormat="false" ht="13.8" hidden="false" customHeight="false" outlineLevel="0" collapsed="false">
      <c r="A880" s="16"/>
      <c r="B880" s="16"/>
      <c r="C880" s="17"/>
      <c r="D880" s="17"/>
      <c r="E880" s="17"/>
      <c r="F880" s="18"/>
      <c r="G880" s="19" t="str">
        <f aca="true">IF(F880="", "", DATEDIF(F880, TODAY(), "Y"))</f>
        <v/>
      </c>
      <c r="H880" s="18"/>
      <c r="I880" s="18"/>
      <c r="J880" s="19" t="str">
        <f aca="true">IF(ISBLANK(H880), "", I880-TODAY())</f>
        <v/>
      </c>
      <c r="K880" s="19" t="str">
        <f aca="false" t="array" ref="K880:K880">IF(A880&lt;&gt;"",IF(COUNTIF(A881:A$996,"&lt;&gt;")=0,COUNTA(B880:B$996),IFERROR(MATCH(TRUE(),INDEX((A881:A$996&lt;&gt;""),0),0),COUNTA(B880:B$996))),"")</f>
        <v/>
      </c>
      <c r="L880" s="20"/>
    </row>
    <row r="881" customFormat="false" ht="13.8" hidden="false" customHeight="false" outlineLevel="0" collapsed="false">
      <c r="A881" s="16"/>
      <c r="B881" s="16"/>
      <c r="C881" s="17"/>
      <c r="D881" s="17"/>
      <c r="E881" s="17"/>
      <c r="F881" s="18"/>
      <c r="G881" s="19" t="str">
        <f aca="true">IF(F881="", "", DATEDIF(F881, TODAY(), "Y"))</f>
        <v/>
      </c>
      <c r="H881" s="18"/>
      <c r="I881" s="18"/>
      <c r="J881" s="19" t="str">
        <f aca="true">IF(ISBLANK(H881), "", I881-TODAY())</f>
        <v/>
      </c>
      <c r="K881" s="19" t="str">
        <f aca="false" t="array" ref="K881:K881">IF(A881&lt;&gt;"",IF(COUNTIF(A882:A$996,"&lt;&gt;")=0,COUNTA(B881:B$996),IFERROR(MATCH(TRUE(),INDEX((A882:A$996&lt;&gt;""),0),0),COUNTA(B881:B$996))),"")</f>
        <v/>
      </c>
      <c r="L881" s="20"/>
    </row>
    <row r="882" customFormat="false" ht="13.8" hidden="false" customHeight="false" outlineLevel="0" collapsed="false">
      <c r="A882" s="16"/>
      <c r="B882" s="16"/>
      <c r="C882" s="17"/>
      <c r="D882" s="17"/>
      <c r="E882" s="17"/>
      <c r="F882" s="18"/>
      <c r="G882" s="19" t="str">
        <f aca="true">IF(F882="", "", DATEDIF(F882, TODAY(), "Y"))</f>
        <v/>
      </c>
      <c r="H882" s="18"/>
      <c r="I882" s="18"/>
      <c r="J882" s="19" t="str">
        <f aca="true">IF(ISBLANK(H882), "", I882-TODAY())</f>
        <v/>
      </c>
      <c r="K882" s="19" t="str">
        <f aca="false" t="array" ref="K882:K882">IF(A882&lt;&gt;"",IF(COUNTIF(A883:A$996,"&lt;&gt;")=0,COUNTA(B882:B$996),IFERROR(MATCH(TRUE(),INDEX((A883:A$996&lt;&gt;""),0),0),COUNTA(B882:B$996))),"")</f>
        <v/>
      </c>
      <c r="L882" s="20"/>
    </row>
    <row r="883" customFormat="false" ht="13.8" hidden="false" customHeight="false" outlineLevel="0" collapsed="false">
      <c r="A883" s="16"/>
      <c r="B883" s="16"/>
      <c r="C883" s="17"/>
      <c r="D883" s="17"/>
      <c r="E883" s="17"/>
      <c r="F883" s="18"/>
      <c r="G883" s="19" t="str">
        <f aca="true">IF(F883="", "", DATEDIF(F883, TODAY(), "Y"))</f>
        <v/>
      </c>
      <c r="H883" s="18"/>
      <c r="I883" s="18"/>
      <c r="J883" s="19" t="str">
        <f aca="true">IF(ISBLANK(H883), "", I883-TODAY())</f>
        <v/>
      </c>
      <c r="K883" s="19" t="str">
        <f aca="false" t="array" ref="K883:K883">IF(A883&lt;&gt;"",IF(COUNTIF(A884:A$996,"&lt;&gt;")=0,COUNTA(B883:B$996),IFERROR(MATCH(TRUE(),INDEX((A884:A$996&lt;&gt;""),0),0),COUNTA(B883:B$996))),"")</f>
        <v/>
      </c>
      <c r="L883" s="20"/>
    </row>
    <row r="884" customFormat="false" ht="13.8" hidden="false" customHeight="false" outlineLevel="0" collapsed="false">
      <c r="A884" s="16"/>
      <c r="B884" s="16"/>
      <c r="C884" s="17"/>
      <c r="D884" s="17"/>
      <c r="E884" s="17"/>
      <c r="F884" s="18"/>
      <c r="G884" s="19" t="str">
        <f aca="true">IF(F884="", "", DATEDIF(F884, TODAY(), "Y"))</f>
        <v/>
      </c>
      <c r="H884" s="18"/>
      <c r="I884" s="18"/>
      <c r="J884" s="19" t="str">
        <f aca="true">IF(ISBLANK(H884), "", I884-TODAY())</f>
        <v/>
      </c>
      <c r="K884" s="19" t="str">
        <f aca="false" t="array" ref="K884:K884">IF(A884&lt;&gt;"",IF(COUNTIF(A885:A$996,"&lt;&gt;")=0,COUNTA(B884:B$996),IFERROR(MATCH(TRUE(),INDEX((A885:A$996&lt;&gt;""),0),0),COUNTA(B884:B$996))),"")</f>
        <v/>
      </c>
      <c r="L884" s="20"/>
    </row>
    <row r="885" customFormat="false" ht="13.8" hidden="false" customHeight="false" outlineLevel="0" collapsed="false">
      <c r="A885" s="16"/>
      <c r="B885" s="16"/>
      <c r="C885" s="17"/>
      <c r="D885" s="17"/>
      <c r="E885" s="17"/>
      <c r="F885" s="18"/>
      <c r="G885" s="19" t="str">
        <f aca="true">IF(F885="", "", DATEDIF(F885, TODAY(), "Y"))</f>
        <v/>
      </c>
      <c r="H885" s="18"/>
      <c r="I885" s="18"/>
      <c r="J885" s="19" t="str">
        <f aca="true">IF(ISBLANK(H885), "", I885-TODAY())</f>
        <v/>
      </c>
      <c r="K885" s="19" t="str">
        <f aca="false" t="array" ref="K885:K885">IF(A885&lt;&gt;"",IF(COUNTIF(A886:A$996,"&lt;&gt;")=0,COUNTA(B885:B$996),IFERROR(MATCH(TRUE(),INDEX((A886:A$996&lt;&gt;""),0),0),COUNTA(B885:B$996))),"")</f>
        <v/>
      </c>
      <c r="L885" s="20"/>
    </row>
    <row r="886" customFormat="false" ht="13.8" hidden="false" customHeight="false" outlineLevel="0" collapsed="false">
      <c r="A886" s="16"/>
      <c r="B886" s="16"/>
      <c r="C886" s="17"/>
      <c r="D886" s="17"/>
      <c r="E886" s="17"/>
      <c r="F886" s="18"/>
      <c r="G886" s="19" t="str">
        <f aca="true">IF(F886="", "", DATEDIF(F886, TODAY(), "Y"))</f>
        <v/>
      </c>
      <c r="H886" s="18"/>
      <c r="I886" s="18"/>
      <c r="J886" s="19" t="str">
        <f aca="true">IF(ISBLANK(H886), "", I886-TODAY())</f>
        <v/>
      </c>
      <c r="K886" s="19" t="str">
        <f aca="false" t="array" ref="K886:K886">IF(A886&lt;&gt;"",IF(COUNTIF(A887:A$996,"&lt;&gt;")=0,COUNTA(B886:B$996),IFERROR(MATCH(TRUE(),INDEX((A887:A$996&lt;&gt;""),0),0),COUNTA(B886:B$996))),"")</f>
        <v/>
      </c>
      <c r="L886" s="20"/>
    </row>
    <row r="887" customFormat="false" ht="13.8" hidden="false" customHeight="false" outlineLevel="0" collapsed="false">
      <c r="A887" s="16"/>
      <c r="B887" s="16"/>
      <c r="C887" s="17"/>
      <c r="D887" s="17"/>
      <c r="E887" s="17"/>
      <c r="F887" s="18"/>
      <c r="G887" s="19" t="str">
        <f aca="true">IF(F887="", "", DATEDIF(F887, TODAY(), "Y"))</f>
        <v/>
      </c>
      <c r="H887" s="18"/>
      <c r="I887" s="18"/>
      <c r="J887" s="19" t="str">
        <f aca="true">IF(ISBLANK(H887), "", I887-TODAY())</f>
        <v/>
      </c>
      <c r="K887" s="19" t="str">
        <f aca="false" t="array" ref="K887:K887">IF(A887&lt;&gt;"",IF(COUNTIF(A888:A$996,"&lt;&gt;")=0,COUNTA(B887:B$996),IFERROR(MATCH(TRUE(),INDEX((A888:A$996&lt;&gt;""),0),0),COUNTA(B887:B$996))),"")</f>
        <v/>
      </c>
      <c r="L887" s="20"/>
    </row>
    <row r="888" customFormat="false" ht="13.8" hidden="false" customHeight="false" outlineLevel="0" collapsed="false">
      <c r="A888" s="16"/>
      <c r="B888" s="16"/>
      <c r="C888" s="17"/>
      <c r="D888" s="17"/>
      <c r="E888" s="17"/>
      <c r="F888" s="18"/>
      <c r="G888" s="19" t="str">
        <f aca="true">IF(F888="", "", DATEDIF(F888, TODAY(), "Y"))</f>
        <v/>
      </c>
      <c r="H888" s="18"/>
      <c r="I888" s="18"/>
      <c r="J888" s="19" t="str">
        <f aca="true">IF(ISBLANK(H888), "", I888-TODAY())</f>
        <v/>
      </c>
      <c r="K888" s="19" t="str">
        <f aca="false" t="array" ref="K888:K888">IF(A888&lt;&gt;"",IF(COUNTIF(A889:A$996,"&lt;&gt;")=0,COUNTA(B888:B$996),IFERROR(MATCH(TRUE(),INDEX((A889:A$996&lt;&gt;""),0),0),COUNTA(B888:B$996))),"")</f>
        <v/>
      </c>
      <c r="L888" s="20"/>
    </row>
    <row r="889" customFormat="false" ht="13.8" hidden="false" customHeight="false" outlineLevel="0" collapsed="false">
      <c r="A889" s="16"/>
      <c r="B889" s="16"/>
      <c r="C889" s="17"/>
      <c r="D889" s="17"/>
      <c r="E889" s="17"/>
      <c r="F889" s="18"/>
      <c r="G889" s="19" t="str">
        <f aca="true">IF(F889="", "", DATEDIF(F889, TODAY(), "Y"))</f>
        <v/>
      </c>
      <c r="H889" s="18"/>
      <c r="I889" s="18"/>
      <c r="J889" s="19" t="str">
        <f aca="true">IF(ISBLANK(H889), "", I889-TODAY())</f>
        <v/>
      </c>
      <c r="K889" s="19" t="str">
        <f aca="false" t="array" ref="K889:K889">IF(A889&lt;&gt;"",IF(COUNTIF(A890:A$996,"&lt;&gt;")=0,COUNTA(B889:B$996),IFERROR(MATCH(TRUE(),INDEX((A890:A$996&lt;&gt;""),0),0),COUNTA(B889:B$996))),"")</f>
        <v/>
      </c>
      <c r="L889" s="20"/>
    </row>
    <row r="890" customFormat="false" ht="13.8" hidden="false" customHeight="false" outlineLevel="0" collapsed="false">
      <c r="A890" s="16"/>
      <c r="B890" s="16"/>
      <c r="C890" s="17"/>
      <c r="D890" s="17"/>
      <c r="E890" s="17"/>
      <c r="F890" s="18"/>
      <c r="G890" s="19" t="str">
        <f aca="true">IF(F890="", "", DATEDIF(F890, TODAY(), "Y"))</f>
        <v/>
      </c>
      <c r="H890" s="18"/>
      <c r="I890" s="18"/>
      <c r="J890" s="19" t="str">
        <f aca="true">IF(ISBLANK(H890), "", I890-TODAY())</f>
        <v/>
      </c>
      <c r="K890" s="19" t="str">
        <f aca="false" t="array" ref="K890:K890">IF(A890&lt;&gt;"",IF(COUNTIF(A891:A$996,"&lt;&gt;")=0,COUNTA(B890:B$996),IFERROR(MATCH(TRUE(),INDEX((A891:A$996&lt;&gt;""),0),0),COUNTA(B890:B$996))),"")</f>
        <v/>
      </c>
      <c r="L890" s="20"/>
    </row>
    <row r="891" customFormat="false" ht="13.8" hidden="false" customHeight="false" outlineLevel="0" collapsed="false">
      <c r="A891" s="16"/>
      <c r="B891" s="16"/>
      <c r="C891" s="17"/>
      <c r="D891" s="17"/>
      <c r="E891" s="17"/>
      <c r="F891" s="18"/>
      <c r="G891" s="19" t="str">
        <f aca="true">IF(F891="", "", DATEDIF(F891, TODAY(), "Y"))</f>
        <v/>
      </c>
      <c r="H891" s="18"/>
      <c r="I891" s="18"/>
      <c r="J891" s="19" t="str">
        <f aca="true">IF(ISBLANK(H891), "", I891-TODAY())</f>
        <v/>
      </c>
      <c r="K891" s="19" t="str">
        <f aca="false" t="array" ref="K891:K891">IF(A891&lt;&gt;"",IF(COUNTIF(A892:A$996,"&lt;&gt;")=0,COUNTA(B891:B$996),IFERROR(MATCH(TRUE(),INDEX((A892:A$996&lt;&gt;""),0),0),COUNTA(B891:B$996))),"")</f>
        <v/>
      </c>
      <c r="L891" s="20"/>
    </row>
    <row r="892" customFormat="false" ht="13.8" hidden="false" customHeight="false" outlineLevel="0" collapsed="false">
      <c r="A892" s="16"/>
      <c r="B892" s="16"/>
      <c r="C892" s="17"/>
      <c r="D892" s="17"/>
      <c r="E892" s="17"/>
      <c r="F892" s="18"/>
      <c r="G892" s="19" t="str">
        <f aca="true">IF(F892="", "", DATEDIF(F892, TODAY(), "Y"))</f>
        <v/>
      </c>
      <c r="H892" s="18"/>
      <c r="I892" s="18"/>
      <c r="J892" s="19" t="str">
        <f aca="true">IF(ISBLANK(H892), "", I892-TODAY())</f>
        <v/>
      </c>
      <c r="K892" s="19" t="str">
        <f aca="false" t="array" ref="K892:K892">IF(A892&lt;&gt;"",IF(COUNTIF(A893:A$996,"&lt;&gt;")=0,COUNTA(B892:B$996),IFERROR(MATCH(TRUE(),INDEX((A893:A$996&lt;&gt;""),0),0),COUNTA(B892:B$996))),"")</f>
        <v/>
      </c>
      <c r="L892" s="20"/>
    </row>
    <row r="893" customFormat="false" ht="13.8" hidden="false" customHeight="false" outlineLevel="0" collapsed="false">
      <c r="A893" s="16"/>
      <c r="B893" s="16"/>
      <c r="C893" s="17"/>
      <c r="D893" s="17"/>
      <c r="E893" s="17"/>
      <c r="F893" s="18"/>
      <c r="G893" s="19" t="str">
        <f aca="true">IF(F893="", "", DATEDIF(F893, TODAY(), "Y"))</f>
        <v/>
      </c>
      <c r="H893" s="18"/>
      <c r="I893" s="18"/>
      <c r="J893" s="19" t="str">
        <f aca="true">IF(ISBLANK(H893), "", I893-TODAY())</f>
        <v/>
      </c>
      <c r="K893" s="19" t="str">
        <f aca="false" t="array" ref="K893:K893">IF(A893&lt;&gt;"",IF(COUNTIF(A894:A$996,"&lt;&gt;")=0,COUNTA(B893:B$996),IFERROR(MATCH(TRUE(),INDEX((A894:A$996&lt;&gt;""),0),0),COUNTA(B893:B$996))),"")</f>
        <v/>
      </c>
      <c r="L893" s="20"/>
    </row>
    <row r="894" customFormat="false" ht="13.8" hidden="false" customHeight="false" outlineLevel="0" collapsed="false">
      <c r="A894" s="16"/>
      <c r="B894" s="16"/>
      <c r="C894" s="17"/>
      <c r="D894" s="17"/>
      <c r="E894" s="17"/>
      <c r="F894" s="18"/>
      <c r="G894" s="19" t="str">
        <f aca="true">IF(F894="", "", DATEDIF(F894, TODAY(), "Y"))</f>
        <v/>
      </c>
      <c r="H894" s="18"/>
      <c r="I894" s="18"/>
      <c r="J894" s="19" t="str">
        <f aca="true">IF(ISBLANK(H894), "", I894-TODAY())</f>
        <v/>
      </c>
      <c r="K894" s="19" t="str">
        <f aca="false" t="array" ref="K894:K894">IF(A894&lt;&gt;"",IF(COUNTIF(A895:A$996,"&lt;&gt;")=0,COUNTA(B894:B$996),IFERROR(MATCH(TRUE(),INDEX((A895:A$996&lt;&gt;""),0),0),COUNTA(B894:B$996))),"")</f>
        <v/>
      </c>
      <c r="L894" s="20"/>
    </row>
    <row r="895" customFormat="false" ht="13.8" hidden="false" customHeight="false" outlineLevel="0" collapsed="false">
      <c r="A895" s="16"/>
      <c r="B895" s="16"/>
      <c r="C895" s="17"/>
      <c r="D895" s="17"/>
      <c r="E895" s="17"/>
      <c r="F895" s="18"/>
      <c r="G895" s="19" t="str">
        <f aca="true">IF(F895="", "", DATEDIF(F895, TODAY(), "Y"))</f>
        <v/>
      </c>
      <c r="H895" s="18"/>
      <c r="I895" s="18"/>
      <c r="J895" s="19" t="str">
        <f aca="true">IF(ISBLANK(H895), "", I895-TODAY())</f>
        <v/>
      </c>
      <c r="K895" s="19" t="str">
        <f aca="false" t="array" ref="K895:K895">IF(A895&lt;&gt;"",IF(COUNTIF(A896:A$996,"&lt;&gt;")=0,COUNTA(B895:B$996),IFERROR(MATCH(TRUE(),INDEX((A896:A$996&lt;&gt;""),0),0),COUNTA(B895:B$996))),"")</f>
        <v/>
      </c>
      <c r="L895" s="20"/>
    </row>
    <row r="896" customFormat="false" ht="13.8" hidden="false" customHeight="false" outlineLevel="0" collapsed="false">
      <c r="A896" s="16"/>
      <c r="B896" s="16"/>
      <c r="C896" s="17"/>
      <c r="D896" s="17"/>
      <c r="E896" s="17"/>
      <c r="F896" s="18"/>
      <c r="G896" s="19" t="str">
        <f aca="true">IF(F896="", "", DATEDIF(F896, TODAY(), "Y"))</f>
        <v/>
      </c>
      <c r="H896" s="18"/>
      <c r="I896" s="18"/>
      <c r="J896" s="19" t="str">
        <f aca="true">IF(ISBLANK(H896), "", I896-TODAY())</f>
        <v/>
      </c>
      <c r="K896" s="19" t="str">
        <f aca="false" t="array" ref="K896:K896">IF(A896&lt;&gt;"",IF(COUNTIF(A897:A$996,"&lt;&gt;")=0,COUNTA(B896:B$996),IFERROR(MATCH(TRUE(),INDEX((A897:A$996&lt;&gt;""),0),0),COUNTA(B896:B$996))),"")</f>
        <v/>
      </c>
      <c r="L896" s="20"/>
    </row>
    <row r="897" customFormat="false" ht="13.8" hidden="false" customHeight="false" outlineLevel="0" collapsed="false">
      <c r="A897" s="16"/>
      <c r="B897" s="16"/>
      <c r="C897" s="17"/>
      <c r="D897" s="17"/>
      <c r="E897" s="17"/>
      <c r="F897" s="18"/>
      <c r="G897" s="19" t="str">
        <f aca="true">IF(F897="", "", DATEDIF(F897, TODAY(), "Y"))</f>
        <v/>
      </c>
      <c r="H897" s="18"/>
      <c r="I897" s="18"/>
      <c r="J897" s="19" t="str">
        <f aca="true">IF(ISBLANK(H897), "", I897-TODAY())</f>
        <v/>
      </c>
      <c r="K897" s="19" t="str">
        <f aca="false" t="array" ref="K897:K897">IF(A897&lt;&gt;"",IF(COUNTIF(A898:A$996,"&lt;&gt;")=0,COUNTA(B897:B$996),IFERROR(MATCH(TRUE(),INDEX((A898:A$996&lt;&gt;""),0),0),COUNTA(B897:B$996))),"")</f>
        <v/>
      </c>
      <c r="L897" s="20"/>
    </row>
    <row r="898" customFormat="false" ht="13.8" hidden="false" customHeight="false" outlineLevel="0" collapsed="false">
      <c r="A898" s="16"/>
      <c r="B898" s="16"/>
      <c r="C898" s="17"/>
      <c r="D898" s="17"/>
      <c r="E898" s="17"/>
      <c r="F898" s="18"/>
      <c r="G898" s="19" t="str">
        <f aca="true">IF(F898="", "", DATEDIF(F898, TODAY(), "Y"))</f>
        <v/>
      </c>
      <c r="H898" s="18"/>
      <c r="I898" s="18"/>
      <c r="J898" s="19" t="str">
        <f aca="true">IF(ISBLANK(H898), "", I898-TODAY())</f>
        <v/>
      </c>
      <c r="K898" s="19" t="str">
        <f aca="false" t="array" ref="K898:K898">IF(A898&lt;&gt;"",IF(COUNTIF(A899:A$996,"&lt;&gt;")=0,COUNTA(B898:B$996),IFERROR(MATCH(TRUE(),INDEX((A899:A$996&lt;&gt;""),0),0),COUNTA(B898:B$996))),"")</f>
        <v/>
      </c>
      <c r="L898" s="20"/>
    </row>
    <row r="899" customFormat="false" ht="13.8" hidden="false" customHeight="false" outlineLevel="0" collapsed="false">
      <c r="A899" s="16"/>
      <c r="B899" s="16"/>
      <c r="C899" s="17"/>
      <c r="D899" s="17"/>
      <c r="E899" s="17"/>
      <c r="F899" s="18"/>
      <c r="G899" s="19" t="str">
        <f aca="true">IF(F899="", "", DATEDIF(F899, TODAY(), "Y"))</f>
        <v/>
      </c>
      <c r="H899" s="18"/>
      <c r="I899" s="18"/>
      <c r="J899" s="19" t="str">
        <f aca="true">IF(ISBLANK(H899), "", I899-TODAY())</f>
        <v/>
      </c>
      <c r="K899" s="19" t="str">
        <f aca="false" t="array" ref="K899:K899">IF(A899&lt;&gt;"",IF(COUNTIF(A900:A$996,"&lt;&gt;")=0,COUNTA(B899:B$996),IFERROR(MATCH(TRUE(),INDEX((A900:A$996&lt;&gt;""),0),0),COUNTA(B899:B$996))),"")</f>
        <v/>
      </c>
      <c r="L899" s="20"/>
    </row>
    <row r="900" customFormat="false" ht="13.8" hidden="false" customHeight="false" outlineLevel="0" collapsed="false">
      <c r="A900" s="16"/>
      <c r="B900" s="16"/>
      <c r="C900" s="17"/>
      <c r="D900" s="17"/>
      <c r="E900" s="17"/>
      <c r="F900" s="18"/>
      <c r="G900" s="19" t="str">
        <f aca="true">IF(F900="", "", DATEDIF(F900, TODAY(), "Y"))</f>
        <v/>
      </c>
      <c r="H900" s="18"/>
      <c r="I900" s="18"/>
      <c r="J900" s="19" t="str">
        <f aca="true">IF(ISBLANK(H900), "", I900-TODAY())</f>
        <v/>
      </c>
      <c r="K900" s="19" t="str">
        <f aca="false" t="array" ref="K900:K900">IF(A900&lt;&gt;"",IF(COUNTIF(A901:A$996,"&lt;&gt;")=0,COUNTA(B900:B$996),IFERROR(MATCH(TRUE(),INDEX((A901:A$996&lt;&gt;""),0),0),COUNTA(B900:B$996))),"")</f>
        <v/>
      </c>
      <c r="L900" s="20"/>
    </row>
    <row r="901" customFormat="false" ht="13.8" hidden="false" customHeight="false" outlineLevel="0" collapsed="false">
      <c r="A901" s="16"/>
      <c r="B901" s="16"/>
      <c r="C901" s="17"/>
      <c r="D901" s="17"/>
      <c r="E901" s="17"/>
      <c r="F901" s="18"/>
      <c r="G901" s="19" t="str">
        <f aca="true">IF(F901="", "", DATEDIF(F901, TODAY(), "Y"))</f>
        <v/>
      </c>
      <c r="H901" s="18"/>
      <c r="I901" s="18"/>
      <c r="J901" s="19" t="str">
        <f aca="true">IF(ISBLANK(H901), "", I901-TODAY())</f>
        <v/>
      </c>
      <c r="K901" s="19" t="str">
        <f aca="false" t="array" ref="K901:K901">IF(A901&lt;&gt;"",IF(COUNTIF(A902:A$996,"&lt;&gt;")=0,COUNTA(B901:B$996),IFERROR(MATCH(TRUE(),INDEX((A902:A$996&lt;&gt;""),0),0),COUNTA(B901:B$996))),"")</f>
        <v/>
      </c>
      <c r="L901" s="20"/>
    </row>
    <row r="902" customFormat="false" ht="13.8" hidden="false" customHeight="false" outlineLevel="0" collapsed="false">
      <c r="A902" s="16"/>
      <c r="B902" s="16"/>
      <c r="C902" s="17"/>
      <c r="D902" s="17"/>
      <c r="E902" s="17"/>
      <c r="F902" s="18"/>
      <c r="G902" s="19" t="str">
        <f aca="true">IF(F902="", "", DATEDIF(F902, TODAY(), "Y"))</f>
        <v/>
      </c>
      <c r="H902" s="18"/>
      <c r="I902" s="18"/>
      <c r="J902" s="19" t="str">
        <f aca="true">IF(ISBLANK(H902), "", I902-TODAY())</f>
        <v/>
      </c>
      <c r="K902" s="19" t="str">
        <f aca="false" t="array" ref="K902:K902">IF(A902&lt;&gt;"",IF(COUNTIF(A903:A$996,"&lt;&gt;")=0,COUNTA(B902:B$996),IFERROR(MATCH(TRUE(),INDEX((A903:A$996&lt;&gt;""),0),0),COUNTA(B902:B$996))),"")</f>
        <v/>
      </c>
      <c r="L902" s="20"/>
    </row>
    <row r="903" customFormat="false" ht="13.8" hidden="false" customHeight="false" outlineLevel="0" collapsed="false">
      <c r="A903" s="16"/>
      <c r="B903" s="16"/>
      <c r="C903" s="17"/>
      <c r="D903" s="17"/>
      <c r="E903" s="17"/>
      <c r="F903" s="18"/>
      <c r="G903" s="19" t="str">
        <f aca="true">IF(F903="", "", DATEDIF(F903, TODAY(), "Y"))</f>
        <v/>
      </c>
      <c r="H903" s="18"/>
      <c r="I903" s="18"/>
      <c r="J903" s="19" t="str">
        <f aca="true">IF(ISBLANK(H903), "", I903-TODAY())</f>
        <v/>
      </c>
      <c r="K903" s="19" t="str">
        <f aca="false" t="array" ref="K903:K903">IF(A903&lt;&gt;"",IF(COUNTIF(A904:A$996,"&lt;&gt;")=0,COUNTA(B903:B$996),IFERROR(MATCH(TRUE(),INDEX((A904:A$996&lt;&gt;""),0),0),COUNTA(B903:B$996))),"")</f>
        <v/>
      </c>
      <c r="L903" s="20"/>
    </row>
    <row r="904" customFormat="false" ht="13.8" hidden="false" customHeight="false" outlineLevel="0" collapsed="false">
      <c r="A904" s="16"/>
      <c r="B904" s="16"/>
      <c r="C904" s="17"/>
      <c r="D904" s="17"/>
      <c r="E904" s="17"/>
      <c r="F904" s="18"/>
      <c r="G904" s="19" t="str">
        <f aca="true">IF(F904="", "", DATEDIF(F904, TODAY(), "Y"))</f>
        <v/>
      </c>
      <c r="H904" s="18"/>
      <c r="I904" s="18"/>
      <c r="J904" s="19" t="str">
        <f aca="true">IF(ISBLANK(H904), "", I904-TODAY())</f>
        <v/>
      </c>
      <c r="K904" s="19" t="str">
        <f aca="false" t="array" ref="K904:K904">IF(A904&lt;&gt;"",IF(COUNTIF(A905:A$996,"&lt;&gt;")=0,COUNTA(B904:B$996),IFERROR(MATCH(TRUE(),INDEX((A905:A$996&lt;&gt;""),0),0),COUNTA(B904:B$996))),"")</f>
        <v/>
      </c>
      <c r="L904" s="20"/>
    </row>
    <row r="905" customFormat="false" ht="13.8" hidden="false" customHeight="false" outlineLevel="0" collapsed="false">
      <c r="A905" s="16"/>
      <c r="B905" s="16"/>
      <c r="C905" s="17"/>
      <c r="D905" s="17"/>
      <c r="E905" s="17"/>
      <c r="F905" s="18"/>
      <c r="G905" s="19" t="str">
        <f aca="true">IF(F905="", "", DATEDIF(F905, TODAY(), "Y"))</f>
        <v/>
      </c>
      <c r="H905" s="18"/>
      <c r="I905" s="18"/>
      <c r="J905" s="19" t="str">
        <f aca="true">IF(ISBLANK(H905), "", I905-TODAY())</f>
        <v/>
      </c>
      <c r="K905" s="19" t="str">
        <f aca="false" t="array" ref="K905:K905">IF(A905&lt;&gt;"",IF(COUNTIF(A906:A$996,"&lt;&gt;")=0,COUNTA(B905:B$996),IFERROR(MATCH(TRUE(),INDEX((A906:A$996&lt;&gt;""),0),0),COUNTA(B905:B$996))),"")</f>
        <v/>
      </c>
      <c r="L905" s="20"/>
    </row>
    <row r="906" customFormat="false" ht="13.8" hidden="false" customHeight="false" outlineLevel="0" collapsed="false">
      <c r="A906" s="16"/>
      <c r="B906" s="16"/>
      <c r="C906" s="17"/>
      <c r="D906" s="17"/>
      <c r="E906" s="17"/>
      <c r="F906" s="18"/>
      <c r="G906" s="19" t="str">
        <f aca="true">IF(F906="", "", DATEDIF(F906, TODAY(), "Y"))</f>
        <v/>
      </c>
      <c r="H906" s="18"/>
      <c r="I906" s="18"/>
      <c r="J906" s="19" t="str">
        <f aca="true">IF(ISBLANK(H906), "", I906-TODAY())</f>
        <v/>
      </c>
      <c r="K906" s="19" t="str">
        <f aca="false" t="array" ref="K906:K906">IF(A906&lt;&gt;"",IF(COUNTIF(A907:A$996,"&lt;&gt;")=0,COUNTA(B906:B$996),IFERROR(MATCH(TRUE(),INDEX((A907:A$996&lt;&gt;""),0),0),COUNTA(B906:B$996))),"")</f>
        <v/>
      </c>
      <c r="L906" s="20"/>
    </row>
    <row r="907" customFormat="false" ht="13.8" hidden="false" customHeight="false" outlineLevel="0" collapsed="false">
      <c r="A907" s="16"/>
      <c r="B907" s="16"/>
      <c r="C907" s="17"/>
      <c r="D907" s="17"/>
      <c r="E907" s="17"/>
      <c r="F907" s="18"/>
      <c r="G907" s="19" t="str">
        <f aca="true">IF(F907="", "", DATEDIF(F907, TODAY(), "Y"))</f>
        <v/>
      </c>
      <c r="H907" s="18"/>
      <c r="I907" s="18"/>
      <c r="J907" s="19" t="str">
        <f aca="true">IF(ISBLANK(H907), "", I907-TODAY())</f>
        <v/>
      </c>
      <c r="K907" s="19" t="str">
        <f aca="false" t="array" ref="K907:K907">IF(A907&lt;&gt;"",IF(COUNTIF(A908:A$996,"&lt;&gt;")=0,COUNTA(B907:B$996),IFERROR(MATCH(TRUE(),INDEX((A908:A$996&lt;&gt;""),0),0),COUNTA(B907:B$996))),"")</f>
        <v/>
      </c>
      <c r="L907" s="20"/>
    </row>
    <row r="908" customFormat="false" ht="13.8" hidden="false" customHeight="false" outlineLevel="0" collapsed="false">
      <c r="A908" s="16"/>
      <c r="B908" s="16"/>
      <c r="C908" s="17"/>
      <c r="D908" s="17"/>
      <c r="E908" s="17"/>
      <c r="F908" s="18"/>
      <c r="G908" s="19" t="str">
        <f aca="true">IF(F908="", "", DATEDIF(F908, TODAY(), "Y"))</f>
        <v/>
      </c>
      <c r="H908" s="18"/>
      <c r="I908" s="18"/>
      <c r="J908" s="19" t="str">
        <f aca="true">IF(ISBLANK(H908), "", I908-TODAY())</f>
        <v/>
      </c>
      <c r="K908" s="19" t="str">
        <f aca="false" t="array" ref="K908:K908">IF(A908&lt;&gt;"",IF(COUNTIF(A909:A$996,"&lt;&gt;")=0,COUNTA(B908:B$996),IFERROR(MATCH(TRUE(),INDEX((A909:A$996&lt;&gt;""),0),0),COUNTA(B908:B$996))),"")</f>
        <v/>
      </c>
      <c r="L908" s="20"/>
    </row>
    <row r="909" customFormat="false" ht="13.8" hidden="false" customHeight="false" outlineLevel="0" collapsed="false">
      <c r="A909" s="16"/>
      <c r="B909" s="16"/>
      <c r="C909" s="17"/>
      <c r="D909" s="17"/>
      <c r="E909" s="17"/>
      <c r="F909" s="18"/>
      <c r="G909" s="19" t="str">
        <f aca="true">IF(F909="", "", DATEDIF(F909, TODAY(), "Y"))</f>
        <v/>
      </c>
      <c r="H909" s="18"/>
      <c r="I909" s="18"/>
      <c r="J909" s="19" t="str">
        <f aca="true">IF(ISBLANK(H909), "", I909-TODAY())</f>
        <v/>
      </c>
      <c r="K909" s="19" t="str">
        <f aca="false" t="array" ref="K909:K909">IF(A909&lt;&gt;"",IF(COUNTIF(A910:A$996,"&lt;&gt;")=0,COUNTA(B909:B$996),IFERROR(MATCH(TRUE(),INDEX((A910:A$996&lt;&gt;""),0),0),COUNTA(B909:B$996))),"")</f>
        <v/>
      </c>
      <c r="L909" s="20"/>
    </row>
    <row r="910" customFormat="false" ht="13.8" hidden="false" customHeight="false" outlineLevel="0" collapsed="false">
      <c r="A910" s="16"/>
      <c r="B910" s="16"/>
      <c r="C910" s="17"/>
      <c r="D910" s="17"/>
      <c r="E910" s="17"/>
      <c r="F910" s="18"/>
      <c r="G910" s="19" t="str">
        <f aca="true">IF(F910="", "", DATEDIF(F910, TODAY(), "Y"))</f>
        <v/>
      </c>
      <c r="H910" s="18"/>
      <c r="I910" s="18"/>
      <c r="J910" s="19" t="str">
        <f aca="true">IF(ISBLANK(H910), "", I910-TODAY())</f>
        <v/>
      </c>
      <c r="K910" s="19" t="str">
        <f aca="false" t="array" ref="K910:K910">IF(A910&lt;&gt;"",IF(COUNTIF(A911:A$996,"&lt;&gt;")=0,COUNTA(B910:B$996),IFERROR(MATCH(TRUE(),INDEX((A911:A$996&lt;&gt;""),0),0),COUNTA(B910:B$996))),"")</f>
        <v/>
      </c>
      <c r="L910" s="20"/>
    </row>
    <row r="911" customFormat="false" ht="13.8" hidden="false" customHeight="false" outlineLevel="0" collapsed="false">
      <c r="A911" s="16"/>
      <c r="B911" s="16"/>
      <c r="C911" s="17"/>
      <c r="D911" s="17"/>
      <c r="E911" s="17"/>
      <c r="F911" s="18"/>
      <c r="G911" s="19" t="str">
        <f aca="true">IF(F911="", "", DATEDIF(F911, TODAY(), "Y"))</f>
        <v/>
      </c>
      <c r="H911" s="18"/>
      <c r="I911" s="18"/>
      <c r="J911" s="19" t="str">
        <f aca="true">IF(ISBLANK(H911), "", I911-TODAY())</f>
        <v/>
      </c>
      <c r="K911" s="19" t="str">
        <f aca="false" t="array" ref="K911:K911">IF(A911&lt;&gt;"",IF(COUNTIF(A912:A$996,"&lt;&gt;")=0,COUNTA(B911:B$996),IFERROR(MATCH(TRUE(),INDEX((A912:A$996&lt;&gt;""),0),0),COUNTA(B911:B$996))),"")</f>
        <v/>
      </c>
      <c r="L911" s="20"/>
    </row>
    <row r="912" customFormat="false" ht="13.8" hidden="false" customHeight="false" outlineLevel="0" collapsed="false">
      <c r="A912" s="16"/>
      <c r="B912" s="16"/>
      <c r="C912" s="17"/>
      <c r="D912" s="17"/>
      <c r="E912" s="17"/>
      <c r="F912" s="18"/>
      <c r="G912" s="19" t="str">
        <f aca="true">IF(F912="", "", DATEDIF(F912, TODAY(), "Y"))</f>
        <v/>
      </c>
      <c r="H912" s="18"/>
      <c r="I912" s="18"/>
      <c r="J912" s="19" t="str">
        <f aca="true">IF(ISBLANK(H912), "", I912-TODAY())</f>
        <v/>
      </c>
      <c r="K912" s="19" t="str">
        <f aca="false" t="array" ref="K912:K912">IF(A912&lt;&gt;"",IF(COUNTIF(A913:A$996,"&lt;&gt;")=0,COUNTA(B912:B$996),IFERROR(MATCH(TRUE(),INDEX((A913:A$996&lt;&gt;""),0),0),COUNTA(B912:B$996))),"")</f>
        <v/>
      </c>
      <c r="L912" s="20"/>
    </row>
    <row r="913" customFormat="false" ht="13.8" hidden="false" customHeight="false" outlineLevel="0" collapsed="false">
      <c r="A913" s="16"/>
      <c r="B913" s="16"/>
      <c r="C913" s="17"/>
      <c r="D913" s="17"/>
      <c r="E913" s="17"/>
      <c r="F913" s="18"/>
      <c r="G913" s="19" t="str">
        <f aca="true">IF(F913="", "", DATEDIF(F913, TODAY(), "Y"))</f>
        <v/>
      </c>
      <c r="H913" s="18"/>
      <c r="I913" s="18"/>
      <c r="J913" s="19" t="str">
        <f aca="true">IF(ISBLANK(H913), "", I913-TODAY())</f>
        <v/>
      </c>
      <c r="K913" s="19" t="str">
        <f aca="false" t="array" ref="K913:K913">IF(A913&lt;&gt;"",IF(COUNTIF(A914:A$996,"&lt;&gt;")=0,COUNTA(B913:B$996),IFERROR(MATCH(TRUE(),INDEX((A914:A$996&lt;&gt;""),0),0),COUNTA(B913:B$996))),"")</f>
        <v/>
      </c>
      <c r="L913" s="20"/>
    </row>
    <row r="914" customFormat="false" ht="13.8" hidden="false" customHeight="false" outlineLevel="0" collapsed="false">
      <c r="A914" s="16"/>
      <c r="B914" s="16"/>
      <c r="C914" s="17"/>
      <c r="D914" s="17"/>
      <c r="E914" s="17"/>
      <c r="F914" s="18"/>
      <c r="G914" s="19" t="str">
        <f aca="true">IF(F914="", "", DATEDIF(F914, TODAY(), "Y"))</f>
        <v/>
      </c>
      <c r="H914" s="18"/>
      <c r="I914" s="18"/>
      <c r="J914" s="19" t="str">
        <f aca="true">IF(ISBLANK(H914), "", I914-TODAY())</f>
        <v/>
      </c>
      <c r="K914" s="19" t="str">
        <f aca="false" t="array" ref="K914:K914">IF(A914&lt;&gt;"",IF(COUNTIF(A915:A$996,"&lt;&gt;")=0,COUNTA(B914:B$996),IFERROR(MATCH(TRUE(),INDEX((A915:A$996&lt;&gt;""),0),0),COUNTA(B914:B$996))),"")</f>
        <v/>
      </c>
      <c r="L914" s="20"/>
    </row>
    <row r="915" customFormat="false" ht="13.8" hidden="false" customHeight="false" outlineLevel="0" collapsed="false">
      <c r="A915" s="16"/>
      <c r="B915" s="16"/>
      <c r="C915" s="17"/>
      <c r="D915" s="17"/>
      <c r="E915" s="17"/>
      <c r="F915" s="18"/>
      <c r="G915" s="19" t="str">
        <f aca="true">IF(F915="", "", DATEDIF(F915, TODAY(), "Y"))</f>
        <v/>
      </c>
      <c r="H915" s="18"/>
      <c r="I915" s="18"/>
      <c r="J915" s="19" t="str">
        <f aca="true">IF(ISBLANK(H915), "", I915-TODAY())</f>
        <v/>
      </c>
      <c r="K915" s="19" t="str">
        <f aca="false" t="array" ref="K915:K915">IF(A915&lt;&gt;"",IF(COUNTIF(A916:A$996,"&lt;&gt;")=0,COUNTA(B915:B$996),IFERROR(MATCH(TRUE(),INDEX((A916:A$996&lt;&gt;""),0),0),COUNTA(B915:B$996))),"")</f>
        <v/>
      </c>
      <c r="L915" s="20"/>
    </row>
    <row r="916" customFormat="false" ht="13.8" hidden="false" customHeight="false" outlineLevel="0" collapsed="false">
      <c r="A916" s="16"/>
      <c r="B916" s="16"/>
      <c r="C916" s="17"/>
      <c r="D916" s="17"/>
      <c r="E916" s="17"/>
      <c r="F916" s="18"/>
      <c r="G916" s="19" t="str">
        <f aca="true">IF(F916="", "", DATEDIF(F916, TODAY(), "Y"))</f>
        <v/>
      </c>
      <c r="H916" s="18"/>
      <c r="I916" s="18"/>
      <c r="J916" s="19" t="str">
        <f aca="true">IF(ISBLANK(H916), "", I916-TODAY())</f>
        <v/>
      </c>
      <c r="K916" s="19" t="str">
        <f aca="false" t="array" ref="K916:K916">IF(A916&lt;&gt;"",IF(COUNTIF(A917:A$996,"&lt;&gt;")=0,COUNTA(B916:B$996),IFERROR(MATCH(TRUE(),INDEX((A917:A$996&lt;&gt;""),0),0),COUNTA(B916:B$996))),"")</f>
        <v/>
      </c>
      <c r="L916" s="20"/>
    </row>
    <row r="917" customFormat="false" ht="13.8" hidden="false" customHeight="false" outlineLevel="0" collapsed="false">
      <c r="A917" s="16"/>
      <c r="B917" s="16"/>
      <c r="C917" s="17"/>
      <c r="D917" s="17"/>
      <c r="E917" s="17"/>
      <c r="F917" s="18"/>
      <c r="G917" s="19" t="str">
        <f aca="true">IF(F917="", "", DATEDIF(F917, TODAY(), "Y"))</f>
        <v/>
      </c>
      <c r="H917" s="18"/>
      <c r="I917" s="18"/>
      <c r="J917" s="19" t="str">
        <f aca="true">IF(ISBLANK(H917), "", I917-TODAY())</f>
        <v/>
      </c>
      <c r="K917" s="19" t="str">
        <f aca="false" t="array" ref="K917:K917">IF(A917&lt;&gt;"",IF(COUNTIF(A918:A$996,"&lt;&gt;")=0,COUNTA(B917:B$996),IFERROR(MATCH(TRUE(),INDEX((A918:A$996&lt;&gt;""),0),0),COUNTA(B917:B$996))),"")</f>
        <v/>
      </c>
      <c r="L917" s="20"/>
    </row>
    <row r="918" customFormat="false" ht="13.8" hidden="false" customHeight="false" outlineLevel="0" collapsed="false">
      <c r="A918" s="16"/>
      <c r="B918" s="16"/>
      <c r="C918" s="17"/>
      <c r="D918" s="17"/>
      <c r="E918" s="17"/>
      <c r="F918" s="18"/>
      <c r="G918" s="19" t="str">
        <f aca="true">IF(F918="", "", DATEDIF(F918, TODAY(), "Y"))</f>
        <v/>
      </c>
      <c r="H918" s="18"/>
      <c r="I918" s="18"/>
      <c r="J918" s="19" t="str">
        <f aca="true">IF(ISBLANK(H918), "", I918-TODAY())</f>
        <v/>
      </c>
      <c r="K918" s="19" t="str">
        <f aca="false" t="array" ref="K918:K918">IF(A918&lt;&gt;"",IF(COUNTIF(A919:A$996,"&lt;&gt;")=0,COUNTA(B918:B$996),IFERROR(MATCH(TRUE(),INDEX((A919:A$996&lt;&gt;""),0),0),COUNTA(B918:B$996))),"")</f>
        <v/>
      </c>
      <c r="L918" s="20"/>
    </row>
    <row r="919" customFormat="false" ht="13.8" hidden="false" customHeight="false" outlineLevel="0" collapsed="false">
      <c r="A919" s="16"/>
      <c r="B919" s="16"/>
      <c r="C919" s="17"/>
      <c r="D919" s="17"/>
      <c r="E919" s="17"/>
      <c r="F919" s="18"/>
      <c r="G919" s="19" t="str">
        <f aca="true">IF(F919="", "", DATEDIF(F919, TODAY(), "Y"))</f>
        <v/>
      </c>
      <c r="H919" s="18"/>
      <c r="I919" s="18"/>
      <c r="J919" s="19" t="str">
        <f aca="true">IF(ISBLANK(H919), "", I919-TODAY())</f>
        <v/>
      </c>
      <c r="K919" s="19" t="str">
        <f aca="false" t="array" ref="K919:K919">IF(A919&lt;&gt;"",IF(COUNTIF(A920:A$996,"&lt;&gt;")=0,COUNTA(B919:B$996),IFERROR(MATCH(TRUE(),INDEX((A920:A$996&lt;&gt;""),0),0),COUNTA(B919:B$996))),"")</f>
        <v/>
      </c>
      <c r="L919" s="20"/>
    </row>
    <row r="920" customFormat="false" ht="13.8" hidden="false" customHeight="false" outlineLevel="0" collapsed="false">
      <c r="A920" s="16"/>
      <c r="B920" s="16"/>
      <c r="C920" s="17"/>
      <c r="D920" s="17"/>
      <c r="E920" s="17"/>
      <c r="F920" s="18"/>
      <c r="G920" s="19" t="str">
        <f aca="true">IF(F920="", "", DATEDIF(F920, TODAY(), "Y"))</f>
        <v/>
      </c>
      <c r="H920" s="18"/>
      <c r="I920" s="18"/>
      <c r="J920" s="19" t="str">
        <f aca="true">IF(ISBLANK(H920), "", I920-TODAY())</f>
        <v/>
      </c>
      <c r="K920" s="19" t="str">
        <f aca="false" t="array" ref="K920:K920">IF(A920&lt;&gt;"",IF(COUNTIF(A921:A$996,"&lt;&gt;")=0,COUNTA(B920:B$996),IFERROR(MATCH(TRUE(),INDEX((A921:A$996&lt;&gt;""),0),0),COUNTA(B920:B$996))),"")</f>
        <v/>
      </c>
      <c r="L920" s="20"/>
    </row>
    <row r="921" customFormat="false" ht="13.8" hidden="false" customHeight="false" outlineLevel="0" collapsed="false">
      <c r="A921" s="16"/>
      <c r="B921" s="16"/>
      <c r="C921" s="17"/>
      <c r="D921" s="17"/>
      <c r="E921" s="17"/>
      <c r="F921" s="18"/>
      <c r="G921" s="19" t="str">
        <f aca="true">IF(F921="", "", DATEDIF(F921, TODAY(), "Y"))</f>
        <v/>
      </c>
      <c r="H921" s="18"/>
      <c r="I921" s="18"/>
      <c r="J921" s="19" t="str">
        <f aca="true">IF(ISBLANK(H921), "", I921-TODAY())</f>
        <v/>
      </c>
      <c r="K921" s="19" t="str">
        <f aca="false" t="array" ref="K921:K921">IF(A921&lt;&gt;"",IF(COUNTIF(A922:A$996,"&lt;&gt;")=0,COUNTA(B921:B$996),IFERROR(MATCH(TRUE(),INDEX((A922:A$996&lt;&gt;""),0),0),COUNTA(B921:B$996))),"")</f>
        <v/>
      </c>
      <c r="L921" s="20"/>
    </row>
    <row r="922" customFormat="false" ht="13.8" hidden="false" customHeight="false" outlineLevel="0" collapsed="false">
      <c r="A922" s="16"/>
      <c r="B922" s="16"/>
      <c r="C922" s="17"/>
      <c r="D922" s="17"/>
      <c r="E922" s="17"/>
      <c r="F922" s="18"/>
      <c r="G922" s="19" t="str">
        <f aca="true">IF(F922="", "", DATEDIF(F922, TODAY(), "Y"))</f>
        <v/>
      </c>
      <c r="H922" s="18"/>
      <c r="I922" s="18"/>
      <c r="J922" s="19" t="str">
        <f aca="true">IF(ISBLANK(H922), "", I922-TODAY())</f>
        <v/>
      </c>
      <c r="K922" s="19" t="str">
        <f aca="false" t="array" ref="K922:K922">IF(A922&lt;&gt;"",IF(COUNTIF(A923:A$996,"&lt;&gt;")=0,COUNTA(B922:B$996),IFERROR(MATCH(TRUE(),INDEX((A923:A$996&lt;&gt;""),0),0),COUNTA(B922:B$996))),"")</f>
        <v/>
      </c>
      <c r="L922" s="20"/>
    </row>
    <row r="923" customFormat="false" ht="13.8" hidden="false" customHeight="false" outlineLevel="0" collapsed="false">
      <c r="A923" s="16"/>
      <c r="B923" s="16"/>
      <c r="C923" s="17"/>
      <c r="D923" s="17"/>
      <c r="E923" s="17"/>
      <c r="F923" s="18"/>
      <c r="G923" s="19" t="str">
        <f aca="true">IF(F923="", "", DATEDIF(F923, TODAY(), "Y"))</f>
        <v/>
      </c>
      <c r="H923" s="18"/>
      <c r="I923" s="18"/>
      <c r="J923" s="19" t="str">
        <f aca="true">IF(ISBLANK(H923), "", I923-TODAY())</f>
        <v/>
      </c>
      <c r="K923" s="19" t="str">
        <f aca="false" t="array" ref="K923:K923">IF(A923&lt;&gt;"",IF(COUNTIF(A924:A$996,"&lt;&gt;")=0,COUNTA(B923:B$996),IFERROR(MATCH(TRUE(),INDEX((A924:A$996&lt;&gt;""),0),0),COUNTA(B923:B$996))),"")</f>
        <v/>
      </c>
      <c r="L923" s="20"/>
    </row>
    <row r="924" customFormat="false" ht="13.8" hidden="false" customHeight="false" outlineLevel="0" collapsed="false">
      <c r="A924" s="16"/>
      <c r="B924" s="16"/>
      <c r="C924" s="17"/>
      <c r="D924" s="17"/>
      <c r="E924" s="17"/>
      <c r="F924" s="18"/>
      <c r="G924" s="19" t="str">
        <f aca="true">IF(F924="", "", DATEDIF(F924, TODAY(), "Y"))</f>
        <v/>
      </c>
      <c r="H924" s="18"/>
      <c r="I924" s="18"/>
      <c r="J924" s="19" t="str">
        <f aca="true">IF(ISBLANK(H924), "", I924-TODAY())</f>
        <v/>
      </c>
      <c r="K924" s="19" t="str">
        <f aca="false" t="array" ref="K924:K924">IF(A924&lt;&gt;"",IF(COUNTIF(A925:A$996,"&lt;&gt;")=0,COUNTA(B924:B$996),IFERROR(MATCH(TRUE(),INDEX((A925:A$996&lt;&gt;""),0),0),COUNTA(B924:B$996))),"")</f>
        <v/>
      </c>
      <c r="L924" s="20"/>
    </row>
    <row r="925" customFormat="false" ht="13.8" hidden="false" customHeight="false" outlineLevel="0" collapsed="false">
      <c r="A925" s="16"/>
      <c r="B925" s="16"/>
      <c r="C925" s="17"/>
      <c r="D925" s="17"/>
      <c r="E925" s="17"/>
      <c r="F925" s="18"/>
      <c r="G925" s="19" t="str">
        <f aca="true">IF(F925="", "", DATEDIF(F925, TODAY(), "Y"))</f>
        <v/>
      </c>
      <c r="H925" s="18"/>
      <c r="I925" s="18"/>
      <c r="J925" s="19" t="str">
        <f aca="true">IF(ISBLANK(H925), "", I925-TODAY())</f>
        <v/>
      </c>
      <c r="K925" s="19" t="str">
        <f aca="false" t="array" ref="K925:K925">IF(A925&lt;&gt;"",IF(COUNTIF(A926:A$996,"&lt;&gt;")=0,COUNTA(B925:B$996),IFERROR(MATCH(TRUE(),INDEX((A926:A$996&lt;&gt;""),0),0),COUNTA(B925:B$996))),"")</f>
        <v/>
      </c>
      <c r="L925" s="20"/>
    </row>
    <row r="926" customFormat="false" ht="13.8" hidden="false" customHeight="false" outlineLevel="0" collapsed="false">
      <c r="A926" s="16"/>
      <c r="B926" s="16"/>
      <c r="C926" s="17"/>
      <c r="D926" s="17"/>
      <c r="E926" s="17"/>
      <c r="F926" s="18"/>
      <c r="G926" s="19" t="str">
        <f aca="true">IF(F926="", "", DATEDIF(F926, TODAY(), "Y"))</f>
        <v/>
      </c>
      <c r="H926" s="18"/>
      <c r="I926" s="18"/>
      <c r="J926" s="19" t="str">
        <f aca="true">IF(ISBLANK(H926), "", I926-TODAY())</f>
        <v/>
      </c>
      <c r="K926" s="19" t="str">
        <f aca="false" t="array" ref="K926:K926">IF(A926&lt;&gt;"",IF(COUNTIF(A927:A$996,"&lt;&gt;")=0,COUNTA(B926:B$996),IFERROR(MATCH(TRUE(),INDEX((A927:A$996&lt;&gt;""),0),0),COUNTA(B926:B$996))),"")</f>
        <v/>
      </c>
      <c r="L926" s="20"/>
    </row>
    <row r="927" customFormat="false" ht="13.8" hidden="false" customHeight="false" outlineLevel="0" collapsed="false">
      <c r="A927" s="16"/>
      <c r="B927" s="16"/>
      <c r="C927" s="17"/>
      <c r="D927" s="17"/>
      <c r="E927" s="17"/>
      <c r="F927" s="18"/>
      <c r="G927" s="19" t="str">
        <f aca="true">IF(F927="", "", DATEDIF(F927, TODAY(), "Y"))</f>
        <v/>
      </c>
      <c r="H927" s="18"/>
      <c r="I927" s="18"/>
      <c r="J927" s="19" t="str">
        <f aca="true">IF(ISBLANK(H927), "", I927-TODAY())</f>
        <v/>
      </c>
      <c r="K927" s="19" t="str">
        <f aca="false" t="array" ref="K927:K927">IF(A927&lt;&gt;"",IF(COUNTIF(A928:A$996,"&lt;&gt;")=0,COUNTA(B927:B$996),IFERROR(MATCH(TRUE(),INDEX((A928:A$996&lt;&gt;""),0),0),COUNTA(B927:B$996))),"")</f>
        <v/>
      </c>
      <c r="L927" s="20"/>
    </row>
    <row r="928" customFormat="false" ht="13.8" hidden="false" customHeight="false" outlineLevel="0" collapsed="false">
      <c r="A928" s="16"/>
      <c r="B928" s="16"/>
      <c r="C928" s="17"/>
      <c r="D928" s="17"/>
      <c r="E928" s="17"/>
      <c r="F928" s="18"/>
      <c r="G928" s="19" t="str">
        <f aca="true">IF(F928="", "", DATEDIF(F928, TODAY(), "Y"))</f>
        <v/>
      </c>
      <c r="H928" s="18"/>
      <c r="I928" s="18"/>
      <c r="J928" s="19" t="str">
        <f aca="true">IF(ISBLANK(H928), "", I928-TODAY())</f>
        <v/>
      </c>
      <c r="K928" s="19" t="str">
        <f aca="false" t="array" ref="K928:K928">IF(A928&lt;&gt;"",IF(COUNTIF(A929:A$996,"&lt;&gt;")=0,COUNTA(B928:B$996),IFERROR(MATCH(TRUE(),INDEX((A929:A$996&lt;&gt;""),0),0),COUNTA(B928:B$996))),"")</f>
        <v/>
      </c>
      <c r="L928" s="20"/>
    </row>
    <row r="929" customFormat="false" ht="13.8" hidden="false" customHeight="false" outlineLevel="0" collapsed="false">
      <c r="A929" s="16"/>
      <c r="B929" s="16"/>
      <c r="C929" s="17"/>
      <c r="D929" s="17"/>
      <c r="E929" s="17"/>
      <c r="F929" s="18"/>
      <c r="G929" s="19" t="str">
        <f aca="true">IF(F929="", "", DATEDIF(F929, TODAY(), "Y"))</f>
        <v/>
      </c>
      <c r="H929" s="18"/>
      <c r="I929" s="18"/>
      <c r="J929" s="19" t="str">
        <f aca="true">IF(ISBLANK(H929), "", I929-TODAY())</f>
        <v/>
      </c>
      <c r="K929" s="19" t="str">
        <f aca="false" t="array" ref="K929:K929">IF(A929&lt;&gt;"",IF(COUNTIF(A930:A$996,"&lt;&gt;")=0,COUNTA(B929:B$996),IFERROR(MATCH(TRUE(),INDEX((A930:A$996&lt;&gt;""),0),0),COUNTA(B929:B$996))),"")</f>
        <v/>
      </c>
      <c r="L929" s="20"/>
    </row>
    <row r="930" customFormat="false" ht="13.8" hidden="false" customHeight="false" outlineLevel="0" collapsed="false">
      <c r="A930" s="16"/>
      <c r="B930" s="16"/>
      <c r="C930" s="17"/>
      <c r="D930" s="17"/>
      <c r="E930" s="17"/>
      <c r="F930" s="18"/>
      <c r="G930" s="19" t="str">
        <f aca="true">IF(F930="", "", DATEDIF(F930, TODAY(), "Y"))</f>
        <v/>
      </c>
      <c r="H930" s="18"/>
      <c r="I930" s="18"/>
      <c r="J930" s="19" t="str">
        <f aca="true">IF(ISBLANK(H930), "", I930-TODAY())</f>
        <v/>
      </c>
      <c r="K930" s="19" t="str">
        <f aca="false" t="array" ref="K930:K930">IF(A930&lt;&gt;"",IF(COUNTIF(A931:A$996,"&lt;&gt;")=0,COUNTA(B930:B$996),IFERROR(MATCH(TRUE(),INDEX((A931:A$996&lt;&gt;""),0),0),COUNTA(B930:B$996))),"")</f>
        <v/>
      </c>
      <c r="L930" s="20"/>
    </row>
    <row r="931" customFormat="false" ht="13.8" hidden="false" customHeight="false" outlineLevel="0" collapsed="false">
      <c r="A931" s="16"/>
      <c r="B931" s="16"/>
      <c r="C931" s="17"/>
      <c r="D931" s="17"/>
      <c r="E931" s="17"/>
      <c r="F931" s="18"/>
      <c r="G931" s="19" t="str">
        <f aca="true">IF(F931="", "", DATEDIF(F931, TODAY(), "Y"))</f>
        <v/>
      </c>
      <c r="H931" s="18"/>
      <c r="I931" s="18"/>
      <c r="J931" s="19" t="str">
        <f aca="true">IF(ISBLANK(H931), "", I931-TODAY())</f>
        <v/>
      </c>
      <c r="K931" s="19" t="str">
        <f aca="false" t="array" ref="K931:K931">IF(A931&lt;&gt;"",IF(COUNTIF(A932:A$996,"&lt;&gt;")=0,COUNTA(B931:B$996),IFERROR(MATCH(TRUE(),INDEX((A932:A$996&lt;&gt;""),0),0),COUNTA(B931:B$996))),"")</f>
        <v/>
      </c>
      <c r="L931" s="20"/>
    </row>
    <row r="932" customFormat="false" ht="13.8" hidden="false" customHeight="false" outlineLevel="0" collapsed="false">
      <c r="A932" s="16"/>
      <c r="B932" s="16"/>
      <c r="C932" s="17"/>
      <c r="D932" s="17"/>
      <c r="E932" s="17"/>
      <c r="F932" s="18"/>
      <c r="G932" s="19" t="str">
        <f aca="true">IF(F932="", "", DATEDIF(F932, TODAY(), "Y"))</f>
        <v/>
      </c>
      <c r="H932" s="18"/>
      <c r="I932" s="18"/>
      <c r="J932" s="19" t="str">
        <f aca="true">IF(ISBLANK(H932), "", I932-TODAY())</f>
        <v/>
      </c>
      <c r="K932" s="19" t="str">
        <f aca="false" t="array" ref="K932:K932">IF(A932&lt;&gt;"",IF(COUNTIF(A933:A$996,"&lt;&gt;")=0,COUNTA(B932:B$996),IFERROR(MATCH(TRUE(),INDEX((A933:A$996&lt;&gt;""),0),0),COUNTA(B932:B$996))),"")</f>
        <v/>
      </c>
      <c r="L932" s="20"/>
    </row>
    <row r="933" customFormat="false" ht="13.8" hidden="false" customHeight="false" outlineLevel="0" collapsed="false">
      <c r="A933" s="16"/>
      <c r="B933" s="16"/>
      <c r="C933" s="17"/>
      <c r="D933" s="17"/>
      <c r="E933" s="17"/>
      <c r="F933" s="18"/>
      <c r="G933" s="19" t="str">
        <f aca="true">IF(F933="", "", DATEDIF(F933, TODAY(), "Y"))</f>
        <v/>
      </c>
      <c r="H933" s="18"/>
      <c r="I933" s="18"/>
      <c r="J933" s="19" t="str">
        <f aca="true">IF(ISBLANK(H933), "", I933-TODAY())</f>
        <v/>
      </c>
      <c r="K933" s="19" t="str">
        <f aca="false" t="array" ref="K933:K933">IF(A933&lt;&gt;"",IF(COUNTIF(A934:A$996,"&lt;&gt;")=0,COUNTA(B933:B$996),IFERROR(MATCH(TRUE(),INDEX((A934:A$996&lt;&gt;""),0),0),COUNTA(B933:B$996))),"")</f>
        <v/>
      </c>
      <c r="L933" s="20"/>
    </row>
    <row r="934" customFormat="false" ht="13.8" hidden="false" customHeight="false" outlineLevel="0" collapsed="false">
      <c r="A934" s="16"/>
      <c r="B934" s="16"/>
      <c r="C934" s="17"/>
      <c r="D934" s="17"/>
      <c r="E934" s="17"/>
      <c r="F934" s="18"/>
      <c r="G934" s="19" t="str">
        <f aca="true">IF(F934="", "", DATEDIF(F934, TODAY(), "Y"))</f>
        <v/>
      </c>
      <c r="H934" s="18"/>
      <c r="I934" s="18"/>
      <c r="J934" s="19" t="str">
        <f aca="true">IF(ISBLANK(H934), "", I934-TODAY())</f>
        <v/>
      </c>
      <c r="K934" s="19" t="str">
        <f aca="false" t="array" ref="K934:K934">IF(A934&lt;&gt;"",IF(COUNTIF(A935:A$996,"&lt;&gt;")=0,COUNTA(B934:B$996),IFERROR(MATCH(TRUE(),INDEX((A935:A$996&lt;&gt;""),0),0),COUNTA(B934:B$996))),"")</f>
        <v/>
      </c>
      <c r="L934" s="20"/>
    </row>
    <row r="935" customFormat="false" ht="13.8" hidden="false" customHeight="false" outlineLevel="0" collapsed="false">
      <c r="A935" s="16"/>
      <c r="B935" s="16"/>
      <c r="C935" s="17"/>
      <c r="D935" s="17"/>
      <c r="E935" s="17"/>
      <c r="F935" s="18"/>
      <c r="G935" s="19" t="str">
        <f aca="true">IF(F935="", "", DATEDIF(F935, TODAY(), "Y"))</f>
        <v/>
      </c>
      <c r="H935" s="18"/>
      <c r="I935" s="18"/>
      <c r="J935" s="19" t="str">
        <f aca="true">IF(ISBLANK(H935), "", I935-TODAY())</f>
        <v/>
      </c>
      <c r="K935" s="19" t="str">
        <f aca="false" t="array" ref="K935:K935">IF(A935&lt;&gt;"",IF(COUNTIF(A936:A$996,"&lt;&gt;")=0,COUNTA(B935:B$996),IFERROR(MATCH(TRUE(),INDEX((A936:A$996&lt;&gt;""),0),0),COUNTA(B935:B$996))),"")</f>
        <v/>
      </c>
      <c r="L935" s="20"/>
    </row>
    <row r="936" customFormat="false" ht="13.8" hidden="false" customHeight="false" outlineLevel="0" collapsed="false">
      <c r="A936" s="16"/>
      <c r="B936" s="16"/>
      <c r="C936" s="17"/>
      <c r="D936" s="17"/>
      <c r="E936" s="17"/>
      <c r="F936" s="18"/>
      <c r="G936" s="19" t="str">
        <f aca="true">IF(F936="", "", DATEDIF(F936, TODAY(), "Y"))</f>
        <v/>
      </c>
      <c r="H936" s="18"/>
      <c r="I936" s="18"/>
      <c r="J936" s="19" t="str">
        <f aca="true">IF(ISBLANK(H936), "", I936-TODAY())</f>
        <v/>
      </c>
      <c r="K936" s="19" t="str">
        <f aca="false" t="array" ref="K936:K936">IF(A936&lt;&gt;"",IF(COUNTIF(A937:A$996,"&lt;&gt;")=0,COUNTA(B936:B$996),IFERROR(MATCH(TRUE(),INDEX((A937:A$996&lt;&gt;""),0),0),COUNTA(B936:B$996))),"")</f>
        <v/>
      </c>
      <c r="L936" s="20"/>
    </row>
    <row r="937" customFormat="false" ht="13.8" hidden="false" customHeight="false" outlineLevel="0" collapsed="false">
      <c r="A937" s="16"/>
      <c r="B937" s="16"/>
      <c r="C937" s="17"/>
      <c r="D937" s="17"/>
      <c r="E937" s="17"/>
      <c r="F937" s="18"/>
      <c r="G937" s="19" t="str">
        <f aca="true">IF(F937="", "", DATEDIF(F937, TODAY(), "Y"))</f>
        <v/>
      </c>
      <c r="H937" s="18"/>
      <c r="I937" s="18"/>
      <c r="J937" s="19" t="str">
        <f aca="true">IF(ISBLANK(H937), "", I937-TODAY())</f>
        <v/>
      </c>
      <c r="K937" s="19" t="str">
        <f aca="false" t="array" ref="K937:K937">IF(A937&lt;&gt;"",IF(COUNTIF(A938:A$996,"&lt;&gt;")=0,COUNTA(B937:B$996),IFERROR(MATCH(TRUE(),INDEX((A938:A$996&lt;&gt;""),0),0),COUNTA(B937:B$996))),"")</f>
        <v/>
      </c>
      <c r="L937" s="20"/>
    </row>
    <row r="938" customFormat="false" ht="13.8" hidden="false" customHeight="false" outlineLevel="0" collapsed="false">
      <c r="A938" s="16"/>
      <c r="B938" s="16"/>
      <c r="C938" s="17"/>
      <c r="D938" s="17"/>
      <c r="E938" s="17"/>
      <c r="F938" s="18"/>
      <c r="G938" s="19" t="str">
        <f aca="true">IF(F938="", "", DATEDIF(F938, TODAY(), "Y"))</f>
        <v/>
      </c>
      <c r="H938" s="18"/>
      <c r="I938" s="18"/>
      <c r="J938" s="19" t="str">
        <f aca="true">IF(ISBLANK(H938), "", I938-TODAY())</f>
        <v/>
      </c>
      <c r="K938" s="19" t="str">
        <f aca="false" t="array" ref="K938:K938">IF(A938&lt;&gt;"",IF(COUNTIF(A939:A$996,"&lt;&gt;")=0,COUNTA(B938:B$996),IFERROR(MATCH(TRUE(),INDEX((A939:A$996&lt;&gt;""),0),0),COUNTA(B938:B$996))),"")</f>
        <v/>
      </c>
      <c r="L938" s="20"/>
    </row>
    <row r="939" customFormat="false" ht="13.8" hidden="false" customHeight="false" outlineLevel="0" collapsed="false">
      <c r="A939" s="16"/>
      <c r="B939" s="16"/>
      <c r="C939" s="17"/>
      <c r="D939" s="17"/>
      <c r="E939" s="17"/>
      <c r="F939" s="18"/>
      <c r="G939" s="19" t="str">
        <f aca="true">IF(F939="", "", DATEDIF(F939, TODAY(), "Y"))</f>
        <v/>
      </c>
      <c r="H939" s="18"/>
      <c r="I939" s="18"/>
      <c r="J939" s="19" t="str">
        <f aca="true">IF(ISBLANK(H939), "", I939-TODAY())</f>
        <v/>
      </c>
      <c r="K939" s="19" t="str">
        <f aca="false" t="array" ref="K939:K939">IF(A939&lt;&gt;"",IF(COUNTIF(A940:A$996,"&lt;&gt;")=0,COUNTA(B939:B$996),IFERROR(MATCH(TRUE(),INDEX((A940:A$996&lt;&gt;""),0),0),COUNTA(B939:B$996))),"")</f>
        <v/>
      </c>
      <c r="L939" s="20"/>
    </row>
    <row r="940" customFormat="false" ht="13.8" hidden="false" customHeight="false" outlineLevel="0" collapsed="false">
      <c r="A940" s="16"/>
      <c r="B940" s="16"/>
      <c r="C940" s="17"/>
      <c r="D940" s="17"/>
      <c r="E940" s="17"/>
      <c r="F940" s="18"/>
      <c r="G940" s="19" t="str">
        <f aca="true">IF(F940="", "", DATEDIF(F940, TODAY(), "Y"))</f>
        <v/>
      </c>
      <c r="H940" s="18"/>
      <c r="I940" s="18"/>
      <c r="J940" s="19" t="str">
        <f aca="true">IF(ISBLANK(H940), "", I940-TODAY())</f>
        <v/>
      </c>
      <c r="K940" s="19" t="str">
        <f aca="false" t="array" ref="K940:K940">IF(A940&lt;&gt;"",IF(COUNTIF(A941:A$996,"&lt;&gt;")=0,COUNTA(B940:B$996),IFERROR(MATCH(TRUE(),INDEX((A941:A$996&lt;&gt;""),0),0),COUNTA(B940:B$996))),"")</f>
        <v/>
      </c>
      <c r="L940" s="20"/>
    </row>
    <row r="941" customFormat="false" ht="13.8" hidden="false" customHeight="false" outlineLevel="0" collapsed="false">
      <c r="A941" s="16"/>
      <c r="B941" s="16"/>
      <c r="C941" s="17"/>
      <c r="D941" s="17"/>
      <c r="E941" s="17"/>
      <c r="F941" s="18"/>
      <c r="G941" s="19" t="str">
        <f aca="true">IF(F941="", "", DATEDIF(F941, TODAY(), "Y"))</f>
        <v/>
      </c>
      <c r="H941" s="18"/>
      <c r="I941" s="18"/>
      <c r="J941" s="19" t="str">
        <f aca="true">IF(ISBLANK(H941), "", I941-TODAY())</f>
        <v/>
      </c>
      <c r="K941" s="19" t="str">
        <f aca="false" t="array" ref="K941:K941">IF(A941&lt;&gt;"",IF(COUNTIF(A942:A$996,"&lt;&gt;")=0,COUNTA(B941:B$996),IFERROR(MATCH(TRUE(),INDEX((A942:A$996&lt;&gt;""),0),0),COUNTA(B941:B$996))),"")</f>
        <v/>
      </c>
      <c r="L941" s="20"/>
    </row>
    <row r="942" customFormat="false" ht="13.8" hidden="false" customHeight="false" outlineLevel="0" collapsed="false">
      <c r="A942" s="16"/>
      <c r="B942" s="16"/>
      <c r="C942" s="17"/>
      <c r="D942" s="17"/>
      <c r="E942" s="17"/>
      <c r="F942" s="18"/>
      <c r="G942" s="19" t="str">
        <f aca="true">IF(F942="", "", DATEDIF(F942, TODAY(), "Y"))</f>
        <v/>
      </c>
      <c r="H942" s="18"/>
      <c r="I942" s="18"/>
      <c r="J942" s="19" t="str">
        <f aca="true">IF(ISBLANK(H942), "", I942-TODAY())</f>
        <v/>
      </c>
      <c r="K942" s="19" t="str">
        <f aca="false" t="array" ref="K942:K942">IF(A942&lt;&gt;"",IF(COUNTIF(A943:A$996,"&lt;&gt;")=0,COUNTA(B942:B$996),IFERROR(MATCH(TRUE(),INDEX((A943:A$996&lt;&gt;""),0),0),COUNTA(B942:B$996))),"")</f>
        <v/>
      </c>
      <c r="L942" s="20"/>
    </row>
    <row r="943" customFormat="false" ht="13.8" hidden="false" customHeight="false" outlineLevel="0" collapsed="false">
      <c r="A943" s="16"/>
      <c r="B943" s="16"/>
      <c r="C943" s="17"/>
      <c r="D943" s="17"/>
      <c r="E943" s="17"/>
      <c r="F943" s="18"/>
      <c r="G943" s="19" t="str">
        <f aca="true">IF(F943="", "", DATEDIF(F943, TODAY(), "Y"))</f>
        <v/>
      </c>
      <c r="H943" s="18"/>
      <c r="I943" s="18"/>
      <c r="J943" s="19" t="str">
        <f aca="true">IF(ISBLANK(H943), "", I943-TODAY())</f>
        <v/>
      </c>
      <c r="K943" s="19" t="str">
        <f aca="false" t="array" ref="K943:K943">IF(A943&lt;&gt;"",IF(COUNTIF(A944:A$996,"&lt;&gt;")=0,COUNTA(B943:B$996),IFERROR(MATCH(TRUE(),INDEX((A944:A$996&lt;&gt;""),0),0),COUNTA(B943:B$996))),"")</f>
        <v/>
      </c>
      <c r="L943" s="20"/>
    </row>
    <row r="944" customFormat="false" ht="13.8" hidden="false" customHeight="false" outlineLevel="0" collapsed="false">
      <c r="A944" s="16"/>
      <c r="B944" s="16"/>
      <c r="C944" s="17"/>
      <c r="D944" s="17"/>
      <c r="E944" s="17"/>
      <c r="F944" s="18"/>
      <c r="G944" s="19" t="str">
        <f aca="true">IF(F944="", "", DATEDIF(F944, TODAY(), "Y"))</f>
        <v/>
      </c>
      <c r="H944" s="18"/>
      <c r="I944" s="18"/>
      <c r="J944" s="19" t="str">
        <f aca="true">IF(ISBLANK(H944), "", I944-TODAY())</f>
        <v/>
      </c>
      <c r="K944" s="19" t="str">
        <f aca="false" t="array" ref="K944:K944">IF(A944&lt;&gt;"",IF(COUNTIF(A945:A$996,"&lt;&gt;")=0,COUNTA(B944:B$996),IFERROR(MATCH(TRUE(),INDEX((A945:A$996&lt;&gt;""),0),0),COUNTA(B944:B$996))),"")</f>
        <v/>
      </c>
      <c r="L944" s="20"/>
    </row>
    <row r="945" customFormat="false" ht="13.8" hidden="false" customHeight="false" outlineLevel="0" collapsed="false">
      <c r="A945" s="16"/>
      <c r="B945" s="16"/>
      <c r="C945" s="17"/>
      <c r="D945" s="17"/>
      <c r="E945" s="17"/>
      <c r="F945" s="18"/>
      <c r="G945" s="19" t="str">
        <f aca="true">IF(F945="", "", DATEDIF(F945, TODAY(), "Y"))</f>
        <v/>
      </c>
      <c r="H945" s="18"/>
      <c r="I945" s="18"/>
      <c r="J945" s="19" t="str">
        <f aca="true">IF(ISBLANK(H945), "", I945-TODAY())</f>
        <v/>
      </c>
      <c r="K945" s="19" t="str">
        <f aca="false" t="array" ref="K945:K945">IF(A945&lt;&gt;"",IF(COUNTIF(A946:A$996,"&lt;&gt;")=0,COUNTA(B945:B$996),IFERROR(MATCH(TRUE(),INDEX((A946:A$996&lt;&gt;""),0),0),COUNTA(B945:B$996))),"")</f>
        <v/>
      </c>
      <c r="L945" s="20"/>
    </row>
    <row r="946" customFormat="false" ht="13.8" hidden="false" customHeight="false" outlineLevel="0" collapsed="false">
      <c r="A946" s="16"/>
      <c r="B946" s="16"/>
      <c r="C946" s="17"/>
      <c r="D946" s="17"/>
      <c r="E946" s="17"/>
      <c r="F946" s="18"/>
      <c r="G946" s="19" t="str">
        <f aca="true">IF(F946="", "", DATEDIF(F946, TODAY(), "Y"))</f>
        <v/>
      </c>
      <c r="H946" s="18"/>
      <c r="I946" s="18"/>
      <c r="J946" s="19" t="str">
        <f aca="true">IF(ISBLANK(H946), "", I946-TODAY())</f>
        <v/>
      </c>
      <c r="K946" s="19" t="str">
        <f aca="false" t="array" ref="K946:K946">IF(A946&lt;&gt;"",IF(COUNTIF(A947:A$996,"&lt;&gt;")=0,COUNTA(B946:B$996),IFERROR(MATCH(TRUE(),INDEX((A947:A$996&lt;&gt;""),0),0),COUNTA(B946:B$996))),"")</f>
        <v/>
      </c>
      <c r="L946" s="20"/>
    </row>
    <row r="947" customFormat="false" ht="13.8" hidden="false" customHeight="false" outlineLevel="0" collapsed="false">
      <c r="A947" s="16"/>
      <c r="B947" s="16"/>
      <c r="C947" s="17"/>
      <c r="D947" s="17"/>
      <c r="E947" s="17"/>
      <c r="F947" s="18"/>
      <c r="G947" s="19" t="str">
        <f aca="true">IF(F947="", "", DATEDIF(F947, TODAY(), "Y"))</f>
        <v/>
      </c>
      <c r="H947" s="18"/>
      <c r="I947" s="18"/>
      <c r="J947" s="19" t="str">
        <f aca="true">IF(ISBLANK(H947), "", I947-TODAY())</f>
        <v/>
      </c>
      <c r="K947" s="19" t="str">
        <f aca="false" t="array" ref="K947:K947">IF(A947&lt;&gt;"",IF(COUNTIF(A948:A$996,"&lt;&gt;")=0,COUNTA(B947:B$996),IFERROR(MATCH(TRUE(),INDEX((A948:A$996&lt;&gt;""),0),0),COUNTA(B947:B$996))),"")</f>
        <v/>
      </c>
      <c r="L947" s="20"/>
    </row>
    <row r="948" customFormat="false" ht="13.8" hidden="false" customHeight="false" outlineLevel="0" collapsed="false">
      <c r="A948" s="16"/>
      <c r="B948" s="16"/>
      <c r="C948" s="17"/>
      <c r="D948" s="17"/>
      <c r="E948" s="17"/>
      <c r="F948" s="18"/>
      <c r="G948" s="19" t="str">
        <f aca="true">IF(F948="", "", DATEDIF(F948, TODAY(), "Y"))</f>
        <v/>
      </c>
      <c r="H948" s="18"/>
      <c r="I948" s="18"/>
      <c r="J948" s="19" t="str">
        <f aca="true">IF(ISBLANK(H948), "", I948-TODAY())</f>
        <v/>
      </c>
      <c r="K948" s="19" t="str">
        <f aca="false" t="array" ref="K948:K948">IF(A948&lt;&gt;"",IF(COUNTIF(A949:A$996,"&lt;&gt;")=0,COUNTA(B948:B$996),IFERROR(MATCH(TRUE(),INDEX((A949:A$996&lt;&gt;""),0),0),COUNTA(B948:B$996))),"")</f>
        <v/>
      </c>
      <c r="L948" s="20"/>
    </row>
    <row r="949" customFormat="false" ht="13.8" hidden="false" customHeight="false" outlineLevel="0" collapsed="false">
      <c r="A949" s="16"/>
      <c r="B949" s="16"/>
      <c r="C949" s="17"/>
      <c r="D949" s="17"/>
      <c r="E949" s="17"/>
      <c r="F949" s="18"/>
      <c r="G949" s="19" t="str">
        <f aca="true">IF(F949="", "", DATEDIF(F949, TODAY(), "Y"))</f>
        <v/>
      </c>
      <c r="H949" s="18"/>
      <c r="I949" s="18"/>
      <c r="J949" s="19" t="str">
        <f aca="true">IF(ISBLANK(H949), "", I949-TODAY())</f>
        <v/>
      </c>
      <c r="K949" s="19" t="str">
        <f aca="false" t="array" ref="K949:K949">IF(A949&lt;&gt;"",IF(COUNTIF(A950:A$996,"&lt;&gt;")=0,COUNTA(B949:B$996),IFERROR(MATCH(TRUE(),INDEX((A950:A$996&lt;&gt;""),0),0),COUNTA(B949:B$996))),"")</f>
        <v/>
      </c>
      <c r="L949" s="20"/>
    </row>
    <row r="950" customFormat="false" ht="13.8" hidden="false" customHeight="false" outlineLevel="0" collapsed="false">
      <c r="A950" s="16"/>
      <c r="B950" s="16"/>
      <c r="C950" s="17"/>
      <c r="D950" s="17"/>
      <c r="E950" s="17"/>
      <c r="F950" s="18"/>
      <c r="G950" s="19" t="str">
        <f aca="true">IF(F950="", "", DATEDIF(F950, TODAY(), "Y"))</f>
        <v/>
      </c>
      <c r="H950" s="18"/>
      <c r="I950" s="18"/>
      <c r="J950" s="19" t="str">
        <f aca="true">IF(ISBLANK(H950), "", I950-TODAY())</f>
        <v/>
      </c>
      <c r="K950" s="19" t="str">
        <f aca="false" t="array" ref="K950:K950">IF(A950&lt;&gt;"",IF(COUNTIF(A951:A$996,"&lt;&gt;")=0,COUNTA(B950:B$996),IFERROR(MATCH(TRUE(),INDEX((A951:A$996&lt;&gt;""),0),0),COUNTA(B950:B$996))),"")</f>
        <v/>
      </c>
      <c r="L950" s="20"/>
    </row>
    <row r="951" customFormat="false" ht="13.8" hidden="false" customHeight="false" outlineLevel="0" collapsed="false">
      <c r="A951" s="16"/>
      <c r="B951" s="16"/>
      <c r="C951" s="17"/>
      <c r="D951" s="17"/>
      <c r="E951" s="17"/>
      <c r="F951" s="18"/>
      <c r="G951" s="19" t="str">
        <f aca="true">IF(F951="", "", DATEDIF(F951, TODAY(), "Y"))</f>
        <v/>
      </c>
      <c r="H951" s="18"/>
      <c r="I951" s="18"/>
      <c r="J951" s="19" t="str">
        <f aca="true">IF(ISBLANK(H951), "", I951-TODAY())</f>
        <v/>
      </c>
      <c r="K951" s="19" t="str">
        <f aca="false" t="array" ref="K951:K951">IF(A951&lt;&gt;"",IF(COUNTIF(A952:A$996,"&lt;&gt;")=0,COUNTA(B951:B$996),IFERROR(MATCH(TRUE(),INDEX((A952:A$996&lt;&gt;""),0),0),COUNTA(B951:B$996))),"")</f>
        <v/>
      </c>
      <c r="L951" s="20"/>
    </row>
    <row r="952" customFormat="false" ht="13.8" hidden="false" customHeight="false" outlineLevel="0" collapsed="false">
      <c r="A952" s="16"/>
      <c r="B952" s="16"/>
      <c r="C952" s="17"/>
      <c r="D952" s="17"/>
      <c r="E952" s="17"/>
      <c r="F952" s="18"/>
      <c r="G952" s="19" t="str">
        <f aca="true">IF(F952="", "", DATEDIF(F952, TODAY(), "Y"))</f>
        <v/>
      </c>
      <c r="H952" s="18"/>
      <c r="I952" s="18"/>
      <c r="J952" s="19" t="str">
        <f aca="true">IF(ISBLANK(H952), "", I952-TODAY())</f>
        <v/>
      </c>
      <c r="K952" s="19" t="str">
        <f aca="false" t="array" ref="K952:K952">IF(A952&lt;&gt;"",IF(COUNTIF(A953:A$996,"&lt;&gt;")=0,COUNTA(B952:B$996),IFERROR(MATCH(TRUE(),INDEX((A953:A$996&lt;&gt;""),0),0),COUNTA(B952:B$996))),"")</f>
        <v/>
      </c>
      <c r="L952" s="20"/>
    </row>
    <row r="953" customFormat="false" ht="13.8" hidden="false" customHeight="false" outlineLevel="0" collapsed="false">
      <c r="A953" s="16"/>
      <c r="B953" s="16"/>
      <c r="C953" s="17"/>
      <c r="D953" s="17"/>
      <c r="E953" s="17"/>
      <c r="F953" s="18"/>
      <c r="G953" s="19" t="str">
        <f aca="true">IF(F953="", "", DATEDIF(F953, TODAY(), "Y"))</f>
        <v/>
      </c>
      <c r="H953" s="18"/>
      <c r="I953" s="18"/>
      <c r="J953" s="19" t="str">
        <f aca="true">IF(ISBLANK(H953), "", I953-TODAY())</f>
        <v/>
      </c>
      <c r="K953" s="19" t="str">
        <f aca="false" t="array" ref="K953:K953">IF(A953&lt;&gt;"",IF(COUNTIF(A954:A$996,"&lt;&gt;")=0,COUNTA(B953:B$996),IFERROR(MATCH(TRUE(),INDEX((A954:A$996&lt;&gt;""),0),0),COUNTA(B953:B$996))),"")</f>
        <v/>
      </c>
      <c r="L953" s="20"/>
    </row>
    <row r="954" customFormat="false" ht="13.8" hidden="false" customHeight="false" outlineLevel="0" collapsed="false">
      <c r="A954" s="16"/>
      <c r="B954" s="16"/>
      <c r="C954" s="17"/>
      <c r="D954" s="17"/>
      <c r="E954" s="17"/>
      <c r="F954" s="18"/>
      <c r="G954" s="19" t="str">
        <f aca="true">IF(F954="", "", DATEDIF(F954, TODAY(), "Y"))</f>
        <v/>
      </c>
      <c r="H954" s="18"/>
      <c r="I954" s="18"/>
      <c r="J954" s="19" t="str">
        <f aca="true">IF(ISBLANK(H954), "", I954-TODAY())</f>
        <v/>
      </c>
      <c r="K954" s="19" t="str">
        <f aca="false" t="array" ref="K954:K954">IF(A954&lt;&gt;"",IF(COUNTIF(A955:A$996,"&lt;&gt;")=0,COUNTA(B954:B$996),IFERROR(MATCH(TRUE(),INDEX((A955:A$996&lt;&gt;""),0),0),COUNTA(B954:B$996))),"")</f>
        <v/>
      </c>
      <c r="L954" s="20"/>
    </row>
    <row r="955" customFormat="false" ht="13.8" hidden="false" customHeight="false" outlineLevel="0" collapsed="false">
      <c r="A955" s="16"/>
      <c r="B955" s="16"/>
      <c r="C955" s="17"/>
      <c r="D955" s="17"/>
      <c r="E955" s="17"/>
      <c r="F955" s="18"/>
      <c r="G955" s="19" t="str">
        <f aca="true">IF(F955="", "", DATEDIF(F955, TODAY(), "Y"))</f>
        <v/>
      </c>
      <c r="H955" s="18"/>
      <c r="I955" s="18"/>
      <c r="J955" s="19" t="str">
        <f aca="true">IF(ISBLANK(H955), "", I955-TODAY())</f>
        <v/>
      </c>
      <c r="K955" s="19" t="str">
        <f aca="false" t="array" ref="K955:K955">IF(A955&lt;&gt;"",IF(COUNTIF(A956:A$996,"&lt;&gt;")=0,COUNTA(B955:B$996),IFERROR(MATCH(TRUE(),INDEX((A956:A$996&lt;&gt;""),0),0),COUNTA(B955:B$996))),"")</f>
        <v/>
      </c>
      <c r="L955" s="20"/>
    </row>
    <row r="956" customFormat="false" ht="13.8" hidden="false" customHeight="false" outlineLevel="0" collapsed="false">
      <c r="A956" s="16"/>
      <c r="B956" s="16"/>
      <c r="C956" s="17"/>
      <c r="D956" s="17"/>
      <c r="E956" s="17"/>
      <c r="F956" s="18"/>
      <c r="G956" s="19" t="str">
        <f aca="true">IF(F956="", "", DATEDIF(F956, TODAY(), "Y"))</f>
        <v/>
      </c>
      <c r="H956" s="18"/>
      <c r="I956" s="18"/>
      <c r="J956" s="19" t="str">
        <f aca="true">IF(ISBLANK(H956), "", I956-TODAY())</f>
        <v/>
      </c>
      <c r="K956" s="19" t="str">
        <f aca="false" t="array" ref="K956:K956">IF(A956&lt;&gt;"",IF(COUNTIF(A957:A$996,"&lt;&gt;")=0,COUNTA(B956:B$996),IFERROR(MATCH(TRUE(),INDEX((A957:A$996&lt;&gt;""),0),0),COUNTA(B956:B$996))),"")</f>
        <v/>
      </c>
      <c r="L956" s="20"/>
    </row>
    <row r="957" customFormat="false" ht="13.8" hidden="false" customHeight="false" outlineLevel="0" collapsed="false">
      <c r="A957" s="16"/>
      <c r="B957" s="16"/>
      <c r="C957" s="17"/>
      <c r="D957" s="17"/>
      <c r="E957" s="17"/>
      <c r="F957" s="18"/>
      <c r="G957" s="19" t="str">
        <f aca="true">IF(F957="", "", DATEDIF(F957, TODAY(), "Y"))</f>
        <v/>
      </c>
      <c r="H957" s="18"/>
      <c r="I957" s="18"/>
      <c r="J957" s="19" t="str">
        <f aca="true">IF(ISBLANK(H957), "", I957-TODAY())</f>
        <v/>
      </c>
      <c r="K957" s="19" t="str">
        <f aca="false" t="array" ref="K957:K957">IF(A957&lt;&gt;"",IF(COUNTIF(A958:A$996,"&lt;&gt;")=0,COUNTA(B957:B$996),IFERROR(MATCH(TRUE(),INDEX((A958:A$996&lt;&gt;""),0),0),COUNTA(B957:B$996))),"")</f>
        <v/>
      </c>
      <c r="L957" s="20"/>
    </row>
    <row r="958" customFormat="false" ht="13.8" hidden="false" customHeight="false" outlineLevel="0" collapsed="false">
      <c r="A958" s="16"/>
      <c r="B958" s="16"/>
      <c r="C958" s="17"/>
      <c r="D958" s="17"/>
      <c r="E958" s="17"/>
      <c r="F958" s="18"/>
      <c r="G958" s="19" t="str">
        <f aca="true">IF(F958="", "", DATEDIF(F958, TODAY(), "Y"))</f>
        <v/>
      </c>
      <c r="H958" s="18"/>
      <c r="I958" s="18"/>
      <c r="J958" s="19" t="str">
        <f aca="true">IF(ISBLANK(H958), "", I958-TODAY())</f>
        <v/>
      </c>
      <c r="K958" s="19" t="str">
        <f aca="false" t="array" ref="K958:K958">IF(A958&lt;&gt;"",IF(COUNTIF(A959:A$996,"&lt;&gt;")=0,COUNTA(B958:B$996),IFERROR(MATCH(TRUE(),INDEX((A959:A$996&lt;&gt;""),0),0),COUNTA(B958:B$996))),"")</f>
        <v/>
      </c>
      <c r="L958" s="20"/>
    </row>
    <row r="959" customFormat="false" ht="13.8" hidden="false" customHeight="false" outlineLevel="0" collapsed="false">
      <c r="A959" s="16"/>
      <c r="B959" s="16"/>
      <c r="C959" s="17"/>
      <c r="D959" s="17"/>
      <c r="E959" s="17"/>
      <c r="F959" s="18"/>
      <c r="G959" s="19" t="str">
        <f aca="true">IF(F959="", "", DATEDIF(F959, TODAY(), "Y"))</f>
        <v/>
      </c>
      <c r="H959" s="18"/>
      <c r="I959" s="18"/>
      <c r="J959" s="19" t="str">
        <f aca="true">IF(ISBLANK(H959), "", I959-TODAY())</f>
        <v/>
      </c>
      <c r="K959" s="19" t="str">
        <f aca="false" t="array" ref="K959:K959">IF(A959&lt;&gt;"",IF(COUNTIF(A960:A$996,"&lt;&gt;")=0,COUNTA(B959:B$996),IFERROR(MATCH(TRUE(),INDEX((A960:A$996&lt;&gt;""),0),0),COUNTA(B959:B$996))),"")</f>
        <v/>
      </c>
      <c r="L959" s="20"/>
    </row>
    <row r="960" customFormat="false" ht="13.8" hidden="false" customHeight="false" outlineLevel="0" collapsed="false">
      <c r="A960" s="16"/>
      <c r="B960" s="16"/>
      <c r="C960" s="17"/>
      <c r="D960" s="17"/>
      <c r="E960" s="17"/>
      <c r="F960" s="18"/>
      <c r="G960" s="19" t="str">
        <f aca="true">IF(F960="", "", DATEDIF(F960, TODAY(), "Y"))</f>
        <v/>
      </c>
      <c r="H960" s="18"/>
      <c r="I960" s="18"/>
      <c r="J960" s="19" t="str">
        <f aca="true">IF(ISBLANK(H960), "", I960-TODAY())</f>
        <v/>
      </c>
      <c r="K960" s="19" t="str">
        <f aca="false" t="array" ref="K960:K960">IF(A960&lt;&gt;"",IF(COUNTIF(A961:A$996,"&lt;&gt;")=0,COUNTA(B960:B$996),IFERROR(MATCH(TRUE(),INDEX((A961:A$996&lt;&gt;""),0),0),COUNTA(B960:B$996))),"")</f>
        <v/>
      </c>
      <c r="L960" s="20"/>
    </row>
    <row r="961" customFormat="false" ht="13.8" hidden="false" customHeight="false" outlineLevel="0" collapsed="false">
      <c r="A961" s="16"/>
      <c r="B961" s="16"/>
      <c r="C961" s="17"/>
      <c r="D961" s="17"/>
      <c r="E961" s="17"/>
      <c r="F961" s="18"/>
      <c r="G961" s="19" t="str">
        <f aca="true">IF(F961="", "", DATEDIF(F961, TODAY(), "Y"))</f>
        <v/>
      </c>
      <c r="H961" s="18"/>
      <c r="I961" s="18"/>
      <c r="J961" s="19" t="str">
        <f aca="true">IF(ISBLANK(H961), "", I961-TODAY())</f>
        <v/>
      </c>
      <c r="K961" s="19" t="str">
        <f aca="false" t="array" ref="K961:K961">IF(A961&lt;&gt;"",IF(COUNTIF(A962:A$996,"&lt;&gt;")=0,COUNTA(B961:B$996),IFERROR(MATCH(TRUE(),INDEX((A962:A$996&lt;&gt;""),0),0),COUNTA(B961:B$996))),"")</f>
        <v/>
      </c>
      <c r="L961" s="20"/>
    </row>
    <row r="962" customFormat="false" ht="13.8" hidden="false" customHeight="false" outlineLevel="0" collapsed="false">
      <c r="A962" s="16"/>
      <c r="B962" s="16"/>
      <c r="C962" s="17"/>
      <c r="D962" s="17"/>
      <c r="E962" s="17"/>
      <c r="F962" s="18"/>
      <c r="G962" s="19" t="str">
        <f aca="true">IF(F962="", "", DATEDIF(F962, TODAY(), "Y"))</f>
        <v/>
      </c>
      <c r="H962" s="18"/>
      <c r="I962" s="18"/>
      <c r="J962" s="19" t="str">
        <f aca="true">IF(ISBLANK(H962), "", I962-TODAY())</f>
        <v/>
      </c>
      <c r="K962" s="19" t="str">
        <f aca="false" t="array" ref="K962:K962">IF(A962&lt;&gt;"",IF(COUNTIF(A963:A$996,"&lt;&gt;")=0,COUNTA(B962:B$996),IFERROR(MATCH(TRUE(),INDEX((A963:A$996&lt;&gt;""),0),0),COUNTA(B962:B$996))),"")</f>
        <v/>
      </c>
      <c r="L962" s="20"/>
    </row>
    <row r="963" customFormat="false" ht="13.8" hidden="false" customHeight="false" outlineLevel="0" collapsed="false">
      <c r="A963" s="16"/>
      <c r="B963" s="16"/>
      <c r="C963" s="17"/>
      <c r="D963" s="17"/>
      <c r="E963" s="17"/>
      <c r="F963" s="18"/>
      <c r="G963" s="19" t="str">
        <f aca="true">IF(F963="", "", DATEDIF(F963, TODAY(), "Y"))</f>
        <v/>
      </c>
      <c r="H963" s="18"/>
      <c r="I963" s="18"/>
      <c r="J963" s="19" t="str">
        <f aca="true">IF(ISBLANK(H963), "", I963-TODAY())</f>
        <v/>
      </c>
      <c r="K963" s="19" t="str">
        <f aca="false" t="array" ref="K963:K963">IF(A963&lt;&gt;"",IF(COUNTIF(A964:A$996,"&lt;&gt;")=0,COUNTA(B963:B$996),IFERROR(MATCH(TRUE(),INDEX((A964:A$996&lt;&gt;""),0),0),COUNTA(B963:B$996))),"")</f>
        <v/>
      </c>
      <c r="L963" s="20"/>
    </row>
    <row r="964" customFormat="false" ht="13.8" hidden="false" customHeight="false" outlineLevel="0" collapsed="false">
      <c r="A964" s="16"/>
      <c r="B964" s="16"/>
      <c r="C964" s="17"/>
      <c r="D964" s="17"/>
      <c r="E964" s="17"/>
      <c r="F964" s="18"/>
      <c r="G964" s="19" t="str">
        <f aca="true">IF(F964="", "", DATEDIF(F964, TODAY(), "Y"))</f>
        <v/>
      </c>
      <c r="H964" s="18"/>
      <c r="I964" s="18"/>
      <c r="J964" s="19" t="str">
        <f aca="true">IF(ISBLANK(H964), "", I964-TODAY())</f>
        <v/>
      </c>
      <c r="K964" s="19" t="str">
        <f aca="false" t="array" ref="K964:K964">IF(A964&lt;&gt;"",IF(COUNTIF(A965:A$996,"&lt;&gt;")=0,COUNTA(B964:B$996),IFERROR(MATCH(TRUE(),INDEX((A965:A$996&lt;&gt;""),0),0),COUNTA(B964:B$996))),"")</f>
        <v/>
      </c>
      <c r="L964" s="20"/>
    </row>
    <row r="965" customFormat="false" ht="13.8" hidden="false" customHeight="false" outlineLevel="0" collapsed="false">
      <c r="A965" s="16"/>
      <c r="B965" s="16"/>
      <c r="C965" s="17"/>
      <c r="D965" s="17"/>
      <c r="E965" s="17"/>
      <c r="F965" s="18"/>
      <c r="G965" s="19" t="str">
        <f aca="true">IF(F965="", "", DATEDIF(F965, TODAY(), "Y"))</f>
        <v/>
      </c>
      <c r="H965" s="18"/>
      <c r="I965" s="18"/>
      <c r="J965" s="19" t="str">
        <f aca="true">IF(ISBLANK(H965), "", I965-TODAY())</f>
        <v/>
      </c>
      <c r="K965" s="19" t="str">
        <f aca="false" t="array" ref="K965:K965">IF(A965&lt;&gt;"",IF(COUNTIF(A966:A$996,"&lt;&gt;")=0,COUNTA(B965:B$996),IFERROR(MATCH(TRUE(),INDEX((A966:A$996&lt;&gt;""),0),0),COUNTA(B965:B$996))),"")</f>
        <v/>
      </c>
      <c r="L965" s="20"/>
    </row>
    <row r="966" customFormat="false" ht="13.8" hidden="false" customHeight="false" outlineLevel="0" collapsed="false">
      <c r="A966" s="16"/>
      <c r="B966" s="16"/>
      <c r="C966" s="17"/>
      <c r="D966" s="17"/>
      <c r="E966" s="17"/>
      <c r="F966" s="18"/>
      <c r="G966" s="19" t="str">
        <f aca="true">IF(F966="", "", DATEDIF(F966, TODAY(), "Y"))</f>
        <v/>
      </c>
      <c r="H966" s="18"/>
      <c r="I966" s="18"/>
      <c r="J966" s="19" t="str">
        <f aca="true">IF(ISBLANK(H966), "", I966-TODAY())</f>
        <v/>
      </c>
      <c r="K966" s="19" t="str">
        <f aca="false" t="array" ref="K966:K966">IF(A966&lt;&gt;"",IF(COUNTIF(A967:A$996,"&lt;&gt;")=0,COUNTA(B966:B$996),IFERROR(MATCH(TRUE(),INDEX((A967:A$996&lt;&gt;""),0),0),COUNTA(B966:B$996))),"")</f>
        <v/>
      </c>
      <c r="L966" s="20"/>
    </row>
    <row r="967" customFormat="false" ht="13.8" hidden="false" customHeight="false" outlineLevel="0" collapsed="false">
      <c r="A967" s="16"/>
      <c r="B967" s="16"/>
      <c r="C967" s="17"/>
      <c r="D967" s="17"/>
      <c r="E967" s="17"/>
      <c r="F967" s="18"/>
      <c r="G967" s="19" t="str">
        <f aca="true">IF(F967="", "", DATEDIF(F967, TODAY(), "Y"))</f>
        <v/>
      </c>
      <c r="H967" s="18"/>
      <c r="I967" s="18"/>
      <c r="J967" s="19" t="str">
        <f aca="true">IF(ISBLANK(H967), "", I967-TODAY())</f>
        <v/>
      </c>
      <c r="K967" s="19" t="str">
        <f aca="false" t="array" ref="K967:K967">IF(A967&lt;&gt;"",IF(COUNTIF(A968:A$996,"&lt;&gt;")=0,COUNTA(B967:B$996),IFERROR(MATCH(TRUE(),INDEX((A968:A$996&lt;&gt;""),0),0),COUNTA(B967:B$996))),"")</f>
        <v/>
      </c>
      <c r="L967" s="20"/>
    </row>
    <row r="968" customFormat="false" ht="13.8" hidden="false" customHeight="false" outlineLevel="0" collapsed="false">
      <c r="A968" s="16"/>
      <c r="B968" s="16"/>
      <c r="C968" s="17"/>
      <c r="D968" s="17"/>
      <c r="E968" s="17"/>
      <c r="F968" s="18"/>
      <c r="G968" s="19" t="str">
        <f aca="true">IF(F968="", "", DATEDIF(F968, TODAY(), "Y"))</f>
        <v/>
      </c>
      <c r="H968" s="18"/>
      <c r="I968" s="18"/>
      <c r="J968" s="19" t="str">
        <f aca="true">IF(ISBLANK(H968), "", I968-TODAY())</f>
        <v/>
      </c>
      <c r="K968" s="19" t="str">
        <f aca="false" t="array" ref="K968:K968">IF(A968&lt;&gt;"",IF(COUNTIF(A969:A$996,"&lt;&gt;")=0,COUNTA(B968:B$996),IFERROR(MATCH(TRUE(),INDEX((A969:A$996&lt;&gt;""),0),0),COUNTA(B968:B$996))),"")</f>
        <v/>
      </c>
      <c r="L968" s="20"/>
    </row>
    <row r="969" customFormat="false" ht="13.8" hidden="false" customHeight="false" outlineLevel="0" collapsed="false">
      <c r="A969" s="16"/>
      <c r="B969" s="16"/>
      <c r="C969" s="17"/>
      <c r="D969" s="17"/>
      <c r="E969" s="17"/>
      <c r="F969" s="18"/>
      <c r="G969" s="19" t="str">
        <f aca="true">IF(F969="", "", DATEDIF(F969, TODAY(), "Y"))</f>
        <v/>
      </c>
      <c r="H969" s="18"/>
      <c r="I969" s="18"/>
      <c r="J969" s="19" t="str">
        <f aca="true">IF(ISBLANK(H969), "", I969-TODAY())</f>
        <v/>
      </c>
      <c r="K969" s="19" t="str">
        <f aca="false" t="array" ref="K969:K969">IF(A969&lt;&gt;"",IF(COUNTIF(A970:A$996,"&lt;&gt;")=0,COUNTA(B969:B$996),IFERROR(MATCH(TRUE(),INDEX((A970:A$996&lt;&gt;""),0),0),COUNTA(B969:B$996))),"")</f>
        <v/>
      </c>
      <c r="L969" s="20"/>
    </row>
    <row r="970" customFormat="false" ht="13.8" hidden="false" customHeight="false" outlineLevel="0" collapsed="false">
      <c r="A970" s="16"/>
      <c r="B970" s="16"/>
      <c r="C970" s="17"/>
      <c r="D970" s="17"/>
      <c r="E970" s="17"/>
      <c r="F970" s="18"/>
      <c r="G970" s="19" t="str">
        <f aca="true">IF(F970="", "", DATEDIF(F970, TODAY(), "Y"))</f>
        <v/>
      </c>
      <c r="H970" s="18"/>
      <c r="I970" s="18"/>
      <c r="J970" s="19" t="str">
        <f aca="true">IF(ISBLANK(H970), "", I970-TODAY())</f>
        <v/>
      </c>
      <c r="K970" s="19" t="str">
        <f aca="false" t="array" ref="K970:K970">IF(A970&lt;&gt;"",IF(COUNTIF(A971:A$996,"&lt;&gt;")=0,COUNTA(B970:B$996),IFERROR(MATCH(TRUE(),INDEX((A971:A$996&lt;&gt;""),0),0),COUNTA(B970:B$996))),"")</f>
        <v/>
      </c>
      <c r="L970" s="20"/>
    </row>
    <row r="971" customFormat="false" ht="13.8" hidden="false" customHeight="false" outlineLevel="0" collapsed="false">
      <c r="A971" s="16"/>
      <c r="B971" s="16"/>
      <c r="C971" s="17"/>
      <c r="D971" s="17"/>
      <c r="E971" s="17"/>
      <c r="F971" s="18"/>
      <c r="G971" s="19" t="str">
        <f aca="true">IF(F971="", "", DATEDIF(F971, TODAY(), "Y"))</f>
        <v/>
      </c>
      <c r="H971" s="18"/>
      <c r="I971" s="18"/>
      <c r="J971" s="19" t="str">
        <f aca="true">IF(ISBLANK(H971), "", I971-TODAY())</f>
        <v/>
      </c>
      <c r="K971" s="19" t="str">
        <f aca="false" t="array" ref="K971:K971">IF(A971&lt;&gt;"",IF(COUNTIF(A972:A$996,"&lt;&gt;")=0,COUNTA(B971:B$996),IFERROR(MATCH(TRUE(),INDEX((A972:A$996&lt;&gt;""),0),0),COUNTA(B971:B$996))),"")</f>
        <v/>
      </c>
      <c r="L971" s="20"/>
    </row>
    <row r="972" customFormat="false" ht="13.8" hidden="false" customHeight="false" outlineLevel="0" collapsed="false">
      <c r="A972" s="16"/>
      <c r="B972" s="16"/>
      <c r="C972" s="17"/>
      <c r="D972" s="17"/>
      <c r="E972" s="17"/>
      <c r="F972" s="18"/>
      <c r="G972" s="19" t="str">
        <f aca="true">IF(F972="", "", DATEDIF(F972, TODAY(), "Y"))</f>
        <v/>
      </c>
      <c r="H972" s="18"/>
      <c r="I972" s="18"/>
      <c r="J972" s="19" t="str">
        <f aca="true">IF(ISBLANK(H972), "", I972-TODAY())</f>
        <v/>
      </c>
      <c r="K972" s="19" t="str">
        <f aca="false" t="array" ref="K972:K972">IF(A972&lt;&gt;"",IF(COUNTIF(A973:A$996,"&lt;&gt;")=0,COUNTA(B972:B$996),IFERROR(MATCH(TRUE(),INDEX((A973:A$996&lt;&gt;""),0),0),COUNTA(B972:B$996))),"")</f>
        <v/>
      </c>
      <c r="L972" s="20"/>
    </row>
    <row r="973" customFormat="false" ht="13.8" hidden="false" customHeight="false" outlineLevel="0" collapsed="false">
      <c r="A973" s="16"/>
      <c r="B973" s="16"/>
      <c r="C973" s="17"/>
      <c r="D973" s="17"/>
      <c r="E973" s="17"/>
      <c r="F973" s="18"/>
      <c r="G973" s="19" t="str">
        <f aca="true">IF(F973="", "", DATEDIF(F973, TODAY(), "Y"))</f>
        <v/>
      </c>
      <c r="H973" s="18"/>
      <c r="I973" s="18"/>
      <c r="J973" s="19" t="str">
        <f aca="true">IF(ISBLANK(H973), "", I973-TODAY())</f>
        <v/>
      </c>
      <c r="K973" s="19" t="str">
        <f aca="false" t="array" ref="K973:K973">IF(A973&lt;&gt;"",IF(COUNTIF(A974:A$996,"&lt;&gt;")=0,COUNTA(B973:B$996),IFERROR(MATCH(TRUE(),INDEX((A974:A$996&lt;&gt;""),0),0),COUNTA(B973:B$996))),"")</f>
        <v/>
      </c>
      <c r="L973" s="20"/>
    </row>
    <row r="974" customFormat="false" ht="13.8" hidden="false" customHeight="false" outlineLevel="0" collapsed="false">
      <c r="A974" s="16"/>
      <c r="B974" s="16"/>
      <c r="C974" s="17"/>
      <c r="D974" s="17"/>
      <c r="E974" s="17"/>
      <c r="F974" s="18"/>
      <c r="G974" s="19" t="str">
        <f aca="true">IF(F974="", "", DATEDIF(F974, TODAY(), "Y"))</f>
        <v/>
      </c>
      <c r="H974" s="18"/>
      <c r="I974" s="18"/>
      <c r="J974" s="19" t="str">
        <f aca="true">IF(ISBLANK(H974), "", I974-TODAY())</f>
        <v/>
      </c>
      <c r="K974" s="19" t="str">
        <f aca="false" t="array" ref="K974:K974">IF(A974&lt;&gt;"",IF(COUNTIF(A975:A$996,"&lt;&gt;")=0,COUNTA(B974:B$996),IFERROR(MATCH(TRUE(),INDEX((A975:A$996&lt;&gt;""),0),0),COUNTA(B974:B$996))),"")</f>
        <v/>
      </c>
      <c r="L974" s="20"/>
    </row>
    <row r="975" customFormat="false" ht="13.8" hidden="false" customHeight="false" outlineLevel="0" collapsed="false">
      <c r="A975" s="16"/>
      <c r="B975" s="16"/>
      <c r="C975" s="17"/>
      <c r="D975" s="17"/>
      <c r="E975" s="17"/>
      <c r="F975" s="18"/>
      <c r="G975" s="19" t="str">
        <f aca="true">IF(F975="", "", DATEDIF(F975, TODAY(), "Y"))</f>
        <v/>
      </c>
      <c r="H975" s="18"/>
      <c r="I975" s="18"/>
      <c r="J975" s="19" t="str">
        <f aca="true">IF(ISBLANK(H975), "", I975-TODAY())</f>
        <v/>
      </c>
      <c r="K975" s="19" t="str">
        <f aca="false" t="array" ref="K975:K975">IF(A975&lt;&gt;"",IF(COUNTIF(A976:A$996,"&lt;&gt;")=0,COUNTA(B975:B$996),IFERROR(MATCH(TRUE(),INDEX((A976:A$996&lt;&gt;""),0),0),COUNTA(B975:B$996))),"")</f>
        <v/>
      </c>
      <c r="L975" s="20"/>
    </row>
    <row r="976" customFormat="false" ht="13.8" hidden="false" customHeight="false" outlineLevel="0" collapsed="false">
      <c r="A976" s="16"/>
      <c r="B976" s="16"/>
      <c r="C976" s="17"/>
      <c r="D976" s="17"/>
      <c r="E976" s="17"/>
      <c r="F976" s="18"/>
      <c r="G976" s="19" t="str">
        <f aca="true">IF(F976="", "", DATEDIF(F976, TODAY(), "Y"))</f>
        <v/>
      </c>
      <c r="H976" s="18"/>
      <c r="I976" s="18"/>
      <c r="J976" s="19" t="str">
        <f aca="true">IF(ISBLANK(H976), "", I976-TODAY())</f>
        <v/>
      </c>
      <c r="K976" s="19" t="str">
        <f aca="false" t="array" ref="K976:K976">IF(A976&lt;&gt;"",IF(COUNTIF(A977:A$996,"&lt;&gt;")=0,COUNTA(B976:B$996),IFERROR(MATCH(TRUE(),INDEX((A977:A$996&lt;&gt;""),0),0),COUNTA(B976:B$996))),"")</f>
        <v/>
      </c>
      <c r="L976" s="20"/>
    </row>
    <row r="977" customFormat="false" ht="13.8" hidden="false" customHeight="false" outlineLevel="0" collapsed="false">
      <c r="A977" s="16"/>
      <c r="B977" s="16"/>
      <c r="C977" s="17"/>
      <c r="D977" s="17"/>
      <c r="E977" s="17"/>
      <c r="F977" s="18"/>
      <c r="G977" s="19" t="str">
        <f aca="true">IF(F977="", "", DATEDIF(F977, TODAY(), "Y"))</f>
        <v/>
      </c>
      <c r="H977" s="18"/>
      <c r="I977" s="18"/>
      <c r="J977" s="19" t="str">
        <f aca="true">IF(ISBLANK(H977), "", I977-TODAY())</f>
        <v/>
      </c>
      <c r="K977" s="19" t="str">
        <f aca="false" t="array" ref="K977:K977">IF(A977&lt;&gt;"",IF(COUNTIF(A978:A$996,"&lt;&gt;")=0,COUNTA(B977:B$996),IFERROR(MATCH(TRUE(),INDEX((A978:A$996&lt;&gt;""),0),0),COUNTA(B977:B$996))),"")</f>
        <v/>
      </c>
      <c r="L977" s="20"/>
    </row>
    <row r="978" customFormat="false" ht="13.8" hidden="false" customHeight="false" outlineLevel="0" collapsed="false">
      <c r="A978" s="16"/>
      <c r="B978" s="16"/>
      <c r="C978" s="17"/>
      <c r="D978" s="17"/>
      <c r="E978" s="17"/>
      <c r="F978" s="18"/>
      <c r="G978" s="19" t="str">
        <f aca="true">IF(F978="", "", DATEDIF(F978, TODAY(), "Y"))</f>
        <v/>
      </c>
      <c r="H978" s="18"/>
      <c r="I978" s="18"/>
      <c r="J978" s="19" t="str">
        <f aca="true">IF(ISBLANK(H978), "", I978-TODAY())</f>
        <v/>
      </c>
      <c r="K978" s="19" t="str">
        <f aca="false" t="array" ref="K978:K978">IF(A978&lt;&gt;"",IF(COUNTIF(A979:A$996,"&lt;&gt;")=0,COUNTA(B978:B$996),IFERROR(MATCH(TRUE(),INDEX((A979:A$996&lt;&gt;""),0),0),COUNTA(B978:B$996))),"")</f>
        <v/>
      </c>
      <c r="L978" s="20"/>
    </row>
    <row r="979" customFormat="false" ht="13.8" hidden="false" customHeight="false" outlineLevel="0" collapsed="false">
      <c r="A979" s="16"/>
      <c r="B979" s="16"/>
      <c r="C979" s="17"/>
      <c r="D979" s="17"/>
      <c r="E979" s="17"/>
      <c r="F979" s="18"/>
      <c r="G979" s="19" t="str">
        <f aca="true">IF(F979="", "", DATEDIF(F979, TODAY(), "Y"))</f>
        <v/>
      </c>
      <c r="H979" s="18"/>
      <c r="I979" s="18"/>
      <c r="J979" s="19" t="str">
        <f aca="true">IF(ISBLANK(H979), "", I979-TODAY())</f>
        <v/>
      </c>
      <c r="K979" s="19" t="str">
        <f aca="false" t="array" ref="K979:K979">IF(A979&lt;&gt;"",IF(COUNTIF(A980:A$996,"&lt;&gt;")=0,COUNTA(B979:B$996),IFERROR(MATCH(TRUE(),INDEX((A980:A$996&lt;&gt;""),0),0),COUNTA(B979:B$996))),"")</f>
        <v/>
      </c>
      <c r="L979" s="20"/>
    </row>
    <row r="980" customFormat="false" ht="13.8" hidden="false" customHeight="false" outlineLevel="0" collapsed="false">
      <c r="A980" s="16"/>
      <c r="B980" s="16"/>
      <c r="C980" s="17"/>
      <c r="D980" s="17"/>
      <c r="E980" s="17"/>
      <c r="F980" s="18"/>
      <c r="G980" s="19" t="str">
        <f aca="true">IF(F980="", "", DATEDIF(F980, TODAY(), "Y"))</f>
        <v/>
      </c>
      <c r="H980" s="18"/>
      <c r="I980" s="18"/>
      <c r="J980" s="19" t="str">
        <f aca="true">IF(ISBLANK(H980), "", I980-TODAY())</f>
        <v/>
      </c>
      <c r="K980" s="19" t="str">
        <f aca="false" t="array" ref="K980:K980">IF(A980&lt;&gt;"",IF(COUNTIF(A981:A$996,"&lt;&gt;")=0,COUNTA(B980:B$996),IFERROR(MATCH(TRUE(),INDEX((A981:A$996&lt;&gt;""),0),0),COUNTA(B980:B$996))),"")</f>
        <v/>
      </c>
      <c r="L980" s="20"/>
    </row>
    <row r="981" customFormat="false" ht="13.8" hidden="false" customHeight="false" outlineLevel="0" collapsed="false">
      <c r="A981" s="16"/>
      <c r="B981" s="16"/>
      <c r="C981" s="17"/>
      <c r="D981" s="17"/>
      <c r="E981" s="17"/>
      <c r="F981" s="18"/>
      <c r="G981" s="19" t="str">
        <f aca="true">IF(F981="", "", DATEDIF(F981, TODAY(), "Y"))</f>
        <v/>
      </c>
      <c r="H981" s="18"/>
      <c r="I981" s="18"/>
      <c r="J981" s="19" t="str">
        <f aca="true">IF(ISBLANK(H981), "", I981-TODAY())</f>
        <v/>
      </c>
      <c r="K981" s="19" t="str">
        <f aca="false" t="array" ref="K981:K981">IF(A981&lt;&gt;"",IF(COUNTIF(A982:A$996,"&lt;&gt;")=0,COUNTA(B981:B$996),IFERROR(MATCH(TRUE(),INDEX((A982:A$996&lt;&gt;""),0),0),COUNTA(B981:B$996))),"")</f>
        <v/>
      </c>
      <c r="L981" s="20"/>
    </row>
    <row r="982" customFormat="false" ht="13.8" hidden="false" customHeight="false" outlineLevel="0" collapsed="false">
      <c r="A982" s="16"/>
      <c r="B982" s="16"/>
      <c r="C982" s="17"/>
      <c r="D982" s="17"/>
      <c r="E982" s="17"/>
      <c r="F982" s="18"/>
      <c r="G982" s="19" t="str">
        <f aca="true">IF(F982="", "", DATEDIF(F982, TODAY(), "Y"))</f>
        <v/>
      </c>
      <c r="H982" s="18"/>
      <c r="I982" s="18"/>
      <c r="J982" s="19" t="str">
        <f aca="true">IF(ISBLANK(H982), "", I982-TODAY())</f>
        <v/>
      </c>
      <c r="K982" s="19" t="str">
        <f aca="false" t="array" ref="K982:K982">IF(A982&lt;&gt;"",IF(COUNTIF(A983:A$996,"&lt;&gt;")=0,COUNTA(B982:B$996),IFERROR(MATCH(TRUE(),INDEX((A983:A$996&lt;&gt;""),0),0),COUNTA(B982:B$996))),"")</f>
        <v/>
      </c>
      <c r="L982" s="20"/>
    </row>
    <row r="983" customFormat="false" ht="13.8" hidden="false" customHeight="false" outlineLevel="0" collapsed="false">
      <c r="A983" s="16"/>
      <c r="B983" s="16"/>
      <c r="C983" s="17"/>
      <c r="D983" s="17"/>
      <c r="E983" s="17"/>
      <c r="F983" s="18"/>
      <c r="G983" s="19" t="str">
        <f aca="true">IF(F983="", "", DATEDIF(F983, TODAY(), "Y"))</f>
        <v/>
      </c>
      <c r="H983" s="18"/>
      <c r="I983" s="18"/>
      <c r="J983" s="19" t="str">
        <f aca="true">IF(ISBLANK(H983), "", I983-TODAY())</f>
        <v/>
      </c>
      <c r="K983" s="19" t="str">
        <f aca="false" t="array" ref="K983:K983">IF(A983&lt;&gt;"",IF(COUNTIF(A984:A$996,"&lt;&gt;")=0,COUNTA(B983:B$996),IFERROR(MATCH(TRUE(),INDEX((A984:A$996&lt;&gt;""),0),0),COUNTA(B983:B$996))),"")</f>
        <v/>
      </c>
      <c r="L983" s="20"/>
    </row>
    <row r="984" customFormat="false" ht="13.8" hidden="false" customHeight="false" outlineLevel="0" collapsed="false">
      <c r="A984" s="16"/>
      <c r="B984" s="16"/>
      <c r="C984" s="17"/>
      <c r="D984" s="17"/>
      <c r="E984" s="17"/>
      <c r="F984" s="18"/>
      <c r="G984" s="19" t="str">
        <f aca="true">IF(F984="", "", DATEDIF(F984, TODAY(), "Y"))</f>
        <v/>
      </c>
      <c r="H984" s="18"/>
      <c r="I984" s="18"/>
      <c r="J984" s="19" t="str">
        <f aca="true">IF(ISBLANK(H984), "", I984-TODAY())</f>
        <v/>
      </c>
      <c r="K984" s="19" t="str">
        <f aca="false" t="array" ref="K984:K984">IF(A984&lt;&gt;"",IF(COUNTIF(A985:A$996,"&lt;&gt;")=0,COUNTA(B984:B$996),IFERROR(MATCH(TRUE(),INDEX((A985:A$996&lt;&gt;""),0),0),COUNTA(B984:B$996))),"")</f>
        <v/>
      </c>
      <c r="L984" s="20"/>
    </row>
    <row r="985" customFormat="false" ht="13.8" hidden="false" customHeight="false" outlineLevel="0" collapsed="false">
      <c r="A985" s="16"/>
      <c r="B985" s="16"/>
      <c r="C985" s="17"/>
      <c r="D985" s="17"/>
      <c r="E985" s="17"/>
      <c r="F985" s="18"/>
      <c r="G985" s="19" t="str">
        <f aca="true">IF(F985="", "", DATEDIF(F985, TODAY(), "Y"))</f>
        <v/>
      </c>
      <c r="H985" s="18"/>
      <c r="I985" s="18"/>
      <c r="J985" s="19" t="str">
        <f aca="true">IF(ISBLANK(H985), "", I985-TODAY())</f>
        <v/>
      </c>
      <c r="K985" s="19" t="str">
        <f aca="false" t="array" ref="K985:K985">IF(A985&lt;&gt;"",IF(COUNTIF(A986:A$996,"&lt;&gt;")=0,COUNTA(B985:B$996),IFERROR(MATCH(TRUE(),INDEX((A986:A$996&lt;&gt;""),0),0),COUNTA(B985:B$996))),"")</f>
        <v/>
      </c>
      <c r="L985" s="20"/>
    </row>
    <row r="986" customFormat="false" ht="13.8" hidden="false" customHeight="false" outlineLevel="0" collapsed="false">
      <c r="A986" s="16"/>
      <c r="B986" s="16"/>
      <c r="C986" s="17"/>
      <c r="D986" s="17"/>
      <c r="E986" s="17"/>
      <c r="F986" s="18"/>
      <c r="G986" s="19" t="str">
        <f aca="true">IF(F986="", "", DATEDIF(F986, TODAY(), "Y"))</f>
        <v/>
      </c>
      <c r="H986" s="18"/>
      <c r="I986" s="18"/>
      <c r="J986" s="19" t="str">
        <f aca="true">IF(ISBLANK(H986), "", I986-TODAY())</f>
        <v/>
      </c>
      <c r="K986" s="19" t="str">
        <f aca="false" t="array" ref="K986:K986">IF(A986&lt;&gt;"",IF(COUNTIF(A987:A$996,"&lt;&gt;")=0,COUNTA(B986:B$996),IFERROR(MATCH(TRUE(),INDEX((A987:A$996&lt;&gt;""),0),0),COUNTA(B986:B$996))),"")</f>
        <v/>
      </c>
      <c r="L986" s="20"/>
    </row>
    <row r="987" customFormat="false" ht="13.8" hidden="false" customHeight="false" outlineLevel="0" collapsed="false">
      <c r="A987" s="16"/>
      <c r="B987" s="16"/>
      <c r="C987" s="17"/>
      <c r="D987" s="17"/>
      <c r="E987" s="17"/>
      <c r="F987" s="18"/>
      <c r="G987" s="19" t="str">
        <f aca="true">IF(F987="", "", DATEDIF(F987, TODAY(), "Y"))</f>
        <v/>
      </c>
      <c r="H987" s="18"/>
      <c r="I987" s="18"/>
      <c r="J987" s="19" t="str">
        <f aca="true">IF(ISBLANK(H987), "", I987-TODAY())</f>
        <v/>
      </c>
      <c r="K987" s="19" t="str">
        <f aca="false" t="array" ref="K987:K987">IF(A987&lt;&gt;"",IF(COUNTIF(A988:A$996,"&lt;&gt;")=0,COUNTA(B987:B$996),IFERROR(MATCH(TRUE(),INDEX((A988:A$996&lt;&gt;""),0),0),COUNTA(B987:B$996))),"")</f>
        <v/>
      </c>
      <c r="L987" s="20"/>
    </row>
    <row r="988" customFormat="false" ht="13.8" hidden="false" customHeight="false" outlineLevel="0" collapsed="false">
      <c r="A988" s="16"/>
      <c r="B988" s="16"/>
      <c r="C988" s="17"/>
      <c r="D988" s="17"/>
      <c r="E988" s="17"/>
      <c r="F988" s="18"/>
      <c r="G988" s="19" t="str">
        <f aca="true">IF(F988="", "", DATEDIF(F988, TODAY(), "Y"))</f>
        <v/>
      </c>
      <c r="H988" s="18"/>
      <c r="I988" s="18"/>
      <c r="J988" s="19" t="str">
        <f aca="true">IF(ISBLANK(H988), "", I988-TODAY())</f>
        <v/>
      </c>
      <c r="K988" s="19" t="str">
        <f aca="false" t="array" ref="K988:K988">IF(A988&lt;&gt;"",IF(COUNTIF(A989:A$996,"&lt;&gt;")=0,COUNTA(B988:B$996),IFERROR(MATCH(TRUE(),INDEX((A989:A$996&lt;&gt;""),0),0),COUNTA(B988:B$996))),"")</f>
        <v/>
      </c>
      <c r="L988" s="20"/>
    </row>
    <row r="989" customFormat="false" ht="13.8" hidden="false" customHeight="false" outlineLevel="0" collapsed="false">
      <c r="A989" s="16"/>
      <c r="B989" s="16"/>
      <c r="C989" s="17"/>
      <c r="D989" s="17"/>
      <c r="E989" s="17"/>
      <c r="F989" s="18"/>
      <c r="G989" s="19" t="str">
        <f aca="true">IF(F989="", "", DATEDIF(F989, TODAY(), "Y"))</f>
        <v/>
      </c>
      <c r="H989" s="18"/>
      <c r="I989" s="18"/>
      <c r="J989" s="19" t="str">
        <f aca="true">IF(ISBLANK(H989), "", I989-TODAY())</f>
        <v/>
      </c>
      <c r="K989" s="19" t="str">
        <f aca="false" t="array" ref="K989:K989">IF(A989&lt;&gt;"",IF(COUNTIF(A990:A$996,"&lt;&gt;")=0,COUNTA(B989:B$996),IFERROR(MATCH(TRUE(),INDEX((A990:A$996&lt;&gt;""),0),0),COUNTA(B989:B$996))),"")</f>
        <v/>
      </c>
      <c r="L989" s="20"/>
    </row>
    <row r="990" customFormat="false" ht="13.8" hidden="false" customHeight="false" outlineLevel="0" collapsed="false">
      <c r="A990" s="16"/>
      <c r="B990" s="16"/>
      <c r="C990" s="17"/>
      <c r="D990" s="17"/>
      <c r="E990" s="17"/>
      <c r="F990" s="18"/>
      <c r="G990" s="19" t="str">
        <f aca="true">IF(F990="", "", DATEDIF(F990, TODAY(), "Y"))</f>
        <v/>
      </c>
      <c r="H990" s="18"/>
      <c r="I990" s="18"/>
      <c r="J990" s="19" t="str">
        <f aca="true">IF(ISBLANK(H990), "", I990-TODAY())</f>
        <v/>
      </c>
      <c r="K990" s="19" t="str">
        <f aca="false" t="array" ref="K990:K990">IF(A990&lt;&gt;"",IF(COUNTIF(A991:A$996,"&lt;&gt;")=0,COUNTA(B990:B$996),IFERROR(MATCH(TRUE(),INDEX((A991:A$996&lt;&gt;""),0),0),COUNTA(B990:B$996))),"")</f>
        <v/>
      </c>
      <c r="L990" s="20"/>
    </row>
    <row r="991" customFormat="false" ht="13.8" hidden="false" customHeight="false" outlineLevel="0" collapsed="false">
      <c r="A991" s="16"/>
      <c r="B991" s="16"/>
      <c r="C991" s="17"/>
      <c r="D991" s="17"/>
      <c r="E991" s="17"/>
      <c r="F991" s="18"/>
      <c r="G991" s="19" t="str">
        <f aca="true">IF(F991="", "", DATEDIF(F991, TODAY(), "Y"))</f>
        <v/>
      </c>
      <c r="H991" s="18"/>
      <c r="I991" s="18"/>
      <c r="J991" s="19" t="str">
        <f aca="true">IF(ISBLANK(H991), "", I991-TODAY())</f>
        <v/>
      </c>
      <c r="K991" s="19" t="str">
        <f aca="false" t="array" ref="K991:K991">IF(A991&lt;&gt;"",IF(COUNTIF(A992:A$996,"&lt;&gt;")=0,COUNTA(B991:B$996),IFERROR(MATCH(TRUE(),INDEX((A992:A$996&lt;&gt;""),0),0),COUNTA(B991:B$996))),"")</f>
        <v/>
      </c>
      <c r="L991" s="20"/>
    </row>
    <row r="992" customFormat="false" ht="13.8" hidden="false" customHeight="false" outlineLevel="0" collapsed="false">
      <c r="A992" s="16"/>
      <c r="B992" s="16"/>
      <c r="C992" s="17"/>
      <c r="D992" s="17"/>
      <c r="E992" s="17"/>
      <c r="F992" s="18"/>
      <c r="G992" s="19" t="str">
        <f aca="true">IF(F992="", "", DATEDIF(F992, TODAY(), "Y"))</f>
        <v/>
      </c>
      <c r="H992" s="18"/>
      <c r="I992" s="18"/>
      <c r="J992" s="19" t="str">
        <f aca="true">IF(ISBLANK(H992), "", I992-TODAY())</f>
        <v/>
      </c>
      <c r="K992" s="19" t="str">
        <f aca="false" t="array" ref="K992:K992">IF(A992&lt;&gt;"",IF(COUNTIF(A993:A$996,"&lt;&gt;")=0,COUNTA(B992:B$996),IFERROR(MATCH(TRUE(),INDEX((A993:A$996&lt;&gt;""),0),0),COUNTA(B992:B$996))),"")</f>
        <v/>
      </c>
      <c r="L992" s="20"/>
    </row>
    <row r="993" customFormat="false" ht="13.8" hidden="false" customHeight="false" outlineLevel="0" collapsed="false">
      <c r="A993" s="16"/>
      <c r="B993" s="16"/>
      <c r="C993" s="17"/>
      <c r="D993" s="17"/>
      <c r="E993" s="17"/>
      <c r="F993" s="18"/>
      <c r="G993" s="19" t="str">
        <f aca="true">IF(F993="", "", DATEDIF(F993, TODAY(), "Y"))</f>
        <v/>
      </c>
      <c r="H993" s="18"/>
      <c r="I993" s="18"/>
      <c r="J993" s="19" t="str">
        <f aca="true">IF(ISBLANK(H993), "", I993-TODAY())</f>
        <v/>
      </c>
      <c r="K993" s="19" t="str">
        <f aca="false" t="array" ref="K993:K993">IF(A993&lt;&gt;"",IF(COUNTIF(A994:A$996,"&lt;&gt;")=0,COUNTA(B993:B$996),IFERROR(MATCH(TRUE(),INDEX((A994:A$996&lt;&gt;""),0),0),COUNTA(B993:B$996))),"")</f>
        <v/>
      </c>
      <c r="L993" s="20"/>
    </row>
    <row r="994" customFormat="false" ht="13.8" hidden="false" customHeight="false" outlineLevel="0" collapsed="false">
      <c r="A994" s="16"/>
      <c r="B994" s="16"/>
      <c r="C994" s="17"/>
      <c r="D994" s="17"/>
      <c r="E994" s="17"/>
      <c r="F994" s="18"/>
      <c r="G994" s="19" t="str">
        <f aca="true">IF(F994="", "", DATEDIF(F994, TODAY(), "Y"))</f>
        <v/>
      </c>
      <c r="H994" s="18"/>
      <c r="I994" s="18"/>
      <c r="J994" s="19" t="str">
        <f aca="true">IF(ISBLANK(H994), "", I994-TODAY())</f>
        <v/>
      </c>
      <c r="K994" s="19" t="str">
        <f aca="false" t="array" ref="K994:K994">IF(A994&lt;&gt;"",IF(COUNTIF(A995:A$996,"&lt;&gt;")=0,COUNTA(B994:B$996),IFERROR(MATCH(TRUE(),INDEX((A995:A$996&lt;&gt;""),0),0),COUNTA(B994:B$996))),"")</f>
        <v/>
      </c>
      <c r="L994" s="20"/>
    </row>
    <row r="995" customFormat="false" ht="13.8" hidden="false" customHeight="false" outlineLevel="0" collapsed="false">
      <c r="A995" s="16"/>
      <c r="B995" s="16"/>
      <c r="C995" s="17"/>
      <c r="D995" s="17"/>
      <c r="E995" s="17"/>
      <c r="F995" s="18"/>
      <c r="G995" s="19" t="str">
        <f aca="true">IF(F995="", "", DATEDIF(F995, TODAY(), "Y"))</f>
        <v/>
      </c>
      <c r="H995" s="18"/>
      <c r="I995" s="18"/>
      <c r="J995" s="19" t="str">
        <f aca="true">IF(ISBLANK(H995), "", I995-TODAY())</f>
        <v/>
      </c>
      <c r="K995" s="19" t="str">
        <f aca="false" t="array" ref="K995:K995">IF(A995&lt;&gt;"",IF(COUNTIF(A996:A$996,"&lt;&gt;")=0,COUNTA(B995:B$996),IFERROR(MATCH(TRUE(),INDEX((A996:A$996&lt;&gt;""),0),0),COUNTA(B995:B$996))),"")</f>
        <v/>
      </c>
      <c r="L995" s="20"/>
    </row>
    <row r="996" customFormat="false" ht="13.8" hidden="false" customHeight="false" outlineLevel="0" collapsed="false">
      <c r="A996" s="16"/>
      <c r="B996" s="16"/>
      <c r="C996" s="17"/>
      <c r="D996" s="17"/>
      <c r="E996" s="17"/>
      <c r="F996" s="18"/>
      <c r="G996" s="19" t="str">
        <f aca="true">IF(F996="", "", DATEDIF(F996, TODAY(), "Y"))</f>
        <v/>
      </c>
      <c r="H996" s="18"/>
      <c r="I996" s="18"/>
      <c r="J996" s="24" t="str">
        <f aca="true">IF(ISBLANK(H996), "", I996-TODAY())</f>
        <v/>
      </c>
      <c r="K996" s="24" t="str">
        <f aca="false" t="array" ref="K996:K996">IF(A996&lt;&gt;"",IF(COUNTIF(A$996:A997,"&lt;&gt;")=0,COUNTA(B996:B$996),IFERROR(MATCH(TRUE(),INDEX((A$996:A997&lt;&gt;""),0),0),COUNTA(B996:B$996))),"")</f>
        <v/>
      </c>
      <c r="L996" s="25"/>
    </row>
    <row r="997" customFormat="false" ht="13.8" hidden="false" customHeight="false" outlineLevel="0" collapsed="false">
      <c r="A997" s="16"/>
      <c r="B997" s="16"/>
      <c r="C997" s="17"/>
      <c r="D997" s="17"/>
      <c r="E997" s="17"/>
      <c r="F997" s="18"/>
      <c r="G997" s="19" t="str">
        <f aca="true">IF(F997="", "", DATEDIF(F997, TODAY(), "Y"))</f>
        <v/>
      </c>
      <c r="H997" s="18"/>
      <c r="I997" s="18"/>
      <c r="J997" s="24" t="str">
        <f aca="true">IF(ISBLANK(H997), "", I997-TODAY())</f>
        <v/>
      </c>
      <c r="K997" s="24" t="str">
        <f aca="false" t="array" ref="K997:K997">IF(A997&lt;&gt;"",IF(COUNTIF(A$996:A998,"&lt;&gt;")=0,COUNTA(B$996:B997),IFERROR(MATCH(TRUE(),INDEX((A$996:A998&lt;&gt;""),0),0),COUNTA(B$996:B997))),"")</f>
        <v/>
      </c>
      <c r="L997" s="25"/>
    </row>
    <row r="998" customFormat="false" ht="13.8" hidden="false" customHeight="false" outlineLevel="0" collapsed="false">
      <c r="A998" s="16"/>
      <c r="B998" s="16"/>
      <c r="C998" s="17"/>
      <c r="D998" s="17"/>
      <c r="E998" s="17"/>
      <c r="F998" s="18"/>
      <c r="G998" s="19" t="str">
        <f aca="true">IF(F998="", "", DATEDIF(F998, TODAY(), "Y"))</f>
        <v/>
      </c>
      <c r="H998" s="18"/>
      <c r="I998" s="18"/>
      <c r="J998" s="24" t="str">
        <f aca="true">IF(ISBLANK(H998), "", I998-TODAY())</f>
        <v/>
      </c>
      <c r="K998" s="24" t="str">
        <f aca="false" t="array" ref="K998:K998">IF(A998&lt;&gt;"",IF(COUNTIF(A$996:A999,"&lt;&gt;")=0,COUNTA(B$996:B998),IFERROR(MATCH(TRUE(),INDEX((A$996:A999&lt;&gt;""),0),0),COUNTA(B$996:B998))),"")</f>
        <v/>
      </c>
      <c r="L998" s="25"/>
    </row>
    <row r="999" customFormat="false" ht="13.8" hidden="false" customHeight="false" outlineLevel="0" collapsed="false">
      <c r="A999" s="16"/>
      <c r="B999" s="16"/>
      <c r="C999" s="17"/>
      <c r="D999" s="17"/>
      <c r="E999" s="17"/>
      <c r="F999" s="18"/>
      <c r="G999" s="19" t="str">
        <f aca="true">IF(F999="", "", DATEDIF(F999, TODAY(), "Y"))</f>
        <v/>
      </c>
      <c r="H999" s="18"/>
      <c r="I999" s="18"/>
      <c r="J999" s="24" t="str">
        <f aca="true">IF(ISBLANK(H999), "", I999-TODAY())</f>
        <v/>
      </c>
      <c r="K999" s="24" t="str">
        <f aca="false" t="array" ref="K999:K999">IF(A999&lt;&gt;"",IF(COUNTIF(A$996:A1000,"&lt;&gt;")=0,COUNTA(B$996:B999),IFERROR(MATCH(TRUE(),INDEX((A$996:A1000&lt;&gt;""),0),0),COUNTA(B$996:B999))),"")</f>
        <v/>
      </c>
      <c r="L999" s="25"/>
    </row>
    <row r="1000" customFormat="false" ht="13.8" hidden="false" customHeight="false" outlineLevel="0" collapsed="false">
      <c r="A1000" s="16"/>
      <c r="B1000" s="16"/>
      <c r="C1000" s="26"/>
      <c r="D1000" s="26"/>
      <c r="E1000" s="16"/>
      <c r="F1000" s="18"/>
      <c r="G1000" s="19" t="str">
        <f aca="true">IF(F1000="", "", DATEDIF(F1000, TODAY(), "Y"))</f>
        <v/>
      </c>
      <c r="H1000" s="18"/>
      <c r="I1000" s="18"/>
      <c r="J1000" s="24" t="str">
        <f aca="true">IF(ISBLANK(H1000), "", I1000-TODAY())</f>
        <v/>
      </c>
      <c r="K1000" s="24" t="str">
        <f aca="false" t="array" ref="K1000:K1000">IF(A1000&lt;&gt;"",IF(COUNTIF(A$996:A1001,"&lt;&gt;")=0,COUNTA(B$996:B1000),IFERROR(MATCH(TRUE(),INDEX((A$996:A1001&lt;&gt;""),0),0),COUNTA(B$996:B1000))),"")</f>
        <v/>
      </c>
      <c r="L1000" s="25"/>
    </row>
    <row r="1001" customFormat="false" ht="13.8" hidden="false" customHeight="false" outlineLevel="0" collapsed="false">
      <c r="A1001" s="16"/>
      <c r="B1001" s="16"/>
      <c r="C1001" s="26"/>
      <c r="D1001" s="26"/>
      <c r="E1001" s="16"/>
      <c r="F1001" s="18"/>
      <c r="G1001" s="19" t="str">
        <f aca="true">IF(F1001="", "", DATEDIF(F1001, TODAY(), "Y"))</f>
        <v/>
      </c>
      <c r="H1001" s="18"/>
      <c r="I1001" s="18"/>
      <c r="J1001" s="24" t="str">
        <f aca="true">IF(ISBLANK(H1001), "", I1001-TODAY())</f>
        <v/>
      </c>
      <c r="K1001" s="24" t="str">
        <f aca="false" t="array" ref="K1001:K1001">IF(A1001&lt;&gt;"",IF(COUNTIF(A$996:A1002,"&lt;&gt;")=0,COUNTA(B$996:B1001),IFERROR(MATCH(TRUE(),INDEX((A$996:A1002&lt;&gt;""),0),0),COUNTA(B$996:B1001))),"")</f>
        <v/>
      </c>
      <c r="L1001" s="27"/>
    </row>
    <row r="1002" customFormat="false" ht="13.8" hidden="false" customHeight="false" outlineLevel="0" collapsed="false">
      <c r="A1002" s="16"/>
      <c r="B1002" s="16"/>
      <c r="C1002" s="26"/>
      <c r="D1002" s="26"/>
      <c r="E1002" s="16"/>
      <c r="F1002" s="18"/>
      <c r="G1002" s="19" t="str">
        <f aca="true">IF(F1002="", "", DATEDIF(F1002, TODAY(), "Y"))</f>
        <v/>
      </c>
      <c r="H1002" s="18"/>
      <c r="I1002" s="18"/>
      <c r="J1002" s="24" t="str">
        <f aca="true">IF(ISBLANK(H1002), "", I1002-TODAY())</f>
        <v/>
      </c>
      <c r="K1002" s="24" t="str">
        <f aca="false" t="array" ref="K1002:K1002">IF(A1002&lt;&gt;"",IF(COUNTIF(A$996:A1003,"&lt;&gt;")=0,COUNTA(B$996:B1002),IFERROR(MATCH(TRUE(),INDEX((A$996:A1003&lt;&gt;""),0),0),COUNTA(B$996:B1002))),"")</f>
        <v/>
      </c>
      <c r="L1002" s="27"/>
    </row>
    <row r="1003" customFormat="false" ht="13.8" hidden="false" customHeight="false" outlineLevel="0" collapsed="false">
      <c r="A1003" s="16"/>
      <c r="B1003" s="16"/>
      <c r="C1003" s="26"/>
      <c r="D1003" s="26"/>
      <c r="E1003" s="16"/>
      <c r="F1003" s="18"/>
      <c r="G1003" s="19" t="str">
        <f aca="true">IF(F1003="", "", DATEDIF(F1003, TODAY(), "Y"))</f>
        <v/>
      </c>
      <c r="H1003" s="18"/>
      <c r="I1003" s="18"/>
      <c r="J1003" s="24" t="str">
        <f aca="true">IF(ISBLANK(H1003), "", I1003-TODAY())</f>
        <v/>
      </c>
      <c r="K1003" s="24" t="str">
        <f aca="false" t="array" ref="K1003:K1003">IF(A1003&lt;&gt;"",IF(COUNTIF(A$996:A1004,"&lt;&gt;")=0,COUNTA(B$996:B1003),IFERROR(MATCH(TRUE(),INDEX((A$996:A1004&lt;&gt;""),0),0),COUNTA(B$996:B1003))),"")</f>
        <v/>
      </c>
      <c r="L1003" s="27"/>
    </row>
    <row r="1004" customFormat="false" ht="13.8" hidden="false" customHeight="false" outlineLevel="0" collapsed="false">
      <c r="A1004" s="16"/>
      <c r="B1004" s="16"/>
      <c r="C1004" s="26"/>
      <c r="D1004" s="26"/>
      <c r="E1004" s="16"/>
      <c r="F1004" s="18"/>
      <c r="G1004" s="19" t="str">
        <f aca="true">IF(F1004="", "", DATEDIF(F1004, TODAY(), "Y"))</f>
        <v/>
      </c>
      <c r="H1004" s="18"/>
      <c r="I1004" s="18"/>
      <c r="J1004" s="24" t="str">
        <f aca="true">IF(ISBLANK(H1004), "", I1004-TODAY())</f>
        <v/>
      </c>
      <c r="K1004" s="24" t="str">
        <f aca="false" t="array" ref="K1004:K1004">IF(A1004&lt;&gt;"",IF(COUNTIF(A$996:A1005,"&lt;&gt;")=0,COUNTA(B$996:B1004),IFERROR(MATCH(TRUE(),INDEX((A$996:A1005&lt;&gt;""),0),0),COUNTA(B$996:B1004))),"")</f>
        <v/>
      </c>
      <c r="L1004" s="27"/>
    </row>
    <row r="1005" customFormat="false" ht="13.8" hidden="false" customHeight="false" outlineLevel="0" collapsed="false">
      <c r="A1005" s="16"/>
      <c r="B1005" s="16"/>
      <c r="C1005" s="26"/>
      <c r="D1005" s="26"/>
      <c r="E1005" s="16"/>
      <c r="F1005" s="18"/>
      <c r="G1005" s="19" t="str">
        <f aca="true">IF(F1005="", "", DATEDIF(F1005, TODAY(), "Y"))</f>
        <v/>
      </c>
      <c r="H1005" s="18"/>
      <c r="I1005" s="18"/>
      <c r="J1005" s="24" t="str">
        <f aca="true">IF(ISBLANK(H1005), "", I1005-TODAY())</f>
        <v/>
      </c>
      <c r="K1005" s="24" t="str">
        <f aca="false" t="array" ref="K1005:K1005">IF(A1005&lt;&gt;"",IF(COUNTIF(A$996:A1006,"&lt;&gt;")=0,COUNTA(B$996:B1005),IFERROR(MATCH(TRUE(),INDEX((A$996:A1006&lt;&gt;""),0),0),COUNTA(B$996:B1005))),"")</f>
        <v/>
      </c>
      <c r="L1005" s="27"/>
    </row>
    <row r="1006" customFormat="false" ht="13.8" hidden="false" customHeight="false" outlineLevel="0" collapsed="false">
      <c r="A1006" s="16"/>
      <c r="B1006" s="16"/>
      <c r="C1006" s="26"/>
      <c r="D1006" s="26"/>
      <c r="E1006" s="16"/>
      <c r="F1006" s="18"/>
      <c r="G1006" s="19" t="str">
        <f aca="true">IF(F1006="", "", DATEDIF(F1006, TODAY(), "Y"))</f>
        <v/>
      </c>
      <c r="H1006" s="18"/>
      <c r="I1006" s="18"/>
      <c r="J1006" s="24" t="str">
        <f aca="true">IF(ISBLANK(H1006), "", I1006-TODAY())</f>
        <v/>
      </c>
      <c r="K1006" s="24" t="str">
        <f aca="false" t="array" ref="K1006:K1006">IF(A1006&lt;&gt;"",IF(COUNTIF(A$996:A1007,"&lt;&gt;")=0,COUNTA(B$996:B1006),IFERROR(MATCH(TRUE(),INDEX((A$996:A1007&lt;&gt;""),0),0),COUNTA(B$996:B1006))),"")</f>
        <v/>
      </c>
      <c r="L1006" s="27"/>
    </row>
    <row r="1007" customFormat="false" ht="13.8" hidden="false" customHeight="false" outlineLevel="0" collapsed="false">
      <c r="A1007" s="16"/>
      <c r="B1007" s="16"/>
      <c r="C1007" s="26"/>
      <c r="D1007" s="26"/>
      <c r="E1007" s="16"/>
      <c r="F1007" s="18"/>
      <c r="G1007" s="19" t="str">
        <f aca="true">IF(F1007="", "", DATEDIF(F1007, TODAY(), "Y"))</f>
        <v/>
      </c>
      <c r="H1007" s="18"/>
      <c r="I1007" s="18"/>
      <c r="J1007" s="24" t="str">
        <f aca="true">IF(ISBLANK(H1007), "", I1007-TODAY())</f>
        <v/>
      </c>
      <c r="K1007" s="24" t="str">
        <f aca="false" t="array" ref="K1007:K1007">IF(A1007&lt;&gt;"",IF(COUNTIF(A$996:A1008,"&lt;&gt;")=0,COUNTA(B$996:B1007),IFERROR(MATCH(TRUE(),INDEX((A$996:A1008&lt;&gt;""),0),0),COUNTA(B$996:B1007))),"")</f>
        <v/>
      </c>
      <c r="L1007" s="27"/>
    </row>
    <row r="1008" customFormat="false" ht="13.8" hidden="false" customHeight="false" outlineLevel="0" collapsed="false">
      <c r="A1008" s="16"/>
      <c r="B1008" s="16"/>
      <c r="C1008" s="26"/>
      <c r="D1008" s="26"/>
      <c r="E1008" s="16"/>
      <c r="F1008" s="18"/>
      <c r="G1008" s="19" t="str">
        <f aca="true">IF(F1008="", "", DATEDIF(F1008, TODAY(), "Y"))</f>
        <v/>
      </c>
      <c r="H1008" s="18"/>
      <c r="I1008" s="18"/>
      <c r="J1008" s="24" t="str">
        <f aca="true">IF(ISBLANK(H1008), "", I1008-TODAY())</f>
        <v/>
      </c>
      <c r="K1008" s="24" t="str">
        <f aca="false" t="array" ref="K1008:K1008">IF(A1008&lt;&gt;"",IF(COUNTIF(A$996:A1009,"&lt;&gt;")=0,COUNTA(B$996:B1008),IFERROR(MATCH(TRUE(),INDEX((A$996:A1009&lt;&gt;""),0),0),COUNTA(B$996:B1008))),"")</f>
        <v/>
      </c>
      <c r="L1008" s="27"/>
    </row>
    <row r="1009" customFormat="false" ht="13.8" hidden="false" customHeight="false" outlineLevel="0" collapsed="false">
      <c r="A1009" s="16"/>
      <c r="B1009" s="16"/>
      <c r="C1009" s="26"/>
      <c r="D1009" s="26"/>
      <c r="E1009" s="16"/>
      <c r="F1009" s="18"/>
      <c r="G1009" s="19" t="str">
        <f aca="true">IF(F1009="", "", DATEDIF(F1009, TODAY(), "Y"))</f>
        <v/>
      </c>
      <c r="H1009" s="18"/>
      <c r="I1009" s="18"/>
      <c r="J1009" s="24" t="str">
        <f aca="true">IF(ISBLANK(H1009), "", I1009-TODAY())</f>
        <v/>
      </c>
      <c r="K1009" s="24" t="str">
        <f aca="false" t="array" ref="K1009:K1009">IF(A1009&lt;&gt;"",IF(COUNTIF(A$996:A1010,"&lt;&gt;")=0,COUNTA(B$996:B1009),IFERROR(MATCH(TRUE(),INDEX((A$996:A1010&lt;&gt;""),0),0),COUNTA(B$996:B1009))),"")</f>
        <v/>
      </c>
      <c r="L1009" s="27"/>
    </row>
    <row r="1010" customFormat="false" ht="13.8" hidden="false" customHeight="false" outlineLevel="0" collapsed="false">
      <c r="A1010" s="16"/>
      <c r="B1010" s="16"/>
      <c r="C1010" s="26"/>
      <c r="D1010" s="26"/>
      <c r="E1010" s="16"/>
      <c r="F1010" s="18"/>
      <c r="G1010" s="19" t="str">
        <f aca="true">IF(F1010="", "", DATEDIF(F1010, TODAY(), "Y"))</f>
        <v/>
      </c>
      <c r="H1010" s="18"/>
      <c r="I1010" s="18"/>
      <c r="J1010" s="24" t="str">
        <f aca="true">IF(ISBLANK(H1010), "", I1010-TODAY())</f>
        <v/>
      </c>
      <c r="K1010" s="24" t="str">
        <f aca="false" t="array" ref="K1010:K1010">IF(A1010&lt;&gt;"",IF(COUNTIF(A$996:A1011,"&lt;&gt;")=0,COUNTA(B$996:B1010),IFERROR(MATCH(TRUE(),INDEX((A$996:A1011&lt;&gt;""),0),0),COUNTA(B$996:B1010))),"")</f>
        <v/>
      </c>
      <c r="L1010" s="27"/>
    </row>
    <row r="1011" customFormat="false" ht="13.8" hidden="false" customHeight="false" outlineLevel="0" collapsed="false">
      <c r="A1011" s="16"/>
      <c r="B1011" s="16"/>
      <c r="C1011" s="26"/>
      <c r="D1011" s="26"/>
      <c r="E1011" s="16"/>
      <c r="F1011" s="18"/>
      <c r="G1011" s="19" t="str">
        <f aca="true">IF(F1011="", "", DATEDIF(F1011, TODAY(), "Y"))</f>
        <v/>
      </c>
      <c r="H1011" s="18"/>
      <c r="I1011" s="18"/>
      <c r="J1011" s="24" t="str">
        <f aca="true">IF(ISBLANK(H1011), "", I1011-TODAY())</f>
        <v/>
      </c>
      <c r="K1011" s="24" t="str">
        <f aca="false" t="array" ref="K1011:K1011">IF(A1011&lt;&gt;"",IF(COUNTIF(A$996:A1012,"&lt;&gt;")=0,COUNTA(B$996:B1011),IFERROR(MATCH(TRUE(),INDEX((A$996:A1012&lt;&gt;""),0),0),COUNTA(B$996:B1011))),"")</f>
        <v/>
      </c>
      <c r="L1011" s="27"/>
    </row>
    <row r="1012" customFormat="false" ht="13.8" hidden="false" customHeight="false" outlineLevel="0" collapsed="false">
      <c r="A1012" s="16"/>
      <c r="B1012" s="16"/>
      <c r="C1012" s="26"/>
      <c r="D1012" s="26"/>
      <c r="E1012" s="16"/>
      <c r="F1012" s="18"/>
      <c r="G1012" s="19" t="str">
        <f aca="true">IF(F1012="", "", DATEDIF(F1012, TODAY(), "Y"))</f>
        <v/>
      </c>
      <c r="H1012" s="18"/>
      <c r="I1012" s="18"/>
      <c r="J1012" s="24" t="str">
        <f aca="true">IF(ISBLANK(H1012), "", I1012-TODAY())</f>
        <v/>
      </c>
      <c r="K1012" s="24" t="str">
        <f aca="false" t="array" ref="K1012:K1012">IF(A1012&lt;&gt;"",IF(COUNTIF(A$996:A1013,"&lt;&gt;")=0,COUNTA(B$996:B1012),IFERROR(MATCH(TRUE(),INDEX((A$996:A1013&lt;&gt;""),0),0),COUNTA(B$996:B1012))),"")</f>
        <v/>
      </c>
      <c r="L1012" s="27"/>
    </row>
    <row r="1013" customFormat="false" ht="13.8" hidden="false" customHeight="false" outlineLevel="0" collapsed="false">
      <c r="A1013" s="16"/>
      <c r="B1013" s="16"/>
      <c r="C1013" s="26"/>
      <c r="D1013" s="26"/>
      <c r="E1013" s="16"/>
      <c r="F1013" s="18"/>
      <c r="G1013" s="19" t="str">
        <f aca="true">IF(F1013="", "", DATEDIF(F1013, TODAY(), "Y"))</f>
        <v/>
      </c>
      <c r="H1013" s="18"/>
      <c r="I1013" s="18"/>
      <c r="J1013" s="24" t="str">
        <f aca="true">IF(ISBLANK(H1013), "", I1013-TODAY())</f>
        <v/>
      </c>
      <c r="K1013" s="24" t="str">
        <f aca="false" t="array" ref="K1013:K1013">IF(A1013&lt;&gt;"",IF(COUNTIF(A$996:A1014,"&lt;&gt;")=0,COUNTA(B$996:B1013),IFERROR(MATCH(TRUE(),INDEX((A$996:A1014&lt;&gt;""),0),0),COUNTA(B$996:B1013))),"")</f>
        <v/>
      </c>
      <c r="L1013" s="27"/>
    </row>
    <row r="1014" customFormat="false" ht="13.8" hidden="false" customHeight="false" outlineLevel="0" collapsed="false">
      <c r="A1014" s="16"/>
      <c r="B1014" s="16"/>
      <c r="C1014" s="26"/>
      <c r="D1014" s="26"/>
      <c r="E1014" s="16"/>
      <c r="F1014" s="18"/>
      <c r="G1014" s="19" t="str">
        <f aca="true">IF(F1014="", "", DATEDIF(F1014, TODAY(), "Y"))</f>
        <v/>
      </c>
      <c r="H1014" s="18"/>
      <c r="I1014" s="18"/>
      <c r="J1014" s="24" t="str">
        <f aca="true">IF(ISBLANK(H1014), "", I1014-TODAY())</f>
        <v/>
      </c>
      <c r="K1014" s="24" t="str">
        <f aca="false" t="array" ref="K1014:K1014">IF(A1014&lt;&gt;"",IF(COUNTIF(A$996:A1015,"&lt;&gt;")=0,COUNTA(B$996:B1014),IFERROR(MATCH(TRUE(),INDEX((A$996:A1015&lt;&gt;""),0),0),COUNTA(B$996:B1014))),"")</f>
        <v/>
      </c>
      <c r="L1014" s="27"/>
    </row>
    <row r="1015" customFormat="false" ht="13.8" hidden="false" customHeight="false" outlineLevel="0" collapsed="false">
      <c r="A1015" s="16"/>
      <c r="B1015" s="16"/>
      <c r="C1015" s="26"/>
      <c r="D1015" s="26"/>
      <c r="E1015" s="16"/>
      <c r="F1015" s="18"/>
      <c r="G1015" s="19" t="str">
        <f aca="true">IF(F1015="", "", DATEDIF(F1015, TODAY(), "Y"))</f>
        <v/>
      </c>
      <c r="H1015" s="18"/>
      <c r="I1015" s="18"/>
      <c r="J1015" s="24" t="str">
        <f aca="true">IF(ISBLANK(H1015), "", I1015-TODAY())</f>
        <v/>
      </c>
      <c r="K1015" s="24" t="str">
        <f aca="false" t="array" ref="K1015:K1015">IF(A1015&lt;&gt;"",IF(COUNTIF(A$996:A1016,"&lt;&gt;")=0,COUNTA(B$996:B1015),IFERROR(MATCH(TRUE(),INDEX((A$996:A1016&lt;&gt;""),0),0),COUNTA(B$996:B1015))),"")</f>
        <v/>
      </c>
      <c r="L1015" s="27"/>
    </row>
    <row r="1016" customFormat="false" ht="13.8" hidden="false" customHeight="false" outlineLevel="0" collapsed="false">
      <c r="A1016" s="16"/>
      <c r="B1016" s="16"/>
      <c r="C1016" s="26"/>
      <c r="D1016" s="26"/>
      <c r="E1016" s="16"/>
      <c r="F1016" s="18"/>
      <c r="G1016" s="19" t="str">
        <f aca="true">IF(F1016="", "", DATEDIF(F1016, TODAY(), "Y"))</f>
        <v/>
      </c>
      <c r="H1016" s="18"/>
      <c r="I1016" s="18"/>
      <c r="J1016" s="24" t="str">
        <f aca="true">IF(ISBLANK(H1016), "", I1016-TODAY())</f>
        <v/>
      </c>
      <c r="K1016" s="24" t="str">
        <f aca="false" t="array" ref="K1016:K1016">IF(A1016&lt;&gt;"",IF(COUNTIF(A$996:A1017,"&lt;&gt;")=0,COUNTA(B$996:B1016),IFERROR(MATCH(TRUE(),INDEX((A$996:A1017&lt;&gt;""),0),0),COUNTA(B$996:B1016))),"")</f>
        <v/>
      </c>
      <c r="L1016" s="27"/>
    </row>
    <row r="1017" customFormat="false" ht="13.8" hidden="false" customHeight="false" outlineLevel="0" collapsed="false">
      <c r="A1017" s="16"/>
      <c r="B1017" s="16"/>
      <c r="C1017" s="26"/>
      <c r="D1017" s="26"/>
      <c r="E1017" s="16"/>
      <c r="F1017" s="18"/>
      <c r="G1017" s="19" t="str">
        <f aca="true">IF(F1017="", "", DATEDIF(F1017, TODAY(), "Y"))</f>
        <v/>
      </c>
      <c r="H1017" s="18"/>
      <c r="I1017" s="18"/>
      <c r="J1017" s="24" t="str">
        <f aca="true">IF(ISBLANK(H1017), "", I1017-TODAY())</f>
        <v/>
      </c>
      <c r="K1017" s="24" t="str">
        <f aca="false" t="array" ref="K1017:K1017">IF(A1017&lt;&gt;"",IF(COUNTIF(A$996:A1018,"&lt;&gt;")=0,COUNTA(B$996:B1017),IFERROR(MATCH(TRUE(),INDEX((A$996:A1018&lt;&gt;""),0),0),COUNTA(B$996:B1017))),"")</f>
        <v/>
      </c>
      <c r="L1017" s="27"/>
    </row>
    <row r="1018" customFormat="false" ht="13.8" hidden="false" customHeight="false" outlineLevel="0" collapsed="false">
      <c r="A1018" s="16"/>
      <c r="B1018" s="16"/>
      <c r="C1018" s="26"/>
      <c r="D1018" s="26"/>
      <c r="E1018" s="16"/>
      <c r="F1018" s="18"/>
      <c r="G1018" s="19" t="str">
        <f aca="true">IF(F1018="", "", DATEDIF(F1018, TODAY(), "Y"))</f>
        <v/>
      </c>
      <c r="H1018" s="18"/>
      <c r="I1018" s="18"/>
      <c r="J1018" s="24" t="str">
        <f aca="true">IF(ISBLANK(H1018), "", I1018-TODAY())</f>
        <v/>
      </c>
      <c r="K1018" s="24" t="str">
        <f aca="false" t="array" ref="K1018:K1018">IF(A1018&lt;&gt;"",IF(COUNTIF(A$996:A1019,"&lt;&gt;")=0,COUNTA(B$996:B1018),IFERROR(MATCH(TRUE(),INDEX((A$996:A1019&lt;&gt;""),0),0),COUNTA(B$996:B1018))),"")</f>
        <v/>
      </c>
      <c r="L1018" s="27"/>
    </row>
    <row r="1019" customFormat="false" ht="13.8" hidden="false" customHeight="false" outlineLevel="0" collapsed="false">
      <c r="A1019" s="16"/>
      <c r="B1019" s="16"/>
      <c r="C1019" s="26"/>
      <c r="D1019" s="26"/>
      <c r="E1019" s="16"/>
      <c r="F1019" s="18"/>
      <c r="G1019" s="19" t="str">
        <f aca="true">IF(F1019="", "", DATEDIF(F1019, TODAY(), "Y"))</f>
        <v/>
      </c>
      <c r="H1019" s="18"/>
      <c r="I1019" s="18"/>
      <c r="J1019" s="24" t="str">
        <f aca="true">IF(ISBLANK(H1019), "", I1019-TODAY())</f>
        <v/>
      </c>
      <c r="K1019" s="24" t="str">
        <f aca="false" t="array" ref="K1019:K1019">IF(A1019&lt;&gt;"",IF(COUNTIF(A$996:A1020,"&lt;&gt;")=0,COUNTA(B$996:B1019),IFERROR(MATCH(TRUE(),INDEX((A$996:A1020&lt;&gt;""),0),0),COUNTA(B$996:B1019))),"")</f>
        <v/>
      </c>
      <c r="L1019" s="27"/>
    </row>
    <row r="1020" customFormat="false" ht="13.8" hidden="false" customHeight="false" outlineLevel="0" collapsed="false">
      <c r="A1020" s="16"/>
      <c r="B1020" s="16"/>
      <c r="C1020" s="26"/>
      <c r="D1020" s="26"/>
      <c r="E1020" s="16"/>
      <c r="F1020" s="18"/>
      <c r="G1020" s="19" t="str">
        <f aca="true">IF(F1020="", "", DATEDIF(F1020, TODAY(), "Y"))</f>
        <v/>
      </c>
      <c r="H1020" s="18"/>
      <c r="I1020" s="18"/>
      <c r="J1020" s="24" t="str">
        <f aca="true">IF(ISBLANK(H1020), "", I1020-TODAY())</f>
        <v/>
      </c>
      <c r="K1020" s="24" t="str">
        <f aca="false" t="array" ref="K1020:K1020">IF(A1020&lt;&gt;"",IF(COUNTIF(A$996:A1021,"&lt;&gt;")=0,COUNTA(B$996:B1020),IFERROR(MATCH(TRUE(),INDEX((A$996:A1021&lt;&gt;""),0),0),COUNTA(B$996:B1020))),"")</f>
        <v/>
      </c>
      <c r="L1020" s="27"/>
    </row>
    <row r="1021" customFormat="false" ht="13.8" hidden="false" customHeight="false" outlineLevel="0" collapsed="false">
      <c r="A1021" s="16"/>
      <c r="B1021" s="16"/>
      <c r="C1021" s="26"/>
      <c r="D1021" s="26"/>
      <c r="E1021" s="16"/>
      <c r="F1021" s="18"/>
      <c r="G1021" s="19" t="str">
        <f aca="true">IF(F1021="", "", DATEDIF(F1021, TODAY(), "Y"))</f>
        <v/>
      </c>
      <c r="H1021" s="18"/>
      <c r="I1021" s="18"/>
      <c r="J1021" s="24" t="str">
        <f aca="true">IF(ISBLANK(H1021), "", I1021-TODAY())</f>
        <v/>
      </c>
      <c r="K1021" s="24" t="str">
        <f aca="false" t="array" ref="K1021:K1021">IF(A1021&lt;&gt;"",IF(COUNTIF(A$996:A1022,"&lt;&gt;")=0,COUNTA(B$996:B1021),IFERROR(MATCH(TRUE(),INDEX((A$996:A1022&lt;&gt;""),0),0),COUNTA(B$996:B1021))),"")</f>
        <v/>
      </c>
      <c r="L1021" s="27"/>
    </row>
    <row r="1022" customFormat="false" ht="13.8" hidden="false" customHeight="false" outlineLevel="0" collapsed="false">
      <c r="A1022" s="16"/>
      <c r="B1022" s="16"/>
      <c r="C1022" s="26"/>
      <c r="D1022" s="26"/>
      <c r="E1022" s="16"/>
      <c r="F1022" s="18"/>
      <c r="G1022" s="19" t="str">
        <f aca="true">IF(F1022="", "", DATEDIF(F1022, TODAY(), "Y"))</f>
        <v/>
      </c>
      <c r="H1022" s="18"/>
      <c r="I1022" s="18"/>
      <c r="J1022" s="24" t="str">
        <f aca="true">IF(ISBLANK(H1022), "", I1022-TODAY())</f>
        <v/>
      </c>
      <c r="K1022" s="24" t="str">
        <f aca="false" t="array" ref="K1022:K1022">IF(A1022&lt;&gt;"",IF(COUNTIF(A$996:A1023,"&lt;&gt;")=0,COUNTA(B$996:B1022),IFERROR(MATCH(TRUE(),INDEX((A$996:A1023&lt;&gt;""),0),0),COUNTA(B$996:B1022))),"")</f>
        <v/>
      </c>
      <c r="L1022" s="27"/>
    </row>
    <row r="1023" customFormat="false" ht="13.8" hidden="false" customHeight="false" outlineLevel="0" collapsed="false">
      <c r="A1023" s="16"/>
      <c r="B1023" s="16"/>
      <c r="C1023" s="26"/>
      <c r="D1023" s="26"/>
      <c r="E1023" s="16"/>
      <c r="F1023" s="18"/>
      <c r="G1023" s="19" t="str">
        <f aca="true">IF(F1023="", "", DATEDIF(F1023, TODAY(), "Y"))</f>
        <v/>
      </c>
      <c r="H1023" s="18"/>
      <c r="I1023" s="18"/>
      <c r="J1023" s="24" t="str">
        <f aca="true">IF(ISBLANK(H1023), "", I1023-TODAY())</f>
        <v/>
      </c>
      <c r="K1023" s="24" t="str">
        <f aca="false" t="array" ref="K1023:K1023">IF(A1023&lt;&gt;"",IF(COUNTIF(A$996:A1024,"&lt;&gt;")=0,COUNTA(B$996:B1023),IFERROR(MATCH(TRUE(),INDEX((A$996:A1024&lt;&gt;""),0),0),COUNTA(B$996:B1023))),"")</f>
        <v/>
      </c>
      <c r="L1023" s="27"/>
    </row>
    <row r="1024" customFormat="false" ht="13.8" hidden="false" customHeight="false" outlineLevel="0" collapsed="false">
      <c r="A1024" s="16"/>
      <c r="B1024" s="16"/>
      <c r="C1024" s="26"/>
      <c r="D1024" s="26"/>
      <c r="E1024" s="16"/>
      <c r="F1024" s="18"/>
      <c r="G1024" s="19" t="str">
        <f aca="true">IF(F1024="", "", DATEDIF(F1024, TODAY(), "Y"))</f>
        <v/>
      </c>
      <c r="H1024" s="18"/>
      <c r="I1024" s="18"/>
      <c r="J1024" s="24" t="str">
        <f aca="true">IF(ISBLANK(H1024), "", I1024-TODAY())</f>
        <v/>
      </c>
      <c r="K1024" s="24" t="str">
        <f aca="false" t="array" ref="K1024:K1024">IF(A1024&lt;&gt;"",IF(COUNTIF(A$996:A1025,"&lt;&gt;")=0,COUNTA(B$996:B1024),IFERROR(MATCH(TRUE(),INDEX((A$996:A1025&lt;&gt;""),0),0),COUNTA(B$996:B1024))),"")</f>
        <v/>
      </c>
      <c r="L1024" s="27"/>
    </row>
    <row r="1025" customFormat="false" ht="13.8" hidden="false" customHeight="false" outlineLevel="0" collapsed="false">
      <c r="A1025" s="16"/>
      <c r="B1025" s="16"/>
      <c r="C1025" s="26"/>
      <c r="D1025" s="26"/>
      <c r="E1025" s="16"/>
      <c r="F1025" s="18"/>
      <c r="G1025" s="19" t="str">
        <f aca="true">IF(F1025="", "", DATEDIF(F1025, TODAY(), "Y"))</f>
        <v/>
      </c>
      <c r="H1025" s="18"/>
      <c r="I1025" s="18"/>
      <c r="J1025" s="24" t="str">
        <f aca="true">IF(ISBLANK(H1025), "", I1025-TODAY())</f>
        <v/>
      </c>
      <c r="K1025" s="24" t="str">
        <f aca="false" t="array" ref="K1025:K1025">IF(A1025&lt;&gt;"",IF(COUNTIF(A$996:A1026,"&lt;&gt;")=0,COUNTA(B$996:B1025),IFERROR(MATCH(TRUE(),INDEX((A$996:A1026&lt;&gt;""),0),0),COUNTA(B$996:B1025))),"")</f>
        <v/>
      </c>
      <c r="L1025" s="27"/>
    </row>
    <row r="1026" customFormat="false" ht="13.8" hidden="false" customHeight="false" outlineLevel="0" collapsed="false">
      <c r="A1026" s="16"/>
      <c r="B1026" s="16"/>
      <c r="C1026" s="26"/>
      <c r="D1026" s="26"/>
      <c r="E1026" s="16"/>
      <c r="F1026" s="18"/>
      <c r="G1026" s="19" t="str">
        <f aca="true">IF(F1026="", "", DATEDIF(F1026, TODAY(), "Y"))</f>
        <v/>
      </c>
      <c r="H1026" s="18"/>
      <c r="I1026" s="18"/>
      <c r="J1026" s="24" t="str">
        <f aca="true">IF(ISBLANK(H1026), "", I1026-TODAY())</f>
        <v/>
      </c>
      <c r="K1026" s="24" t="str">
        <f aca="false" t="array" ref="K1026:K1026">IF(A1026&lt;&gt;"",IF(COUNTIF(A$996:A1027,"&lt;&gt;")=0,COUNTA(B$996:B1026),IFERROR(MATCH(TRUE(),INDEX((A$996:A1027&lt;&gt;""),0),0),COUNTA(B$996:B1026))),"")</f>
        <v/>
      </c>
      <c r="L1026" s="27"/>
    </row>
    <row r="1027" customFormat="false" ht="13.8" hidden="false" customHeight="false" outlineLevel="0" collapsed="false">
      <c r="A1027" s="16"/>
      <c r="B1027" s="16"/>
      <c r="C1027" s="26"/>
      <c r="D1027" s="26"/>
      <c r="E1027" s="16"/>
      <c r="F1027" s="18"/>
      <c r="G1027" s="19" t="str">
        <f aca="true">IF(F1027="", "", DATEDIF(F1027, TODAY(), "Y"))</f>
        <v/>
      </c>
      <c r="H1027" s="18"/>
      <c r="I1027" s="18"/>
      <c r="J1027" s="24" t="str">
        <f aca="true">IF(ISBLANK(H1027), "", I1027-TODAY())</f>
        <v/>
      </c>
      <c r="K1027" s="24" t="str">
        <f aca="false" t="array" ref="K1027:K1027">IF(A1027&lt;&gt;"",IF(COUNTIF(A$996:A1028,"&lt;&gt;")=0,COUNTA(B$996:B1027),IFERROR(MATCH(TRUE(),INDEX((A$996:A1028&lt;&gt;""),0),0),COUNTA(B$996:B1027))),"")</f>
        <v/>
      </c>
      <c r="L1027" s="27"/>
    </row>
    <row r="1028" customFormat="false" ht="13.8" hidden="false" customHeight="false" outlineLevel="0" collapsed="false">
      <c r="A1028" s="16"/>
      <c r="B1028" s="16"/>
      <c r="C1028" s="26"/>
      <c r="D1028" s="26"/>
      <c r="E1028" s="16"/>
      <c r="F1028" s="18"/>
      <c r="G1028" s="19" t="str">
        <f aca="true">IF(F1028="", "", DATEDIF(F1028, TODAY(), "Y"))</f>
        <v/>
      </c>
      <c r="H1028" s="18"/>
      <c r="I1028" s="18"/>
      <c r="J1028" s="24" t="str">
        <f aca="true">IF(ISBLANK(H1028), "", I1028-TODAY())</f>
        <v/>
      </c>
      <c r="K1028" s="24" t="str">
        <f aca="false" t="array" ref="K1028:K1028">IF(A1028&lt;&gt;"",IF(COUNTIF(A$996:A1029,"&lt;&gt;")=0,COUNTA(B$996:B1028),IFERROR(MATCH(TRUE(),INDEX((A$996:A1029&lt;&gt;""),0),0),COUNTA(B$996:B1028))),"")</f>
        <v/>
      </c>
      <c r="L1028" s="27"/>
    </row>
    <row r="1029" customFormat="false" ht="13.8" hidden="false" customHeight="false" outlineLevel="0" collapsed="false">
      <c r="A1029" s="16"/>
      <c r="B1029" s="16"/>
      <c r="C1029" s="26"/>
      <c r="D1029" s="26"/>
      <c r="E1029" s="16"/>
      <c r="F1029" s="18"/>
      <c r="G1029" s="19" t="str">
        <f aca="true">IF(F1029="", "", DATEDIF(F1029, TODAY(), "Y"))</f>
        <v/>
      </c>
      <c r="H1029" s="18"/>
      <c r="I1029" s="18"/>
      <c r="J1029" s="24" t="str">
        <f aca="true">IF(ISBLANK(H1029), "", I1029-TODAY())</f>
        <v/>
      </c>
      <c r="K1029" s="24" t="str">
        <f aca="false" t="array" ref="K1029:K1029">IF(A1029&lt;&gt;"",IF(COUNTIF(A$996:A1030,"&lt;&gt;")=0,COUNTA(B$996:B1029),IFERROR(MATCH(TRUE(),INDEX((A$996:A1030&lt;&gt;""),0),0),COUNTA(B$996:B1029))),"")</f>
        <v/>
      </c>
      <c r="L1029" s="27"/>
    </row>
    <row r="1030" customFormat="false" ht="13.8" hidden="false" customHeight="false" outlineLevel="0" collapsed="false">
      <c r="A1030" s="16"/>
      <c r="B1030" s="16"/>
      <c r="C1030" s="26"/>
      <c r="D1030" s="26"/>
      <c r="E1030" s="16"/>
      <c r="F1030" s="18"/>
      <c r="G1030" s="19" t="str">
        <f aca="true">IF(F1030="", "", DATEDIF(F1030, TODAY(), "Y"))</f>
        <v/>
      </c>
      <c r="H1030" s="18"/>
      <c r="I1030" s="18"/>
      <c r="J1030" s="24" t="str">
        <f aca="true">IF(ISBLANK(H1030), "", I1030-TODAY())</f>
        <v/>
      </c>
      <c r="K1030" s="24" t="str">
        <f aca="false" t="array" ref="K1030:K1030">IF(A1030&lt;&gt;"",IF(COUNTIF(A$996:A1031,"&lt;&gt;")=0,COUNTA(B$996:B1030),IFERROR(MATCH(TRUE(),INDEX((A$996:A1031&lt;&gt;""),0),0),COUNTA(B$996:B1030))),"")</f>
        <v/>
      </c>
      <c r="L1030" s="27"/>
    </row>
    <row r="1031" customFormat="false" ht="13.8" hidden="false" customHeight="false" outlineLevel="0" collapsed="false">
      <c r="A1031" s="16"/>
      <c r="B1031" s="16"/>
      <c r="C1031" s="26"/>
      <c r="D1031" s="26"/>
      <c r="E1031" s="16"/>
      <c r="F1031" s="18"/>
      <c r="G1031" s="19" t="str">
        <f aca="true">IF(F1031="", "", DATEDIF(F1031, TODAY(), "Y"))</f>
        <v/>
      </c>
      <c r="H1031" s="18"/>
      <c r="I1031" s="18"/>
      <c r="J1031" s="24" t="str">
        <f aca="true">IF(ISBLANK(H1031), "", I1031-TODAY())</f>
        <v/>
      </c>
      <c r="K1031" s="24" t="str">
        <f aca="false" t="array" ref="K1031:K1031">IF(A1031&lt;&gt;"",IF(COUNTIF(A$996:A1032,"&lt;&gt;")=0,COUNTA(B$996:B1031),IFERROR(MATCH(TRUE(),INDEX((A$996:A1032&lt;&gt;""),0),0),COUNTA(B$996:B1031))),"")</f>
        <v/>
      </c>
      <c r="L1031" s="27"/>
    </row>
    <row r="1032" customFormat="false" ht="13.8" hidden="false" customHeight="false" outlineLevel="0" collapsed="false">
      <c r="A1032" s="16"/>
      <c r="B1032" s="16"/>
      <c r="C1032" s="26"/>
      <c r="D1032" s="26"/>
      <c r="E1032" s="16"/>
      <c r="F1032" s="18"/>
      <c r="G1032" s="19" t="str">
        <f aca="true">IF(F1032="", "", DATEDIF(F1032, TODAY(), "Y"))</f>
        <v/>
      </c>
      <c r="H1032" s="18"/>
      <c r="I1032" s="18"/>
      <c r="J1032" s="24" t="str">
        <f aca="true">IF(ISBLANK(H1032), "", I1032-TODAY())</f>
        <v/>
      </c>
      <c r="K1032" s="24" t="str">
        <f aca="false" t="array" ref="K1032:K1032">IF(A1032&lt;&gt;"",IF(COUNTIF(A$996:A1033,"&lt;&gt;")=0,COUNTA(B$996:B1032),IFERROR(MATCH(TRUE(),INDEX((A$996:A1033&lt;&gt;""),0),0),COUNTA(B$996:B1032))),"")</f>
        <v/>
      </c>
      <c r="L1032" s="27"/>
    </row>
    <row r="1033" customFormat="false" ht="13.8" hidden="false" customHeight="false" outlineLevel="0" collapsed="false">
      <c r="A1033" s="16"/>
      <c r="B1033" s="16"/>
      <c r="C1033" s="26"/>
      <c r="D1033" s="26"/>
      <c r="E1033" s="16"/>
      <c r="F1033" s="18"/>
      <c r="G1033" s="19" t="str">
        <f aca="true">IF(F1033="", "", DATEDIF(F1033, TODAY(), "Y"))</f>
        <v/>
      </c>
      <c r="H1033" s="18"/>
      <c r="I1033" s="18"/>
      <c r="J1033" s="24" t="str">
        <f aca="true">IF(ISBLANK(H1033), "", I1033-TODAY())</f>
        <v/>
      </c>
      <c r="K1033" s="24" t="str">
        <f aca="false" t="array" ref="K1033:K1033">IF(A1033&lt;&gt;"",IF(COUNTIF(A$996:A1034,"&lt;&gt;")=0,COUNTA(B$996:B1033),IFERROR(MATCH(TRUE(),INDEX((A$996:A1034&lt;&gt;""),0),0),COUNTA(B$996:B1033))),"")</f>
        <v/>
      </c>
      <c r="L1033" s="27"/>
    </row>
    <row r="1034" customFormat="false" ht="13.8" hidden="false" customHeight="false" outlineLevel="0" collapsed="false">
      <c r="A1034" s="16"/>
      <c r="B1034" s="16"/>
      <c r="C1034" s="26"/>
      <c r="D1034" s="26"/>
      <c r="E1034" s="16"/>
      <c r="F1034" s="18"/>
      <c r="G1034" s="19" t="str">
        <f aca="true">IF(F1034="", "", DATEDIF(F1034, TODAY(), "Y"))</f>
        <v/>
      </c>
      <c r="H1034" s="18"/>
      <c r="I1034" s="18"/>
      <c r="J1034" s="24" t="str">
        <f aca="true">IF(ISBLANK(H1034), "", I1034-TODAY())</f>
        <v/>
      </c>
      <c r="K1034" s="24" t="str">
        <f aca="false" t="array" ref="K1034:K1034">IF(A1034&lt;&gt;"",IF(COUNTIF(A$996:A1035,"&lt;&gt;")=0,COUNTA(B$996:B1034),IFERROR(MATCH(TRUE(),INDEX((A$996:A1035&lt;&gt;""),0),0),COUNTA(B$996:B1034))),"")</f>
        <v/>
      </c>
      <c r="L1034" s="27"/>
    </row>
    <row r="1035" customFormat="false" ht="13.8" hidden="false" customHeight="false" outlineLevel="0" collapsed="false">
      <c r="A1035" s="16"/>
      <c r="B1035" s="16"/>
      <c r="C1035" s="26"/>
      <c r="D1035" s="26"/>
      <c r="E1035" s="16"/>
      <c r="F1035" s="18"/>
      <c r="G1035" s="19" t="str">
        <f aca="true">IF(F1035="", "", DATEDIF(F1035, TODAY(), "Y"))</f>
        <v/>
      </c>
      <c r="H1035" s="18"/>
      <c r="I1035" s="18"/>
      <c r="J1035" s="24" t="str">
        <f aca="true">IF(ISBLANK(H1035), "", I1035-TODAY())</f>
        <v/>
      </c>
      <c r="K1035" s="24" t="str">
        <f aca="false" t="array" ref="K1035:K1035">IF(A1035&lt;&gt;"",IF(COUNTIF(A$996:A1036,"&lt;&gt;")=0,COUNTA(B$996:B1035),IFERROR(MATCH(TRUE(),INDEX((A$996:A1036&lt;&gt;""),0),0),COUNTA(B$996:B1035))),"")</f>
        <v/>
      </c>
      <c r="L1035" s="27"/>
    </row>
    <row r="1036" customFormat="false" ht="13.8" hidden="false" customHeight="false" outlineLevel="0" collapsed="false">
      <c r="A1036" s="16"/>
      <c r="B1036" s="16"/>
      <c r="C1036" s="26"/>
      <c r="D1036" s="26"/>
      <c r="E1036" s="16"/>
      <c r="F1036" s="18"/>
      <c r="G1036" s="19" t="str">
        <f aca="true">IF(F1036="", "", DATEDIF(F1036, TODAY(), "Y"))</f>
        <v/>
      </c>
      <c r="H1036" s="18"/>
      <c r="I1036" s="18"/>
      <c r="J1036" s="24" t="str">
        <f aca="true">IF(ISBLANK(H1036), "", I1036-TODAY())</f>
        <v/>
      </c>
      <c r="K1036" s="24" t="str">
        <f aca="false" t="array" ref="K1036:K1036">IF(A1036&lt;&gt;"",IF(COUNTIF(A$996:A1037,"&lt;&gt;")=0,COUNTA(B$996:B1036),IFERROR(MATCH(TRUE(),INDEX((A$996:A1037&lt;&gt;""),0),0),COUNTA(B$996:B1036))),"")</f>
        <v/>
      </c>
      <c r="L1036" s="27"/>
    </row>
    <row r="1037" customFormat="false" ht="13.8" hidden="false" customHeight="false" outlineLevel="0" collapsed="false">
      <c r="A1037" s="16"/>
      <c r="B1037" s="16"/>
      <c r="C1037" s="26"/>
      <c r="D1037" s="26"/>
      <c r="E1037" s="16"/>
      <c r="F1037" s="18"/>
      <c r="G1037" s="19" t="str">
        <f aca="true">IF(F1037="", "", DATEDIF(F1037, TODAY(), "Y"))</f>
        <v/>
      </c>
      <c r="H1037" s="18"/>
      <c r="I1037" s="18"/>
      <c r="J1037" s="24" t="str">
        <f aca="true">IF(ISBLANK(H1037), "", I1037-TODAY())</f>
        <v/>
      </c>
      <c r="K1037" s="24" t="str">
        <f aca="false" t="array" ref="K1037:K1037">IF(A1037&lt;&gt;"",IF(COUNTIF(A$996:A1038,"&lt;&gt;")=0,COUNTA(B$996:B1037),IFERROR(MATCH(TRUE(),INDEX((A$996:A1038&lt;&gt;""),0),0),COUNTA(B$996:B1037))),"")</f>
        <v/>
      </c>
      <c r="L1037" s="27"/>
    </row>
    <row r="1038" customFormat="false" ht="13.8" hidden="false" customHeight="false" outlineLevel="0" collapsed="false">
      <c r="A1038" s="16"/>
      <c r="B1038" s="16"/>
      <c r="C1038" s="26"/>
      <c r="D1038" s="26"/>
      <c r="E1038" s="16"/>
      <c r="F1038" s="18"/>
      <c r="G1038" s="19" t="str">
        <f aca="true">IF(F1038="", "", DATEDIF(F1038, TODAY(), "Y"))</f>
        <v/>
      </c>
      <c r="H1038" s="18"/>
      <c r="I1038" s="18"/>
      <c r="J1038" s="24" t="str">
        <f aca="true">IF(ISBLANK(H1038), "", I1038-TODAY())</f>
        <v/>
      </c>
      <c r="K1038" s="24" t="str">
        <f aca="false" t="array" ref="K1038:K1038">IF(A1038&lt;&gt;"",IF(COUNTIF(A$996:A1039,"&lt;&gt;")=0,COUNTA(B$996:B1038),IFERROR(MATCH(TRUE(),INDEX((A$996:A1039&lt;&gt;""),0),0),COUNTA(B$996:B1038))),"")</f>
        <v/>
      </c>
      <c r="L1038" s="27"/>
    </row>
    <row r="1039" customFormat="false" ht="13.8" hidden="false" customHeight="false" outlineLevel="0" collapsed="false">
      <c r="A1039" s="16"/>
      <c r="B1039" s="16"/>
      <c r="C1039" s="26"/>
      <c r="D1039" s="26"/>
      <c r="E1039" s="16"/>
      <c r="F1039" s="18"/>
      <c r="G1039" s="19" t="str">
        <f aca="true">IF(F1039="", "", DATEDIF(F1039, TODAY(), "Y"))</f>
        <v/>
      </c>
      <c r="H1039" s="18"/>
      <c r="I1039" s="18"/>
      <c r="J1039" s="24" t="str">
        <f aca="true">IF(ISBLANK(H1039), "", I1039-TODAY())</f>
        <v/>
      </c>
      <c r="K1039" s="24" t="str">
        <f aca="false" t="array" ref="K1039:K1039">IF(A1039&lt;&gt;"",IF(COUNTIF(A$996:A1040,"&lt;&gt;")=0,COUNTA(B$996:B1039),IFERROR(MATCH(TRUE(),INDEX((A$996:A1040&lt;&gt;""),0),0),COUNTA(B$996:B1039))),"")</f>
        <v/>
      </c>
      <c r="L1039" s="27"/>
    </row>
    <row r="1040" customFormat="false" ht="13.8" hidden="false" customHeight="false" outlineLevel="0" collapsed="false">
      <c r="A1040" s="16"/>
      <c r="B1040" s="16"/>
      <c r="C1040" s="26"/>
      <c r="D1040" s="26"/>
      <c r="E1040" s="16"/>
      <c r="F1040" s="18"/>
      <c r="G1040" s="19" t="str">
        <f aca="true">IF(F1040="", "", DATEDIF(F1040, TODAY(), "Y"))</f>
        <v/>
      </c>
      <c r="H1040" s="18"/>
      <c r="I1040" s="18"/>
      <c r="J1040" s="24" t="str">
        <f aca="true">IF(ISBLANK(H1040), "", I1040-TODAY())</f>
        <v/>
      </c>
      <c r="K1040" s="24" t="str">
        <f aca="false" t="array" ref="K1040:K1040">IF(A1040&lt;&gt;"",IF(COUNTIF(A$996:A1041,"&lt;&gt;")=0,COUNTA(B$996:B1040),IFERROR(MATCH(TRUE(),INDEX((A$996:A1041&lt;&gt;""),0),0),COUNTA(B$996:B1040))),"")</f>
        <v/>
      </c>
      <c r="L1040" s="27"/>
    </row>
    <row r="1041" customFormat="false" ht="13.8" hidden="false" customHeight="false" outlineLevel="0" collapsed="false">
      <c r="A1041" s="16"/>
      <c r="B1041" s="16"/>
      <c r="C1041" s="26"/>
      <c r="D1041" s="26"/>
      <c r="E1041" s="16"/>
      <c r="F1041" s="18"/>
      <c r="G1041" s="19" t="str">
        <f aca="true">IF(F1041="", "", DATEDIF(F1041, TODAY(), "Y"))</f>
        <v/>
      </c>
      <c r="H1041" s="18"/>
      <c r="I1041" s="18"/>
      <c r="J1041" s="24" t="str">
        <f aca="true">IF(ISBLANK(H1041), "", I1041-TODAY())</f>
        <v/>
      </c>
      <c r="K1041" s="24" t="str">
        <f aca="false" t="array" ref="K1041:K1041">IF(A1041&lt;&gt;"",IF(COUNTIF(A$996:A1042,"&lt;&gt;")=0,COUNTA(B$996:B1041),IFERROR(MATCH(TRUE(),INDEX((A$996:A1042&lt;&gt;""),0),0),COUNTA(B$996:B1041))),"")</f>
        <v/>
      </c>
      <c r="L1041" s="27"/>
    </row>
    <row r="1042" customFormat="false" ht="13.8" hidden="false" customHeight="false" outlineLevel="0" collapsed="false">
      <c r="A1042" s="16"/>
      <c r="B1042" s="16"/>
      <c r="C1042" s="26"/>
      <c r="D1042" s="26"/>
      <c r="E1042" s="16"/>
      <c r="F1042" s="18"/>
      <c r="G1042" s="19" t="str">
        <f aca="true">IF(F1042="", "", DATEDIF(F1042, TODAY(), "Y"))</f>
        <v/>
      </c>
      <c r="H1042" s="18"/>
      <c r="I1042" s="18"/>
      <c r="J1042" s="24" t="str">
        <f aca="true">IF(ISBLANK(H1042), "", I1042-TODAY())</f>
        <v/>
      </c>
      <c r="K1042" s="24" t="str">
        <f aca="false" t="array" ref="K1042:K1042">IF(A1042&lt;&gt;"",IF(COUNTIF(A$996:A1043,"&lt;&gt;")=0,COUNTA(B$996:B1042),IFERROR(MATCH(TRUE(),INDEX((A$996:A1043&lt;&gt;""),0),0),COUNTA(B$996:B1042))),"")</f>
        <v/>
      </c>
      <c r="L1042" s="27"/>
    </row>
    <row r="1043" customFormat="false" ht="13.8" hidden="false" customHeight="false" outlineLevel="0" collapsed="false">
      <c r="A1043" s="16"/>
      <c r="B1043" s="16"/>
      <c r="C1043" s="26"/>
      <c r="D1043" s="26"/>
      <c r="E1043" s="16"/>
      <c r="F1043" s="18"/>
      <c r="G1043" s="19" t="str">
        <f aca="true">IF(F1043="", "", DATEDIF(F1043, TODAY(), "Y"))</f>
        <v/>
      </c>
      <c r="H1043" s="18"/>
      <c r="I1043" s="18"/>
      <c r="J1043" s="24" t="str">
        <f aca="true">IF(ISBLANK(H1043), "", I1043-TODAY())</f>
        <v/>
      </c>
      <c r="K1043" s="24" t="str">
        <f aca="false" t="array" ref="K1043:K1043">IF(A1043&lt;&gt;"",IF(COUNTIF(A$996:A1044,"&lt;&gt;")=0,COUNTA(B$996:B1043),IFERROR(MATCH(TRUE(),INDEX((A$996:A1044&lt;&gt;""),0),0),COUNTA(B$996:B1043))),"")</f>
        <v/>
      </c>
      <c r="L1043" s="27"/>
    </row>
    <row r="1044" customFormat="false" ht="13.8" hidden="false" customHeight="false" outlineLevel="0" collapsed="false">
      <c r="A1044" s="16"/>
      <c r="B1044" s="16"/>
      <c r="C1044" s="26"/>
      <c r="D1044" s="26"/>
      <c r="E1044" s="16"/>
      <c r="F1044" s="18"/>
      <c r="G1044" s="19" t="str">
        <f aca="true">IF(F1044="", "", DATEDIF(F1044, TODAY(), "Y"))</f>
        <v/>
      </c>
      <c r="H1044" s="18"/>
      <c r="I1044" s="18"/>
      <c r="J1044" s="24" t="str">
        <f aca="true">IF(ISBLANK(H1044), "", I1044-TODAY())</f>
        <v/>
      </c>
      <c r="K1044" s="24" t="str">
        <f aca="false" t="array" ref="K1044:K1044">IF(A1044&lt;&gt;"",IF(COUNTIF(A$996:A1045,"&lt;&gt;")=0,COUNTA(B$996:B1044),IFERROR(MATCH(TRUE(),INDEX((A$996:A1045&lt;&gt;""),0),0),COUNTA(B$996:B1044))),"")</f>
        <v/>
      </c>
      <c r="L1044" s="27"/>
    </row>
    <row r="1045" customFormat="false" ht="13.8" hidden="false" customHeight="false" outlineLevel="0" collapsed="false">
      <c r="A1045" s="16"/>
      <c r="B1045" s="16"/>
      <c r="C1045" s="26"/>
      <c r="D1045" s="26"/>
      <c r="E1045" s="16"/>
      <c r="F1045" s="18"/>
      <c r="G1045" s="19" t="str">
        <f aca="true">IF(F1045="", "", DATEDIF(F1045, TODAY(), "Y"))</f>
        <v/>
      </c>
      <c r="H1045" s="18"/>
      <c r="I1045" s="18"/>
      <c r="J1045" s="24" t="str">
        <f aca="true">IF(ISBLANK(H1045), "", I1045-TODAY())</f>
        <v/>
      </c>
      <c r="K1045" s="24" t="str">
        <f aca="false" t="array" ref="K1045:K1045">IF(A1045&lt;&gt;"",IF(COUNTIF(A$996:A1046,"&lt;&gt;")=0,COUNTA(B$996:B1045),IFERROR(MATCH(TRUE(),INDEX((A$996:A1046&lt;&gt;""),0),0),COUNTA(B$996:B1045))),"")</f>
        <v/>
      </c>
      <c r="L1045" s="27"/>
    </row>
    <row r="1046" customFormat="false" ht="13.8" hidden="false" customHeight="false" outlineLevel="0" collapsed="false">
      <c r="A1046" s="16"/>
      <c r="B1046" s="16"/>
      <c r="C1046" s="26"/>
      <c r="D1046" s="26"/>
      <c r="E1046" s="16"/>
      <c r="F1046" s="18"/>
      <c r="G1046" s="19" t="str">
        <f aca="true">IF(F1046="", "", DATEDIF(F1046, TODAY(), "Y"))</f>
        <v/>
      </c>
      <c r="H1046" s="18"/>
      <c r="I1046" s="18"/>
      <c r="J1046" s="24" t="str">
        <f aca="true">IF(ISBLANK(H1046), "", I1046-TODAY())</f>
        <v/>
      </c>
      <c r="K1046" s="24" t="str">
        <f aca="false" t="array" ref="K1046:K1046">IF(A1046&lt;&gt;"",IF(COUNTIF(A$996:A1047,"&lt;&gt;")=0,COUNTA(B$996:B1046),IFERROR(MATCH(TRUE(),INDEX((A$996:A1047&lt;&gt;""),0),0),COUNTA(B$996:B1046))),"")</f>
        <v/>
      </c>
      <c r="L1046" s="27"/>
    </row>
    <row r="1047" customFormat="false" ht="13.8" hidden="false" customHeight="false" outlineLevel="0" collapsed="false">
      <c r="A1047" s="16"/>
      <c r="B1047" s="16"/>
      <c r="C1047" s="26"/>
      <c r="D1047" s="26"/>
      <c r="E1047" s="16"/>
      <c r="F1047" s="18"/>
      <c r="G1047" s="19" t="str">
        <f aca="true">IF(F1047="", "", DATEDIF(F1047, TODAY(), "Y"))</f>
        <v/>
      </c>
      <c r="H1047" s="18"/>
      <c r="I1047" s="18"/>
      <c r="J1047" s="24" t="str">
        <f aca="true">IF(ISBLANK(H1047), "", I1047-TODAY())</f>
        <v/>
      </c>
      <c r="K1047" s="24" t="str">
        <f aca="false" t="array" ref="K1047:K1047">IF(A1047&lt;&gt;"",IF(COUNTIF(A$996:A1048,"&lt;&gt;")=0,COUNTA(B$996:B1047),IFERROR(MATCH(TRUE(),INDEX((A$996:A1048&lt;&gt;""),0),0),COUNTA(B$996:B1047))),"")</f>
        <v/>
      </c>
      <c r="L1047" s="27"/>
    </row>
    <row r="1048" customFormat="false" ht="13.8" hidden="false" customHeight="false" outlineLevel="0" collapsed="false">
      <c r="A1048" s="16"/>
      <c r="B1048" s="16"/>
      <c r="C1048" s="26"/>
      <c r="D1048" s="26"/>
      <c r="E1048" s="16"/>
      <c r="F1048" s="18"/>
      <c r="G1048" s="19" t="str">
        <f aca="true">IF(F1048="", "", DATEDIF(F1048, TODAY(), "Y"))</f>
        <v/>
      </c>
      <c r="H1048" s="18"/>
      <c r="I1048" s="18"/>
      <c r="J1048" s="24" t="str">
        <f aca="true">IF(ISBLANK(H1048), "", I1048-TODAY())</f>
        <v/>
      </c>
      <c r="K1048" s="24" t="str">
        <f aca="false" t="array" ref="K1048:K1048">IF(A1048&lt;&gt;"",IF(COUNTIF(A$996:A1049,"&lt;&gt;")=0,COUNTA(B$996:B1048),IFERROR(MATCH(TRUE(),INDEX((A$996:A1049&lt;&gt;""),0),0),COUNTA(B$996:B1048))),"")</f>
        <v/>
      </c>
      <c r="L1048" s="27"/>
    </row>
    <row r="1049" customFormat="false" ht="13.8" hidden="false" customHeight="false" outlineLevel="0" collapsed="false">
      <c r="A1049" s="16"/>
      <c r="B1049" s="16"/>
      <c r="C1049" s="26"/>
      <c r="D1049" s="26"/>
      <c r="E1049" s="16"/>
      <c r="F1049" s="18"/>
      <c r="G1049" s="19" t="str">
        <f aca="true">IF(F1049="", "", DATEDIF(F1049, TODAY(), "Y"))</f>
        <v/>
      </c>
      <c r="H1049" s="18"/>
      <c r="I1049" s="18"/>
      <c r="J1049" s="24" t="str">
        <f aca="true">IF(ISBLANK(H1049), "", I1049-TODAY())</f>
        <v/>
      </c>
      <c r="K1049" s="24" t="str">
        <f aca="false" t="array" ref="K1049:K1049">IF(A1049&lt;&gt;"",IF(COUNTIF(A$996:A1050,"&lt;&gt;")=0,COUNTA(B$996:B1049),IFERROR(MATCH(TRUE(),INDEX((A$996:A1050&lt;&gt;""),0),0),COUNTA(B$996:B1049))),"")</f>
        <v/>
      </c>
      <c r="L1049" s="27"/>
    </row>
    <row r="1050" customFormat="false" ht="13.8" hidden="false" customHeight="false" outlineLevel="0" collapsed="false">
      <c r="A1050" s="16"/>
      <c r="B1050" s="16"/>
      <c r="C1050" s="26"/>
      <c r="D1050" s="26"/>
      <c r="E1050" s="16"/>
      <c r="F1050" s="18"/>
      <c r="G1050" s="19" t="str">
        <f aca="true">IF(F1050="", "", DATEDIF(F1050, TODAY(), "Y"))</f>
        <v/>
      </c>
      <c r="H1050" s="18"/>
      <c r="I1050" s="18"/>
      <c r="J1050" s="24" t="str">
        <f aca="true">IF(ISBLANK(H1050), "", I1050-TODAY())</f>
        <v/>
      </c>
      <c r="K1050" s="24" t="str">
        <f aca="false" t="array" ref="K1050:K1050">IF(A1050&lt;&gt;"",IF(COUNTIF(A$996:A1051,"&lt;&gt;")=0,COUNTA(B$996:B1050),IFERROR(MATCH(TRUE(),INDEX((A$996:A1051&lt;&gt;""),0),0),COUNTA(B$996:B1050))),"")</f>
        <v/>
      </c>
      <c r="L1050" s="27"/>
    </row>
    <row r="1051" customFormat="false" ht="13.8" hidden="false" customHeight="false" outlineLevel="0" collapsed="false">
      <c r="A1051" s="16"/>
      <c r="B1051" s="16"/>
      <c r="C1051" s="26"/>
      <c r="D1051" s="26"/>
      <c r="E1051" s="16"/>
      <c r="F1051" s="18"/>
      <c r="G1051" s="19" t="str">
        <f aca="true">IF(F1051="", "", DATEDIF(F1051, TODAY(), "Y"))</f>
        <v/>
      </c>
      <c r="H1051" s="18"/>
      <c r="I1051" s="18"/>
      <c r="J1051" s="24" t="str">
        <f aca="true">IF(ISBLANK(H1051), "", I1051-TODAY())</f>
        <v/>
      </c>
      <c r="K1051" s="24" t="str">
        <f aca="false" t="array" ref="K1051:K1051">IF(A1051&lt;&gt;"",IF(COUNTIF(A$996:A1052,"&lt;&gt;")=0,COUNTA(B$996:B1051),IFERROR(MATCH(TRUE(),INDEX((A$996:A1052&lt;&gt;""),0),0),COUNTA(B$996:B1051))),"")</f>
        <v/>
      </c>
      <c r="L1051" s="27"/>
    </row>
    <row r="1052" customFormat="false" ht="13.8" hidden="false" customHeight="false" outlineLevel="0" collapsed="false">
      <c r="A1052" s="16"/>
      <c r="B1052" s="16"/>
      <c r="C1052" s="26"/>
      <c r="D1052" s="26"/>
      <c r="E1052" s="16"/>
      <c r="F1052" s="18"/>
      <c r="G1052" s="19" t="str">
        <f aca="true">IF(F1052="", "", DATEDIF(F1052, TODAY(), "Y"))</f>
        <v/>
      </c>
      <c r="H1052" s="18"/>
      <c r="I1052" s="18"/>
      <c r="J1052" s="24" t="str">
        <f aca="true">IF(ISBLANK(H1052), "", I1052-TODAY())</f>
        <v/>
      </c>
      <c r="K1052" s="24" t="str">
        <f aca="false" t="array" ref="K1052:K1052">IF(A1052&lt;&gt;"",IF(COUNTIF(A$996:A1053,"&lt;&gt;")=0,COUNTA(B$996:B1052),IFERROR(MATCH(TRUE(),INDEX((A$996:A1053&lt;&gt;""),0),0),COUNTA(B$996:B1052))),"")</f>
        <v/>
      </c>
      <c r="L1052" s="27"/>
    </row>
    <row r="1053" customFormat="false" ht="13.8" hidden="false" customHeight="false" outlineLevel="0" collapsed="false">
      <c r="A1053" s="16"/>
      <c r="B1053" s="16"/>
      <c r="C1053" s="26"/>
      <c r="D1053" s="26"/>
      <c r="E1053" s="16"/>
      <c r="F1053" s="18"/>
      <c r="G1053" s="19" t="str">
        <f aca="true">IF(F1053="", "", DATEDIF(F1053, TODAY(), "Y"))</f>
        <v/>
      </c>
      <c r="H1053" s="18"/>
      <c r="I1053" s="18"/>
      <c r="J1053" s="24" t="str">
        <f aca="true">IF(ISBLANK(H1053), "", I1053-TODAY())</f>
        <v/>
      </c>
      <c r="K1053" s="24" t="str">
        <f aca="false" t="array" ref="K1053:K1053">IF(A1053&lt;&gt;"",IF(COUNTIF(A$996:A1054,"&lt;&gt;")=0,COUNTA(B$996:B1053),IFERROR(MATCH(TRUE(),INDEX((A$996:A1054&lt;&gt;""),0),0),COUNTA(B$996:B1053))),"")</f>
        <v/>
      </c>
      <c r="L1053" s="27"/>
    </row>
    <row r="1054" customFormat="false" ht="13.8" hidden="false" customHeight="false" outlineLevel="0" collapsed="false">
      <c r="A1054" s="16"/>
      <c r="B1054" s="16"/>
      <c r="C1054" s="26"/>
      <c r="D1054" s="26"/>
      <c r="E1054" s="16"/>
      <c r="F1054" s="18"/>
      <c r="G1054" s="19" t="str">
        <f aca="true">IF(F1054="", "", DATEDIF(F1054, TODAY(), "Y"))</f>
        <v/>
      </c>
      <c r="H1054" s="18"/>
      <c r="I1054" s="18"/>
      <c r="J1054" s="24" t="str">
        <f aca="true">IF(ISBLANK(H1054), "", I1054-TODAY())</f>
        <v/>
      </c>
      <c r="K1054" s="24" t="str">
        <f aca="false" t="array" ref="K1054:K1054">IF(A1054&lt;&gt;"",IF(COUNTIF(A$996:A1055,"&lt;&gt;")=0,COUNTA(B$996:B1054),IFERROR(MATCH(TRUE(),INDEX((A$996:A1055&lt;&gt;""),0),0),COUNTA(B$996:B1054))),"")</f>
        <v/>
      </c>
      <c r="L1054" s="27"/>
    </row>
    <row r="1055" customFormat="false" ht="13.8" hidden="false" customHeight="false" outlineLevel="0" collapsed="false">
      <c r="A1055" s="16"/>
      <c r="B1055" s="16"/>
      <c r="C1055" s="26"/>
      <c r="D1055" s="26"/>
      <c r="E1055" s="16"/>
      <c r="F1055" s="18"/>
      <c r="G1055" s="19" t="str">
        <f aca="true">IF(F1055="", "", DATEDIF(F1055, TODAY(), "Y"))</f>
        <v/>
      </c>
      <c r="H1055" s="18"/>
      <c r="I1055" s="18"/>
      <c r="J1055" s="24" t="str">
        <f aca="true">IF(ISBLANK(H1055), "", I1055-TODAY())</f>
        <v/>
      </c>
      <c r="K1055" s="24" t="str">
        <f aca="false" t="array" ref="K1055:K1055">IF(A1055&lt;&gt;"",IF(COUNTIF(A$996:A1056,"&lt;&gt;")=0,COUNTA(B$996:B1055),IFERROR(MATCH(TRUE(),INDEX((A$996:A1056&lt;&gt;""),0),0),COUNTA(B$996:B1055))),"")</f>
        <v/>
      </c>
      <c r="L1055" s="27"/>
    </row>
    <row r="1056" customFormat="false" ht="13.8" hidden="false" customHeight="false" outlineLevel="0" collapsed="false">
      <c r="A1056" s="16"/>
      <c r="B1056" s="16"/>
      <c r="C1056" s="26"/>
      <c r="D1056" s="26"/>
      <c r="E1056" s="16"/>
      <c r="F1056" s="18"/>
      <c r="G1056" s="19" t="str">
        <f aca="true">IF(F1056="", "", DATEDIF(F1056, TODAY(), "Y"))</f>
        <v/>
      </c>
      <c r="H1056" s="18"/>
      <c r="I1056" s="18"/>
      <c r="J1056" s="24" t="str">
        <f aca="true">IF(ISBLANK(H1056), "", I1056-TODAY())</f>
        <v/>
      </c>
      <c r="K1056" s="24" t="str">
        <f aca="false" t="array" ref="K1056:K1056">IF(A1056&lt;&gt;"",IF(COUNTIF(A$996:A1057,"&lt;&gt;")=0,COUNTA(B$996:B1056),IFERROR(MATCH(TRUE(),INDEX((A$996:A1057&lt;&gt;""),0),0),COUNTA(B$996:B1056))),"")</f>
        <v/>
      </c>
      <c r="L1056" s="27"/>
    </row>
    <row r="1057" customFormat="false" ht="13.8" hidden="false" customHeight="false" outlineLevel="0" collapsed="false">
      <c r="A1057" s="16"/>
      <c r="B1057" s="16"/>
      <c r="C1057" s="26"/>
      <c r="D1057" s="26"/>
      <c r="E1057" s="16"/>
      <c r="F1057" s="18"/>
      <c r="G1057" s="19" t="str">
        <f aca="true">IF(F1057="", "", DATEDIF(F1057, TODAY(), "Y"))</f>
        <v/>
      </c>
      <c r="H1057" s="18"/>
      <c r="I1057" s="18"/>
      <c r="J1057" s="24" t="str">
        <f aca="true">IF(ISBLANK(H1057), "", I1057-TODAY())</f>
        <v/>
      </c>
      <c r="K1057" s="24" t="str">
        <f aca="false" t="array" ref="K1057:K1057">IF(A1057&lt;&gt;"",IF(COUNTIF(A$996:A1058,"&lt;&gt;")=0,COUNTA(B$996:B1057),IFERROR(MATCH(TRUE(),INDEX((A$996:A1058&lt;&gt;""),0),0),COUNTA(B$996:B1057))),"")</f>
        <v/>
      </c>
      <c r="L1057" s="27"/>
    </row>
    <row r="1058" customFormat="false" ht="13.8" hidden="false" customHeight="false" outlineLevel="0" collapsed="false">
      <c r="A1058" s="16"/>
      <c r="B1058" s="16"/>
      <c r="C1058" s="26"/>
      <c r="D1058" s="26"/>
      <c r="E1058" s="16"/>
      <c r="F1058" s="18"/>
      <c r="G1058" s="19" t="str">
        <f aca="true">IF(F1058="", "", DATEDIF(F1058, TODAY(), "Y"))</f>
        <v/>
      </c>
      <c r="H1058" s="18"/>
      <c r="I1058" s="18"/>
      <c r="J1058" s="24" t="str">
        <f aca="true">IF(ISBLANK(H1058), "", I1058-TODAY())</f>
        <v/>
      </c>
      <c r="K1058" s="24" t="str">
        <f aca="false" t="array" ref="K1058:K1058">IF(A1058&lt;&gt;"",IF(COUNTIF(A$996:A1059,"&lt;&gt;")=0,COUNTA(B$996:B1058),IFERROR(MATCH(TRUE(),INDEX((A$996:A1059&lt;&gt;""),0),0),COUNTA(B$996:B1058))),"")</f>
        <v/>
      </c>
      <c r="L1058" s="27"/>
    </row>
    <row r="1059" customFormat="false" ht="13.8" hidden="false" customHeight="false" outlineLevel="0" collapsed="false">
      <c r="A1059" s="16"/>
      <c r="B1059" s="16"/>
      <c r="C1059" s="26"/>
      <c r="D1059" s="26"/>
      <c r="E1059" s="16"/>
      <c r="F1059" s="18"/>
      <c r="G1059" s="19" t="str">
        <f aca="true">IF(F1059="", "", DATEDIF(F1059, TODAY(), "Y"))</f>
        <v/>
      </c>
      <c r="H1059" s="18"/>
      <c r="I1059" s="18"/>
      <c r="J1059" s="24" t="str">
        <f aca="true">IF(ISBLANK(H1059), "", I1059-TODAY())</f>
        <v/>
      </c>
      <c r="K1059" s="24" t="str">
        <f aca="false" t="array" ref="K1059:K1059">IF(A1059&lt;&gt;"",IF(COUNTIF(A$996:A1060,"&lt;&gt;")=0,COUNTA(B$996:B1059),IFERROR(MATCH(TRUE(),INDEX((A$996:A1060&lt;&gt;""),0),0),COUNTA(B$996:B1059))),"")</f>
        <v/>
      </c>
      <c r="L1059" s="27"/>
    </row>
    <row r="1060" customFormat="false" ht="13.8" hidden="false" customHeight="false" outlineLevel="0" collapsed="false">
      <c r="A1060" s="16"/>
      <c r="B1060" s="16"/>
      <c r="C1060" s="26"/>
      <c r="D1060" s="26"/>
      <c r="E1060" s="16"/>
      <c r="F1060" s="18"/>
      <c r="G1060" s="19" t="str">
        <f aca="true">IF(F1060="", "", DATEDIF(F1060, TODAY(), "Y"))</f>
        <v/>
      </c>
      <c r="H1060" s="18"/>
      <c r="I1060" s="18"/>
      <c r="J1060" s="24" t="str">
        <f aca="true">IF(ISBLANK(H1060), "", I1060-TODAY())</f>
        <v/>
      </c>
      <c r="K1060" s="24" t="str">
        <f aca="false" t="array" ref="K1060:K1060">IF(A1060&lt;&gt;"",IF(COUNTIF(A$996:A1061,"&lt;&gt;")=0,COUNTA(B$996:B1060),IFERROR(MATCH(TRUE(),INDEX((A$996:A1061&lt;&gt;""),0),0),COUNTA(B$996:B1060))),"")</f>
        <v/>
      </c>
      <c r="L1060" s="27"/>
    </row>
    <row r="1061" customFormat="false" ht="13.8" hidden="false" customHeight="false" outlineLevel="0" collapsed="false">
      <c r="A1061" s="16"/>
      <c r="B1061" s="16"/>
      <c r="C1061" s="26"/>
      <c r="D1061" s="26"/>
      <c r="E1061" s="16"/>
      <c r="F1061" s="18"/>
      <c r="G1061" s="19" t="str">
        <f aca="true">IF(F1061="", "", DATEDIF(F1061, TODAY(), "Y"))</f>
        <v/>
      </c>
      <c r="H1061" s="18"/>
      <c r="I1061" s="18"/>
      <c r="J1061" s="24" t="str">
        <f aca="true">IF(ISBLANK(H1061), "", I1061-TODAY())</f>
        <v/>
      </c>
      <c r="K1061" s="24" t="str">
        <f aca="false" t="array" ref="K1061:K1061">IF(A1061&lt;&gt;"",IF(COUNTIF(A$996:A1062,"&lt;&gt;")=0,COUNTA(B$996:B1061),IFERROR(MATCH(TRUE(),INDEX((A$996:A1062&lt;&gt;""),0),0),COUNTA(B$996:B1061))),"")</f>
        <v/>
      </c>
      <c r="L1061" s="27"/>
    </row>
    <row r="1062" customFormat="false" ht="13.8" hidden="false" customHeight="false" outlineLevel="0" collapsed="false">
      <c r="A1062" s="16"/>
      <c r="B1062" s="16"/>
      <c r="C1062" s="26"/>
      <c r="D1062" s="26"/>
      <c r="E1062" s="16"/>
      <c r="F1062" s="18"/>
      <c r="G1062" s="19" t="str">
        <f aca="true">IF(F1062="", "", DATEDIF(F1062, TODAY(), "Y"))</f>
        <v/>
      </c>
      <c r="H1062" s="18"/>
      <c r="I1062" s="18"/>
      <c r="J1062" s="24" t="str">
        <f aca="true">IF(ISBLANK(H1062), "", I1062-TODAY())</f>
        <v/>
      </c>
      <c r="K1062" s="24" t="str">
        <f aca="false" t="array" ref="K1062:K1062">IF(A1062&lt;&gt;"",IF(COUNTIF(A$996:A1063,"&lt;&gt;")=0,COUNTA(B$996:B1062),IFERROR(MATCH(TRUE(),INDEX((A$996:A1063&lt;&gt;""),0),0),COUNTA(B$996:B1062))),"")</f>
        <v/>
      </c>
      <c r="L1062" s="27"/>
    </row>
    <row r="1063" customFormat="false" ht="13.8" hidden="false" customHeight="false" outlineLevel="0" collapsed="false">
      <c r="A1063" s="16"/>
      <c r="B1063" s="16"/>
      <c r="C1063" s="26"/>
      <c r="D1063" s="26"/>
      <c r="E1063" s="16"/>
      <c r="F1063" s="18"/>
      <c r="G1063" s="19" t="str">
        <f aca="true">IF(F1063="", "", DATEDIF(F1063, TODAY(), "Y"))</f>
        <v/>
      </c>
      <c r="H1063" s="18"/>
      <c r="I1063" s="18"/>
      <c r="J1063" s="24" t="str">
        <f aca="true">IF(ISBLANK(H1063), "", I1063-TODAY())</f>
        <v/>
      </c>
      <c r="K1063" s="24" t="str">
        <f aca="false" t="array" ref="K1063:K1063">IF(A1063&lt;&gt;"",IF(COUNTIF(A$996:A1064,"&lt;&gt;")=0,COUNTA(B$996:B1063),IFERROR(MATCH(TRUE(),INDEX((A$996:A1064&lt;&gt;""),0),0),COUNTA(B$996:B1063))),"")</f>
        <v/>
      </c>
      <c r="L1063" s="27"/>
    </row>
    <row r="1064" customFormat="false" ht="13.8" hidden="false" customHeight="false" outlineLevel="0" collapsed="false">
      <c r="A1064" s="16"/>
      <c r="B1064" s="16"/>
      <c r="C1064" s="26"/>
      <c r="D1064" s="26"/>
      <c r="E1064" s="16"/>
      <c r="F1064" s="18"/>
      <c r="G1064" s="19" t="str">
        <f aca="true">IF(F1064="", "", DATEDIF(F1064, TODAY(), "Y"))</f>
        <v/>
      </c>
      <c r="H1064" s="18"/>
      <c r="I1064" s="18"/>
      <c r="J1064" s="24" t="str">
        <f aca="true">IF(ISBLANK(H1064), "", I1064-TODAY())</f>
        <v/>
      </c>
      <c r="K1064" s="24" t="str">
        <f aca="false" t="array" ref="K1064:K1064">IF(A1064&lt;&gt;"",IF(COUNTIF(A$996:A1065,"&lt;&gt;")=0,COUNTA(B$996:B1064),IFERROR(MATCH(TRUE(),INDEX((A$996:A1065&lt;&gt;""),0),0),COUNTA(B$996:B1064))),"")</f>
        <v/>
      </c>
      <c r="L1064" s="27"/>
    </row>
    <row r="1065" customFormat="false" ht="13.8" hidden="false" customHeight="false" outlineLevel="0" collapsed="false">
      <c r="A1065" s="16"/>
      <c r="B1065" s="16"/>
      <c r="C1065" s="26"/>
      <c r="D1065" s="26"/>
      <c r="E1065" s="16"/>
      <c r="F1065" s="18"/>
      <c r="G1065" s="19" t="str">
        <f aca="true">IF(F1065="", "", DATEDIF(F1065, TODAY(), "Y"))</f>
        <v/>
      </c>
      <c r="H1065" s="18"/>
      <c r="I1065" s="18"/>
      <c r="J1065" s="24" t="str">
        <f aca="true">IF(ISBLANK(H1065), "", I1065-TODAY())</f>
        <v/>
      </c>
      <c r="K1065" s="24" t="str">
        <f aca="false" t="array" ref="K1065:K1065">IF(A1065&lt;&gt;"",IF(COUNTIF(A$996:A1066,"&lt;&gt;")=0,COUNTA(B$996:B1065),IFERROR(MATCH(TRUE(),INDEX((A$996:A1066&lt;&gt;""),0),0),COUNTA(B$996:B1065))),"")</f>
        <v/>
      </c>
      <c r="L1065" s="27"/>
    </row>
    <row r="1066" customFormat="false" ht="13.8" hidden="false" customHeight="false" outlineLevel="0" collapsed="false">
      <c r="A1066" s="16"/>
      <c r="B1066" s="16"/>
      <c r="C1066" s="26"/>
      <c r="D1066" s="26"/>
      <c r="E1066" s="16"/>
      <c r="F1066" s="18"/>
      <c r="G1066" s="19" t="str">
        <f aca="true">IF(F1066="", "", DATEDIF(F1066, TODAY(), "Y"))</f>
        <v/>
      </c>
      <c r="H1066" s="18"/>
      <c r="I1066" s="18"/>
      <c r="J1066" s="24" t="str">
        <f aca="true">IF(ISBLANK(H1066), "", I1066-TODAY())</f>
        <v/>
      </c>
      <c r="K1066" s="24" t="str">
        <f aca="false" t="array" ref="K1066:K1066">IF(A1066&lt;&gt;"",IF(COUNTIF(A$996:A1067,"&lt;&gt;")=0,COUNTA(B$996:B1066),IFERROR(MATCH(TRUE(),INDEX((A$996:A1067&lt;&gt;""),0),0),COUNTA(B$996:B1066))),"")</f>
        <v/>
      </c>
      <c r="L1066" s="27"/>
    </row>
    <row r="1067" customFormat="false" ht="13.8" hidden="false" customHeight="false" outlineLevel="0" collapsed="false">
      <c r="A1067" s="16"/>
      <c r="B1067" s="16"/>
      <c r="C1067" s="26"/>
      <c r="D1067" s="26"/>
      <c r="E1067" s="16"/>
      <c r="F1067" s="18"/>
      <c r="G1067" s="19" t="str">
        <f aca="true">IF(F1067="", "", DATEDIF(F1067, TODAY(), "Y"))</f>
        <v/>
      </c>
      <c r="H1067" s="18"/>
      <c r="I1067" s="18"/>
      <c r="J1067" s="24" t="str">
        <f aca="true">IF(ISBLANK(H1067), "", I1067-TODAY())</f>
        <v/>
      </c>
      <c r="K1067" s="24" t="str">
        <f aca="false" t="array" ref="K1067:K1067">IF(A1067&lt;&gt;"",IF(COUNTIF(A$996:A1068,"&lt;&gt;")=0,COUNTA(B$996:B1067),IFERROR(MATCH(TRUE(),INDEX((A$996:A1068&lt;&gt;""),0),0),COUNTA(B$996:B1067))),"")</f>
        <v/>
      </c>
      <c r="L1067" s="27"/>
    </row>
    <row r="1068" customFormat="false" ht="13.8" hidden="false" customHeight="false" outlineLevel="0" collapsed="false">
      <c r="A1068" s="16"/>
      <c r="B1068" s="16"/>
      <c r="C1068" s="26"/>
      <c r="D1068" s="26"/>
      <c r="E1068" s="16"/>
      <c r="F1068" s="18"/>
      <c r="G1068" s="19" t="str">
        <f aca="true">IF(F1068="", "", DATEDIF(F1068, TODAY(), "Y"))</f>
        <v/>
      </c>
      <c r="H1068" s="18"/>
      <c r="I1068" s="18"/>
      <c r="J1068" s="24" t="str">
        <f aca="true">IF(ISBLANK(H1068), "", I1068-TODAY())</f>
        <v/>
      </c>
      <c r="K1068" s="24" t="str">
        <f aca="false" t="array" ref="K1068:K1068">IF(A1068&lt;&gt;"",IF(COUNTIF(A$996:A1069,"&lt;&gt;")=0,COUNTA(B$996:B1068),IFERROR(MATCH(TRUE(),INDEX((A$996:A1069&lt;&gt;""),0),0),COUNTA(B$996:B1068))),"")</f>
        <v/>
      </c>
      <c r="L1068" s="27"/>
    </row>
    <row r="1069" customFormat="false" ht="13.8" hidden="false" customHeight="false" outlineLevel="0" collapsed="false">
      <c r="A1069" s="16"/>
      <c r="B1069" s="16"/>
      <c r="C1069" s="26"/>
      <c r="D1069" s="26"/>
      <c r="E1069" s="16"/>
      <c r="F1069" s="18"/>
      <c r="G1069" s="19" t="str">
        <f aca="true">IF(F1069="", "", DATEDIF(F1069, TODAY(), "Y"))</f>
        <v/>
      </c>
      <c r="H1069" s="18"/>
      <c r="I1069" s="18"/>
      <c r="J1069" s="24" t="str">
        <f aca="true">IF(ISBLANK(H1069), "", I1069-TODAY())</f>
        <v/>
      </c>
      <c r="K1069" s="24" t="str">
        <f aca="false" t="array" ref="K1069:K1069">IF(A1069&lt;&gt;"",IF(COUNTIF(A$996:A1070,"&lt;&gt;")=0,COUNTA(B$996:B1069),IFERROR(MATCH(TRUE(),INDEX((A$996:A1070&lt;&gt;""),0),0),COUNTA(B$996:B1069))),"")</f>
        <v/>
      </c>
      <c r="L1069" s="27"/>
    </row>
    <row r="1070" customFormat="false" ht="13.8" hidden="false" customHeight="false" outlineLevel="0" collapsed="false">
      <c r="A1070" s="16"/>
      <c r="B1070" s="16"/>
      <c r="C1070" s="26"/>
      <c r="D1070" s="26"/>
      <c r="E1070" s="16"/>
      <c r="F1070" s="18"/>
      <c r="G1070" s="19" t="str">
        <f aca="true">IF(F1070="", "", DATEDIF(F1070, TODAY(), "Y"))</f>
        <v/>
      </c>
      <c r="H1070" s="18"/>
      <c r="I1070" s="18"/>
      <c r="J1070" s="24" t="str">
        <f aca="true">IF(ISBLANK(H1070), "", I1070-TODAY())</f>
        <v/>
      </c>
      <c r="K1070" s="24" t="str">
        <f aca="false" t="array" ref="K1070:K1070">IF(A1070&lt;&gt;"",IF(COUNTIF(A$996:A1071,"&lt;&gt;")=0,COUNTA(B$996:B1070),IFERROR(MATCH(TRUE(),INDEX((A$996:A1071&lt;&gt;""),0),0),COUNTA(B$996:B1070))),"")</f>
        <v/>
      </c>
      <c r="L1070" s="27"/>
    </row>
    <row r="1071" customFormat="false" ht="13.8" hidden="false" customHeight="false" outlineLevel="0" collapsed="false">
      <c r="A1071" s="16"/>
      <c r="B1071" s="16"/>
      <c r="C1071" s="26"/>
      <c r="D1071" s="26"/>
      <c r="E1071" s="16"/>
      <c r="F1071" s="18"/>
      <c r="G1071" s="19" t="str">
        <f aca="true">IF(F1071="", "", DATEDIF(F1071, TODAY(), "Y"))</f>
        <v/>
      </c>
      <c r="H1071" s="18"/>
      <c r="I1071" s="18"/>
      <c r="J1071" s="24" t="str">
        <f aca="true">IF(ISBLANK(H1071), "", I1071-TODAY())</f>
        <v/>
      </c>
      <c r="K1071" s="24" t="str">
        <f aca="false" t="array" ref="K1071:K1071">IF(A1071&lt;&gt;"",IF(COUNTIF(A$996:A1072,"&lt;&gt;")=0,COUNTA(B$996:B1071),IFERROR(MATCH(TRUE(),INDEX((A$996:A1072&lt;&gt;""),0),0),COUNTA(B$996:B1071))),"")</f>
        <v/>
      </c>
      <c r="L1071" s="27"/>
    </row>
    <row r="1072" customFormat="false" ht="13.8" hidden="false" customHeight="false" outlineLevel="0" collapsed="false">
      <c r="A1072" s="16"/>
      <c r="B1072" s="16"/>
      <c r="C1072" s="26"/>
      <c r="D1072" s="26"/>
      <c r="E1072" s="16"/>
      <c r="F1072" s="18"/>
      <c r="G1072" s="19" t="str">
        <f aca="true">IF(F1072="", "", DATEDIF(F1072, TODAY(), "Y"))</f>
        <v/>
      </c>
      <c r="H1072" s="18"/>
      <c r="I1072" s="18"/>
      <c r="J1072" s="24" t="str">
        <f aca="true">IF(ISBLANK(H1072), "", I1072-TODAY())</f>
        <v/>
      </c>
      <c r="K1072" s="24" t="str">
        <f aca="false" t="array" ref="K1072:K1072">IF(A1072&lt;&gt;"",IF(COUNTIF(A$996:A1073,"&lt;&gt;")=0,COUNTA(B$996:B1072),IFERROR(MATCH(TRUE(),INDEX((A$996:A1073&lt;&gt;""),0),0),COUNTA(B$996:B1072))),"")</f>
        <v/>
      </c>
      <c r="L1072" s="27"/>
    </row>
    <row r="1073" customFormat="false" ht="13.8" hidden="false" customHeight="false" outlineLevel="0" collapsed="false">
      <c r="A1073" s="16"/>
      <c r="B1073" s="16"/>
      <c r="C1073" s="26"/>
      <c r="D1073" s="26"/>
      <c r="E1073" s="16"/>
      <c r="F1073" s="18"/>
      <c r="G1073" s="19" t="str">
        <f aca="true">IF(F1073="", "", DATEDIF(F1073, TODAY(), "Y"))</f>
        <v/>
      </c>
      <c r="H1073" s="18"/>
      <c r="I1073" s="18"/>
      <c r="J1073" s="24" t="str">
        <f aca="true">IF(ISBLANK(H1073), "", I1073-TODAY())</f>
        <v/>
      </c>
      <c r="K1073" s="24" t="str">
        <f aca="false" t="array" ref="K1073:K1073">IF(A1073&lt;&gt;"",IF(COUNTIF(A$996:A1074,"&lt;&gt;")=0,COUNTA(B$996:B1073),IFERROR(MATCH(TRUE(),INDEX((A$996:A1074&lt;&gt;""),0),0),COUNTA(B$996:B1073))),"")</f>
        <v/>
      </c>
      <c r="L1073" s="27"/>
    </row>
    <row r="1074" customFormat="false" ht="13.8" hidden="false" customHeight="false" outlineLevel="0" collapsed="false">
      <c r="A1074" s="16"/>
      <c r="B1074" s="16"/>
      <c r="C1074" s="26"/>
      <c r="D1074" s="26"/>
      <c r="E1074" s="16"/>
      <c r="F1074" s="18"/>
      <c r="G1074" s="19" t="str">
        <f aca="true">IF(F1074="", "", DATEDIF(F1074, TODAY(), "Y"))</f>
        <v/>
      </c>
      <c r="H1074" s="18"/>
      <c r="I1074" s="18"/>
      <c r="J1074" s="24" t="str">
        <f aca="true">IF(ISBLANK(H1074), "", I1074-TODAY())</f>
        <v/>
      </c>
      <c r="K1074" s="24" t="str">
        <f aca="false" t="array" ref="K1074:K1074">IF(A1074&lt;&gt;"",IF(COUNTIF(A$996:A1075,"&lt;&gt;")=0,COUNTA(B$996:B1074),IFERROR(MATCH(TRUE(),INDEX((A$996:A1075&lt;&gt;""),0),0),COUNTA(B$996:B1074))),"")</f>
        <v/>
      </c>
      <c r="L1074" s="27"/>
    </row>
    <row r="1075" customFormat="false" ht="13.8" hidden="false" customHeight="false" outlineLevel="0" collapsed="false">
      <c r="A1075" s="16"/>
      <c r="B1075" s="16"/>
      <c r="C1075" s="26"/>
      <c r="D1075" s="26"/>
      <c r="E1075" s="16"/>
      <c r="F1075" s="18"/>
      <c r="G1075" s="19" t="str">
        <f aca="true">IF(F1075="", "", DATEDIF(F1075, TODAY(), "Y"))</f>
        <v/>
      </c>
      <c r="H1075" s="18"/>
      <c r="I1075" s="18"/>
      <c r="J1075" s="24" t="str">
        <f aca="true">IF(ISBLANK(H1075), "", I1075-TODAY())</f>
        <v/>
      </c>
      <c r="K1075" s="24" t="str">
        <f aca="false" t="array" ref="K1075:K1075">IF(A1075&lt;&gt;"",IF(COUNTIF(A$996:A1076,"&lt;&gt;")=0,COUNTA(B$996:B1075),IFERROR(MATCH(TRUE(),INDEX((A$996:A1076&lt;&gt;""),0),0),COUNTA(B$996:B1075))),"")</f>
        <v/>
      </c>
      <c r="L1075" s="27"/>
    </row>
    <row r="1076" customFormat="false" ht="13.8" hidden="false" customHeight="false" outlineLevel="0" collapsed="false">
      <c r="A1076" s="16"/>
      <c r="B1076" s="16"/>
      <c r="C1076" s="26"/>
      <c r="D1076" s="26"/>
      <c r="E1076" s="16"/>
      <c r="F1076" s="18"/>
      <c r="G1076" s="19" t="str">
        <f aca="true">IF(F1076="", "", DATEDIF(F1076, TODAY(), "Y"))</f>
        <v/>
      </c>
      <c r="H1076" s="18"/>
      <c r="I1076" s="18"/>
      <c r="J1076" s="24" t="str">
        <f aca="true">IF(ISBLANK(H1076), "", I1076-TODAY())</f>
        <v/>
      </c>
      <c r="K1076" s="24" t="str">
        <f aca="false" t="array" ref="K1076:K1076">IF(A1076&lt;&gt;"",IF(COUNTIF(A$996:A1077,"&lt;&gt;")=0,COUNTA(B$996:B1076),IFERROR(MATCH(TRUE(),INDEX((A$996:A1077&lt;&gt;""),0),0),COUNTA(B$996:B1076))),"")</f>
        <v/>
      </c>
      <c r="L1076" s="27"/>
    </row>
    <row r="1077" customFormat="false" ht="13.8" hidden="false" customHeight="false" outlineLevel="0" collapsed="false">
      <c r="A1077" s="16"/>
      <c r="B1077" s="16"/>
      <c r="C1077" s="26"/>
      <c r="D1077" s="26"/>
      <c r="E1077" s="16"/>
      <c r="F1077" s="18"/>
      <c r="G1077" s="19" t="str">
        <f aca="true">IF(F1077="", "", DATEDIF(F1077, TODAY(), "Y"))</f>
        <v/>
      </c>
      <c r="H1077" s="18"/>
      <c r="I1077" s="18"/>
      <c r="J1077" s="24" t="str">
        <f aca="true">IF(ISBLANK(H1077), "", I1077-TODAY())</f>
        <v/>
      </c>
      <c r="K1077" s="24" t="str">
        <f aca="false" t="array" ref="K1077:K1077">IF(A1077&lt;&gt;"",IF(COUNTIF(A$996:A1078,"&lt;&gt;")=0,COUNTA(B$996:B1077),IFERROR(MATCH(TRUE(),INDEX((A$996:A1078&lt;&gt;""),0),0),COUNTA(B$996:B1077))),"")</f>
        <v/>
      </c>
      <c r="L1077" s="27"/>
    </row>
    <row r="1078" customFormat="false" ht="13.8" hidden="false" customHeight="false" outlineLevel="0" collapsed="false">
      <c r="A1078" s="16"/>
      <c r="B1078" s="16"/>
      <c r="C1078" s="26"/>
      <c r="D1078" s="26"/>
      <c r="E1078" s="16"/>
      <c r="F1078" s="18"/>
      <c r="G1078" s="19" t="str">
        <f aca="true">IF(F1078="", "", DATEDIF(F1078, TODAY(), "Y"))</f>
        <v/>
      </c>
      <c r="H1078" s="18"/>
      <c r="I1078" s="18"/>
      <c r="J1078" s="24" t="str">
        <f aca="true">IF(ISBLANK(H1078), "", I1078-TODAY())</f>
        <v/>
      </c>
      <c r="K1078" s="24" t="str">
        <f aca="false" t="array" ref="K1078:K1078">IF(A1078&lt;&gt;"",IF(COUNTIF(A$996:A1079,"&lt;&gt;")=0,COUNTA(B$996:B1078),IFERROR(MATCH(TRUE(),INDEX((A$996:A1079&lt;&gt;""),0),0),COUNTA(B$996:B1078))),"")</f>
        <v/>
      </c>
      <c r="L1078" s="27"/>
    </row>
    <row r="1079" customFormat="false" ht="13.8" hidden="false" customHeight="false" outlineLevel="0" collapsed="false">
      <c r="A1079" s="16"/>
      <c r="B1079" s="16"/>
      <c r="C1079" s="26"/>
      <c r="D1079" s="26"/>
      <c r="E1079" s="16"/>
      <c r="F1079" s="18"/>
      <c r="G1079" s="19" t="str">
        <f aca="true">IF(F1079="", "", DATEDIF(F1079, TODAY(), "Y"))</f>
        <v/>
      </c>
      <c r="H1079" s="18"/>
      <c r="I1079" s="18"/>
      <c r="J1079" s="24" t="str">
        <f aca="true">IF(ISBLANK(H1079), "", I1079-TODAY())</f>
        <v/>
      </c>
      <c r="K1079" s="24" t="str">
        <f aca="false" t="array" ref="K1079:K1079">IF(A1079&lt;&gt;"",IF(COUNTIF(A$996:A1080,"&lt;&gt;")=0,COUNTA(B$996:B1079),IFERROR(MATCH(TRUE(),INDEX((A$996:A1080&lt;&gt;""),0),0),COUNTA(B$996:B1079))),"")</f>
        <v/>
      </c>
      <c r="L1079" s="27"/>
    </row>
    <row r="1080" customFormat="false" ht="13.8" hidden="false" customHeight="false" outlineLevel="0" collapsed="false">
      <c r="A1080" s="16"/>
      <c r="B1080" s="16"/>
      <c r="C1080" s="26"/>
      <c r="D1080" s="26"/>
      <c r="E1080" s="16"/>
      <c r="F1080" s="18"/>
      <c r="G1080" s="19" t="str">
        <f aca="true">IF(F1080="", "", DATEDIF(F1080, TODAY(), "Y"))</f>
        <v/>
      </c>
      <c r="H1080" s="18"/>
      <c r="I1080" s="18"/>
      <c r="J1080" s="24" t="str">
        <f aca="true">IF(ISBLANK(H1080), "", I1080-TODAY())</f>
        <v/>
      </c>
      <c r="K1080" s="24" t="str">
        <f aca="false" t="array" ref="K1080:K1080">IF(A1080&lt;&gt;"",IF(COUNTIF(A$996:A1081,"&lt;&gt;")=0,COUNTA(B$996:B1080),IFERROR(MATCH(TRUE(),INDEX((A$996:A1081&lt;&gt;""),0),0),COUNTA(B$996:B1080))),"")</f>
        <v/>
      </c>
      <c r="L1080" s="27"/>
    </row>
    <row r="1081" customFormat="false" ht="13.8" hidden="false" customHeight="false" outlineLevel="0" collapsed="false">
      <c r="A1081" s="16"/>
      <c r="B1081" s="16"/>
      <c r="C1081" s="26"/>
      <c r="D1081" s="26"/>
      <c r="E1081" s="16"/>
      <c r="F1081" s="18"/>
      <c r="G1081" s="19" t="str">
        <f aca="true">IF(F1081="", "", DATEDIF(F1081, TODAY(), "Y"))</f>
        <v/>
      </c>
      <c r="H1081" s="18"/>
      <c r="I1081" s="18"/>
      <c r="J1081" s="24" t="str">
        <f aca="true">IF(ISBLANK(H1081), "", I1081-TODAY())</f>
        <v/>
      </c>
      <c r="K1081" s="24" t="str">
        <f aca="false" t="array" ref="K1081:K1081">IF(A1081&lt;&gt;"",IF(COUNTIF(A$996:A1082,"&lt;&gt;")=0,COUNTA(B$996:B1081),IFERROR(MATCH(TRUE(),INDEX((A$996:A1082&lt;&gt;""),0),0),COUNTA(B$996:B1081))),"")</f>
        <v/>
      </c>
      <c r="L1081" s="27"/>
    </row>
    <row r="1082" customFormat="false" ht="13.8" hidden="false" customHeight="false" outlineLevel="0" collapsed="false">
      <c r="A1082" s="16"/>
      <c r="B1082" s="16"/>
      <c r="C1082" s="26"/>
      <c r="D1082" s="26"/>
      <c r="E1082" s="16"/>
      <c r="F1082" s="18"/>
      <c r="G1082" s="19" t="str">
        <f aca="true">IF(F1082="", "", DATEDIF(F1082, TODAY(), "Y"))</f>
        <v/>
      </c>
      <c r="H1082" s="18"/>
      <c r="I1082" s="18"/>
      <c r="J1082" s="24" t="str">
        <f aca="true">IF(ISBLANK(H1082), "", I1082-TODAY())</f>
        <v/>
      </c>
      <c r="K1082" s="24" t="str">
        <f aca="false" t="array" ref="K1082:K1082">IF(A1082&lt;&gt;"",IF(COUNTIF(A$996:A1083,"&lt;&gt;")=0,COUNTA(B$996:B1082),IFERROR(MATCH(TRUE(),INDEX((A$996:A1083&lt;&gt;""),0),0),COUNTA(B$996:B1082))),"")</f>
        <v/>
      </c>
      <c r="L1082" s="27"/>
    </row>
    <row r="1083" customFormat="false" ht="13.8" hidden="false" customHeight="false" outlineLevel="0" collapsed="false">
      <c r="A1083" s="16"/>
      <c r="B1083" s="16"/>
      <c r="C1083" s="26"/>
      <c r="D1083" s="26"/>
      <c r="E1083" s="16"/>
      <c r="F1083" s="18"/>
      <c r="G1083" s="19" t="str">
        <f aca="true">IF(F1083="", "", DATEDIF(F1083, TODAY(), "Y"))</f>
        <v/>
      </c>
      <c r="H1083" s="18"/>
      <c r="I1083" s="18"/>
      <c r="J1083" s="24" t="str">
        <f aca="true">IF(ISBLANK(H1083), "", I1083-TODAY())</f>
        <v/>
      </c>
      <c r="K1083" s="24" t="str">
        <f aca="false" t="array" ref="K1083:K1083">IF(A1083&lt;&gt;"",IF(COUNTIF(A$996:A1084,"&lt;&gt;")=0,COUNTA(B$996:B1083),IFERROR(MATCH(TRUE(),INDEX((A$996:A1084&lt;&gt;""),0),0),COUNTA(B$996:B1083))),"")</f>
        <v/>
      </c>
      <c r="L1083" s="27"/>
    </row>
    <row r="1084" customFormat="false" ht="13.8" hidden="false" customHeight="false" outlineLevel="0" collapsed="false">
      <c r="A1084" s="16"/>
      <c r="B1084" s="16"/>
      <c r="C1084" s="26"/>
      <c r="D1084" s="26"/>
      <c r="E1084" s="16"/>
      <c r="F1084" s="18"/>
      <c r="G1084" s="19" t="str">
        <f aca="true">IF(F1084="", "", DATEDIF(F1084, TODAY(), "Y"))</f>
        <v/>
      </c>
      <c r="H1084" s="18"/>
      <c r="I1084" s="18"/>
      <c r="J1084" s="24" t="str">
        <f aca="true">IF(ISBLANK(H1084), "", I1084-TODAY())</f>
        <v/>
      </c>
      <c r="K1084" s="24" t="str">
        <f aca="false" t="array" ref="K1084:K1084">IF(A1084&lt;&gt;"",IF(COUNTIF(A$996:A1085,"&lt;&gt;")=0,COUNTA(B$996:B1084),IFERROR(MATCH(TRUE(),INDEX((A$996:A1085&lt;&gt;""),0),0),COUNTA(B$996:B1084))),"")</f>
        <v/>
      </c>
      <c r="L1084" s="27"/>
    </row>
    <row r="1085" customFormat="false" ht="13.8" hidden="false" customHeight="false" outlineLevel="0" collapsed="false">
      <c r="A1085" s="16"/>
      <c r="B1085" s="16"/>
      <c r="C1085" s="26"/>
      <c r="D1085" s="26"/>
      <c r="E1085" s="16"/>
      <c r="F1085" s="18"/>
      <c r="G1085" s="19" t="str">
        <f aca="true">IF(F1085="", "", DATEDIF(F1085, TODAY(), "Y"))</f>
        <v/>
      </c>
      <c r="H1085" s="18"/>
      <c r="I1085" s="18"/>
      <c r="J1085" s="24" t="str">
        <f aca="true">IF(ISBLANK(H1085), "", I1085-TODAY())</f>
        <v/>
      </c>
      <c r="K1085" s="24" t="str">
        <f aca="false" t="array" ref="K1085:K1085">IF(A1085&lt;&gt;"",IF(COUNTIF(A$996:A1086,"&lt;&gt;")=0,COUNTA(B$996:B1085),IFERROR(MATCH(TRUE(),INDEX((A$996:A1086&lt;&gt;""),0),0),COUNTA(B$996:B1085))),"")</f>
        <v/>
      </c>
      <c r="L1085" s="27"/>
    </row>
    <row r="1086" customFormat="false" ht="13.8" hidden="false" customHeight="false" outlineLevel="0" collapsed="false">
      <c r="A1086" s="16"/>
      <c r="B1086" s="16"/>
      <c r="C1086" s="26"/>
      <c r="D1086" s="26"/>
      <c r="E1086" s="16"/>
      <c r="F1086" s="18"/>
      <c r="G1086" s="19" t="str">
        <f aca="true">IF(F1086="", "", DATEDIF(F1086, TODAY(), "Y"))</f>
        <v/>
      </c>
      <c r="H1086" s="18"/>
      <c r="I1086" s="18"/>
      <c r="J1086" s="24" t="str">
        <f aca="true">IF(ISBLANK(H1086), "", I1086-TODAY())</f>
        <v/>
      </c>
      <c r="K1086" s="24" t="str">
        <f aca="false" t="array" ref="K1086:K1086">IF(A1086&lt;&gt;"",IF(COUNTIF(A$996:A1087,"&lt;&gt;")=0,COUNTA(B$996:B1086),IFERROR(MATCH(TRUE(),INDEX((A$996:A1087&lt;&gt;""),0),0),COUNTA(B$996:B1086))),"")</f>
        <v/>
      </c>
      <c r="L1086" s="27"/>
    </row>
    <row r="1087" customFormat="false" ht="13.8" hidden="false" customHeight="false" outlineLevel="0" collapsed="false">
      <c r="A1087" s="16"/>
      <c r="B1087" s="16"/>
      <c r="C1087" s="26"/>
      <c r="D1087" s="26"/>
      <c r="E1087" s="16"/>
      <c r="F1087" s="18"/>
      <c r="G1087" s="19" t="str">
        <f aca="true">IF(F1087="", "", DATEDIF(F1087, TODAY(), "Y"))</f>
        <v/>
      </c>
      <c r="H1087" s="18"/>
      <c r="I1087" s="18"/>
      <c r="J1087" s="24" t="str">
        <f aca="true">IF(ISBLANK(H1087), "", I1087-TODAY())</f>
        <v/>
      </c>
      <c r="K1087" s="24" t="str">
        <f aca="false" t="array" ref="K1087:K1087">IF(A1087&lt;&gt;"",IF(COUNTIF(A$996:A1088,"&lt;&gt;")=0,COUNTA(B$996:B1087),IFERROR(MATCH(TRUE(),INDEX((A$996:A1088&lt;&gt;""),0),0),COUNTA(B$996:B1087))),"")</f>
        <v/>
      </c>
      <c r="L1087" s="27"/>
    </row>
    <row r="1088" customFormat="false" ht="13.8" hidden="false" customHeight="false" outlineLevel="0" collapsed="false">
      <c r="A1088" s="16"/>
      <c r="B1088" s="16"/>
      <c r="C1088" s="26"/>
      <c r="D1088" s="26"/>
      <c r="E1088" s="16"/>
      <c r="F1088" s="18"/>
      <c r="G1088" s="19" t="str">
        <f aca="true">IF(F1088="", "", DATEDIF(F1088, TODAY(), "Y"))</f>
        <v/>
      </c>
      <c r="H1088" s="18"/>
      <c r="I1088" s="18"/>
      <c r="J1088" s="24" t="str">
        <f aca="true">IF(ISBLANK(H1088), "", I1088-TODAY())</f>
        <v/>
      </c>
      <c r="K1088" s="24" t="str">
        <f aca="false" t="array" ref="K1088:K1088">IF(A1088&lt;&gt;"",IF(COUNTIF(A$996:A1089,"&lt;&gt;")=0,COUNTA(B$996:B1088),IFERROR(MATCH(TRUE(),INDEX((A$996:A1089&lt;&gt;""),0),0),COUNTA(B$996:B1088))),"")</f>
        <v/>
      </c>
      <c r="L1088" s="27"/>
    </row>
    <row r="1089" customFormat="false" ht="13.8" hidden="false" customHeight="false" outlineLevel="0" collapsed="false">
      <c r="A1089" s="16"/>
      <c r="B1089" s="16"/>
      <c r="C1089" s="26"/>
      <c r="D1089" s="26"/>
      <c r="E1089" s="16"/>
      <c r="F1089" s="18"/>
      <c r="G1089" s="19" t="str">
        <f aca="true">IF(F1089="", "", DATEDIF(F1089, TODAY(), "Y"))</f>
        <v/>
      </c>
      <c r="H1089" s="18"/>
      <c r="I1089" s="18"/>
      <c r="J1089" s="24" t="str">
        <f aca="true">IF(ISBLANK(H1089), "", I1089-TODAY())</f>
        <v/>
      </c>
      <c r="K1089" s="24" t="str">
        <f aca="false" t="array" ref="K1089:K1089">IF(A1089&lt;&gt;"",IF(COUNTIF(A$996:A1090,"&lt;&gt;")=0,COUNTA(B$996:B1089),IFERROR(MATCH(TRUE(),INDEX((A$996:A1090&lt;&gt;""),0),0),COUNTA(B$996:B1089))),"")</f>
        <v/>
      </c>
      <c r="L1089" s="27"/>
    </row>
    <row r="1090" customFormat="false" ht="13.8" hidden="false" customHeight="false" outlineLevel="0" collapsed="false">
      <c r="A1090" s="16"/>
      <c r="B1090" s="16"/>
      <c r="C1090" s="26"/>
      <c r="D1090" s="26"/>
      <c r="E1090" s="16"/>
      <c r="F1090" s="18"/>
      <c r="G1090" s="19" t="str">
        <f aca="true">IF(F1090="", "", DATEDIF(F1090, TODAY(), "Y"))</f>
        <v/>
      </c>
      <c r="H1090" s="18"/>
      <c r="I1090" s="18"/>
      <c r="J1090" s="24" t="str">
        <f aca="true">IF(ISBLANK(H1090), "", I1090-TODAY())</f>
        <v/>
      </c>
      <c r="K1090" s="24" t="str">
        <f aca="false" t="array" ref="K1090:K1090">IF(A1090&lt;&gt;"",IF(COUNTIF(A$996:A1091,"&lt;&gt;")=0,COUNTA(B$996:B1090),IFERROR(MATCH(TRUE(),INDEX((A$996:A1091&lt;&gt;""),0),0),COUNTA(B$996:B1090))),"")</f>
        <v/>
      </c>
      <c r="L1090" s="27"/>
    </row>
    <row r="1091" customFormat="false" ht="13.8" hidden="false" customHeight="false" outlineLevel="0" collapsed="false">
      <c r="A1091" s="16"/>
      <c r="B1091" s="16"/>
      <c r="C1091" s="26"/>
      <c r="D1091" s="26"/>
      <c r="E1091" s="16"/>
      <c r="F1091" s="18"/>
      <c r="G1091" s="19" t="str">
        <f aca="true">IF(F1091="", "", DATEDIF(F1091, TODAY(), "Y"))</f>
        <v/>
      </c>
      <c r="H1091" s="18"/>
      <c r="I1091" s="18"/>
      <c r="J1091" s="24" t="str">
        <f aca="true">IF(ISBLANK(H1091), "", I1091-TODAY())</f>
        <v/>
      </c>
      <c r="K1091" s="24" t="str">
        <f aca="false" t="array" ref="K1091:K1091">IF(A1091&lt;&gt;"",IF(COUNTIF(A$996:A1092,"&lt;&gt;")=0,COUNTA(B$996:B1091),IFERROR(MATCH(TRUE(),INDEX((A$996:A1092&lt;&gt;""),0),0),COUNTA(B$996:B1091))),"")</f>
        <v/>
      </c>
      <c r="L1091" s="27"/>
    </row>
    <row r="1092" customFormat="false" ht="13.8" hidden="false" customHeight="false" outlineLevel="0" collapsed="false">
      <c r="A1092" s="16"/>
      <c r="B1092" s="16"/>
      <c r="C1092" s="26"/>
      <c r="D1092" s="26"/>
      <c r="E1092" s="16"/>
      <c r="F1092" s="18"/>
      <c r="G1092" s="19" t="str">
        <f aca="true">IF(F1092="", "", DATEDIF(F1092, TODAY(), "Y"))</f>
        <v/>
      </c>
      <c r="H1092" s="18"/>
      <c r="I1092" s="18"/>
      <c r="J1092" s="24" t="str">
        <f aca="true">IF(ISBLANK(H1092), "", I1092-TODAY())</f>
        <v/>
      </c>
      <c r="K1092" s="24" t="str">
        <f aca="false" t="array" ref="K1092:K1092">IF(A1092&lt;&gt;"",IF(COUNTIF(A$996:A1093,"&lt;&gt;")=0,COUNTA(B$996:B1092),IFERROR(MATCH(TRUE(),INDEX((A$996:A1093&lt;&gt;""),0),0),COUNTA(B$996:B1092))),"")</f>
        <v/>
      </c>
      <c r="L1092" s="27"/>
    </row>
    <row r="1093" customFormat="false" ht="13.8" hidden="false" customHeight="false" outlineLevel="0" collapsed="false">
      <c r="A1093" s="16"/>
      <c r="B1093" s="16"/>
      <c r="C1093" s="26"/>
      <c r="D1093" s="26"/>
      <c r="E1093" s="16"/>
      <c r="F1093" s="18"/>
      <c r="G1093" s="19" t="str">
        <f aca="true">IF(F1093="", "", DATEDIF(F1093, TODAY(), "Y"))</f>
        <v/>
      </c>
      <c r="H1093" s="18"/>
      <c r="I1093" s="18"/>
      <c r="J1093" s="24" t="str">
        <f aca="true">IF(ISBLANK(H1093), "", I1093-TODAY())</f>
        <v/>
      </c>
      <c r="K1093" s="24" t="str">
        <f aca="false" t="array" ref="K1093:K1093">IF(A1093&lt;&gt;"",IF(COUNTIF(A$996:A1094,"&lt;&gt;")=0,COUNTA(B$996:B1093),IFERROR(MATCH(TRUE(),INDEX((A$996:A1094&lt;&gt;""),0),0),COUNTA(B$996:B1093))),"")</f>
        <v/>
      </c>
      <c r="L1093" s="27"/>
    </row>
    <row r="1094" customFormat="false" ht="13.8" hidden="false" customHeight="false" outlineLevel="0" collapsed="false">
      <c r="A1094" s="16"/>
      <c r="B1094" s="16"/>
      <c r="C1094" s="26"/>
      <c r="D1094" s="26"/>
      <c r="E1094" s="16"/>
      <c r="F1094" s="18"/>
      <c r="G1094" s="19" t="str">
        <f aca="true">IF(F1094="", "", DATEDIF(F1094, TODAY(), "Y"))</f>
        <v/>
      </c>
      <c r="H1094" s="18"/>
      <c r="I1094" s="18"/>
      <c r="J1094" s="24" t="str">
        <f aca="true">IF(ISBLANK(H1094), "", I1094-TODAY())</f>
        <v/>
      </c>
      <c r="K1094" s="24" t="str">
        <f aca="false" t="array" ref="K1094:K1094">IF(A1094&lt;&gt;"",IF(COUNTIF(A$996:A1095,"&lt;&gt;")=0,COUNTA(B$996:B1094),IFERROR(MATCH(TRUE(),INDEX((A$996:A1095&lt;&gt;""),0),0),COUNTA(B$996:B1094))),"")</f>
        <v/>
      </c>
      <c r="L1094" s="27"/>
    </row>
    <row r="1095" customFormat="false" ht="13.8" hidden="false" customHeight="false" outlineLevel="0" collapsed="false">
      <c r="A1095" s="16"/>
      <c r="B1095" s="16"/>
      <c r="C1095" s="26"/>
      <c r="D1095" s="26"/>
      <c r="E1095" s="16"/>
      <c r="F1095" s="18"/>
      <c r="G1095" s="19" t="str">
        <f aca="true">IF(F1095="", "", DATEDIF(F1095, TODAY(), "Y"))</f>
        <v/>
      </c>
      <c r="H1095" s="18"/>
      <c r="I1095" s="18"/>
      <c r="J1095" s="24" t="str">
        <f aca="true">IF(ISBLANK(H1095), "", I1095-TODAY())</f>
        <v/>
      </c>
      <c r="K1095" s="24" t="str">
        <f aca="false" t="array" ref="K1095:K1095">IF(A1095&lt;&gt;"",IF(COUNTIF(A$996:A1096,"&lt;&gt;")=0,COUNTA(B$996:B1095),IFERROR(MATCH(TRUE(),INDEX((A$996:A1096&lt;&gt;""),0),0),COUNTA(B$996:B1095))),"")</f>
        <v/>
      </c>
      <c r="L1095" s="27"/>
    </row>
    <row r="1096" customFormat="false" ht="13.8" hidden="false" customHeight="false" outlineLevel="0" collapsed="false">
      <c r="A1096" s="16"/>
      <c r="B1096" s="16"/>
      <c r="C1096" s="26"/>
      <c r="D1096" s="26"/>
      <c r="E1096" s="16"/>
      <c r="F1096" s="18"/>
      <c r="G1096" s="19" t="str">
        <f aca="true">IF(F1096="", "", DATEDIF(F1096, TODAY(), "Y"))</f>
        <v/>
      </c>
      <c r="H1096" s="18"/>
      <c r="I1096" s="18"/>
      <c r="J1096" s="24" t="str">
        <f aca="true">IF(ISBLANK(H1096), "", I1096-TODAY())</f>
        <v/>
      </c>
      <c r="K1096" s="24" t="str">
        <f aca="false" t="array" ref="K1096:K1096">IF(A1096&lt;&gt;"",IF(COUNTIF(A$996:A1097,"&lt;&gt;")=0,COUNTA(B$996:B1096),IFERROR(MATCH(TRUE(),INDEX((A$996:A1097&lt;&gt;""),0),0),COUNTA(B$996:B1096))),"")</f>
        <v/>
      </c>
      <c r="L1096" s="27"/>
    </row>
    <row r="1097" customFormat="false" ht="13.8" hidden="false" customHeight="false" outlineLevel="0" collapsed="false">
      <c r="A1097" s="16"/>
      <c r="B1097" s="16"/>
      <c r="C1097" s="26"/>
      <c r="D1097" s="26"/>
      <c r="E1097" s="16"/>
      <c r="F1097" s="18"/>
      <c r="G1097" s="19" t="str">
        <f aca="true">IF(F1097="", "", DATEDIF(F1097, TODAY(), "Y"))</f>
        <v/>
      </c>
      <c r="H1097" s="18"/>
      <c r="I1097" s="18"/>
      <c r="J1097" s="24" t="str">
        <f aca="true">IF(ISBLANK(H1097), "", I1097-TODAY())</f>
        <v/>
      </c>
      <c r="K1097" s="24" t="str">
        <f aca="false" t="array" ref="K1097:K1097">IF(A1097&lt;&gt;"",IF(COUNTIF(A$996:A1098,"&lt;&gt;")=0,COUNTA(B$996:B1097),IFERROR(MATCH(TRUE(),INDEX((A$996:A1098&lt;&gt;""),0),0),COUNTA(B$996:B1097))),"")</f>
        <v/>
      </c>
      <c r="L1097" s="27"/>
    </row>
    <row r="1098" customFormat="false" ht="13.8" hidden="false" customHeight="false" outlineLevel="0" collapsed="false">
      <c r="A1098" s="16"/>
      <c r="B1098" s="16"/>
      <c r="C1098" s="26"/>
      <c r="D1098" s="26"/>
      <c r="E1098" s="16"/>
      <c r="F1098" s="18"/>
      <c r="G1098" s="19" t="str">
        <f aca="true">IF(F1098="", "", DATEDIF(F1098, TODAY(), "Y"))</f>
        <v/>
      </c>
      <c r="H1098" s="18"/>
      <c r="I1098" s="18"/>
      <c r="J1098" s="24" t="str">
        <f aca="true">IF(ISBLANK(H1098), "", I1098-TODAY())</f>
        <v/>
      </c>
      <c r="K1098" s="24" t="str">
        <f aca="false" t="array" ref="K1098:K1098">IF(A1098&lt;&gt;"",IF(COUNTIF(A$996:A1099,"&lt;&gt;")=0,COUNTA(B$996:B1098),IFERROR(MATCH(TRUE(),INDEX((A$996:A1099&lt;&gt;""),0),0),COUNTA(B$996:B1098))),"")</f>
        <v/>
      </c>
      <c r="L1098" s="27"/>
    </row>
    <row r="1099" customFormat="false" ht="13.8" hidden="false" customHeight="false" outlineLevel="0" collapsed="false">
      <c r="A1099" s="16"/>
      <c r="B1099" s="16"/>
      <c r="C1099" s="26"/>
      <c r="D1099" s="26"/>
      <c r="E1099" s="16"/>
      <c r="F1099" s="18"/>
      <c r="G1099" s="19" t="str">
        <f aca="true">IF(F1099="", "", DATEDIF(F1099, TODAY(), "Y"))</f>
        <v/>
      </c>
      <c r="H1099" s="18"/>
      <c r="I1099" s="18"/>
      <c r="J1099" s="24" t="str">
        <f aca="true">IF(ISBLANK(H1099), "", I1099-TODAY())</f>
        <v/>
      </c>
      <c r="K1099" s="24" t="str">
        <f aca="false" t="array" ref="K1099:K1099">IF(A1099&lt;&gt;"",IF(COUNTIF(A$996:A1100,"&lt;&gt;")=0,COUNTA(B$996:B1099),IFERROR(MATCH(TRUE(),INDEX((A$996:A1100&lt;&gt;""),0),0),COUNTA(B$996:B1099))),"")</f>
        <v/>
      </c>
      <c r="L1099" s="27"/>
    </row>
    <row r="1100" customFormat="false" ht="13.8" hidden="false" customHeight="false" outlineLevel="0" collapsed="false">
      <c r="A1100" s="16"/>
      <c r="B1100" s="16"/>
      <c r="C1100" s="26"/>
      <c r="D1100" s="26"/>
      <c r="E1100" s="16"/>
      <c r="F1100" s="18"/>
      <c r="G1100" s="19" t="str">
        <f aca="true">IF(F1100="", "", DATEDIF(F1100, TODAY(), "Y"))</f>
        <v/>
      </c>
      <c r="H1100" s="18"/>
      <c r="I1100" s="18"/>
      <c r="J1100" s="24" t="str">
        <f aca="true">IF(ISBLANK(H1100), "", I1100-TODAY())</f>
        <v/>
      </c>
      <c r="K1100" s="24" t="str">
        <f aca="false" t="array" ref="K1100:K1100">IF(A1100&lt;&gt;"",IF(COUNTIF(A$996:A1101,"&lt;&gt;")=0,COUNTA(B$996:B1100),IFERROR(MATCH(TRUE(),INDEX((A$996:A1101&lt;&gt;""),0),0),COUNTA(B$996:B1100))),"")</f>
        <v/>
      </c>
      <c r="L1100" s="27"/>
    </row>
    <row r="1101" customFormat="false" ht="13.8" hidden="false" customHeight="false" outlineLevel="0" collapsed="false">
      <c r="A1101" s="16"/>
      <c r="B1101" s="16"/>
      <c r="C1101" s="26"/>
      <c r="D1101" s="26"/>
      <c r="E1101" s="16"/>
      <c r="F1101" s="18"/>
      <c r="G1101" s="19" t="str">
        <f aca="true">IF(F1101="", "", DATEDIF(F1101, TODAY(), "Y"))</f>
        <v/>
      </c>
      <c r="H1101" s="18"/>
      <c r="I1101" s="18"/>
      <c r="J1101" s="24" t="str">
        <f aca="true">IF(ISBLANK(H1101), "", I1101-TODAY())</f>
        <v/>
      </c>
      <c r="K1101" s="24" t="str">
        <f aca="false" t="array" ref="K1101:K1101">IF(A1101&lt;&gt;"",IF(COUNTIF(A$996:A1102,"&lt;&gt;")=0,COUNTA(B$996:B1101),IFERROR(MATCH(TRUE(),INDEX((A$996:A1102&lt;&gt;""),0),0),COUNTA(B$996:B1101))),"")</f>
        <v/>
      </c>
      <c r="L1101" s="27"/>
    </row>
    <row r="1102" customFormat="false" ht="13.8" hidden="false" customHeight="false" outlineLevel="0" collapsed="false">
      <c r="A1102" s="16"/>
      <c r="B1102" s="16"/>
      <c r="C1102" s="26"/>
      <c r="D1102" s="26"/>
      <c r="E1102" s="16"/>
      <c r="F1102" s="18"/>
      <c r="G1102" s="19" t="str">
        <f aca="true">IF(F1102="", "", DATEDIF(F1102, TODAY(), "Y"))</f>
        <v/>
      </c>
      <c r="H1102" s="18"/>
      <c r="I1102" s="18"/>
      <c r="J1102" s="24" t="str">
        <f aca="true">IF(ISBLANK(H1102), "", I1102-TODAY())</f>
        <v/>
      </c>
      <c r="K1102" s="24" t="str">
        <f aca="false" t="array" ref="K1102:K1102">IF(A1102&lt;&gt;"",IF(COUNTIF(A$996:A1103,"&lt;&gt;")=0,COUNTA(B$996:B1102),IFERROR(MATCH(TRUE(),INDEX((A$996:A1103&lt;&gt;""),0),0),COUNTA(B$996:B1102))),"")</f>
        <v/>
      </c>
      <c r="L1102" s="27"/>
    </row>
    <row r="1103" customFormat="false" ht="13.8" hidden="false" customHeight="false" outlineLevel="0" collapsed="false">
      <c r="A1103" s="16"/>
      <c r="B1103" s="16"/>
      <c r="C1103" s="26"/>
      <c r="D1103" s="26"/>
      <c r="E1103" s="16"/>
      <c r="F1103" s="18"/>
      <c r="G1103" s="19" t="str">
        <f aca="true">IF(F1103="", "", DATEDIF(F1103, TODAY(), "Y"))</f>
        <v/>
      </c>
      <c r="H1103" s="18"/>
      <c r="I1103" s="18"/>
      <c r="J1103" s="24" t="str">
        <f aca="true">IF(ISBLANK(H1103), "", I1103-TODAY())</f>
        <v/>
      </c>
      <c r="K1103" s="24" t="str">
        <f aca="false" t="array" ref="K1103:K1103">IF(A1103&lt;&gt;"",IF(COUNTIF(A$996:A1104,"&lt;&gt;")=0,COUNTA(B$996:B1103),IFERROR(MATCH(TRUE(),INDEX((A$996:A1104&lt;&gt;""),0),0),COUNTA(B$996:B1103))),"")</f>
        <v/>
      </c>
      <c r="L1103" s="27"/>
    </row>
    <row r="1104" customFormat="false" ht="13.8" hidden="false" customHeight="false" outlineLevel="0" collapsed="false">
      <c r="A1104" s="16"/>
      <c r="B1104" s="16"/>
      <c r="C1104" s="26"/>
      <c r="D1104" s="26"/>
      <c r="E1104" s="16"/>
      <c r="F1104" s="18"/>
      <c r="G1104" s="19" t="str">
        <f aca="true">IF(F1104="", "", DATEDIF(F1104, TODAY(), "Y"))</f>
        <v/>
      </c>
      <c r="H1104" s="18"/>
      <c r="I1104" s="18"/>
      <c r="J1104" s="24" t="str">
        <f aca="true">IF(ISBLANK(H1104), "", I1104-TODAY())</f>
        <v/>
      </c>
      <c r="K1104" s="24" t="str">
        <f aca="false" t="array" ref="K1104:K1104">IF(A1104&lt;&gt;"",IF(COUNTIF(A$996:A1105,"&lt;&gt;")=0,COUNTA(B$996:B1104),IFERROR(MATCH(TRUE(),INDEX((A$996:A1105&lt;&gt;""),0),0),COUNTA(B$996:B1104))),"")</f>
        <v/>
      </c>
      <c r="L1104" s="27"/>
    </row>
    <row r="1105" customFormat="false" ht="13.8" hidden="false" customHeight="false" outlineLevel="0" collapsed="false">
      <c r="A1105" s="16"/>
      <c r="B1105" s="16"/>
      <c r="C1105" s="26"/>
      <c r="D1105" s="26"/>
      <c r="E1105" s="16"/>
      <c r="F1105" s="18"/>
      <c r="G1105" s="19" t="str">
        <f aca="true">IF(F1105="", "", DATEDIF(F1105, TODAY(), "Y"))</f>
        <v/>
      </c>
      <c r="H1105" s="18"/>
      <c r="I1105" s="18"/>
      <c r="J1105" s="24" t="str">
        <f aca="true">IF(ISBLANK(H1105), "", I1105-TODAY())</f>
        <v/>
      </c>
      <c r="K1105" s="24" t="str">
        <f aca="false" t="array" ref="K1105:K1105">IF(A1105&lt;&gt;"",IF(COUNTIF(A$996:A1106,"&lt;&gt;")=0,COUNTA(B$996:B1105),IFERROR(MATCH(TRUE(),INDEX((A$996:A1106&lt;&gt;""),0),0),COUNTA(B$996:B1105))),"")</f>
        <v/>
      </c>
      <c r="L1105" s="27"/>
    </row>
    <row r="1106" customFormat="false" ht="13.8" hidden="false" customHeight="false" outlineLevel="0" collapsed="false">
      <c r="A1106" s="16"/>
      <c r="B1106" s="16"/>
      <c r="C1106" s="26"/>
      <c r="D1106" s="26"/>
      <c r="E1106" s="16"/>
      <c r="F1106" s="18"/>
      <c r="G1106" s="19" t="str">
        <f aca="true">IF(F1106="", "", DATEDIF(F1106, TODAY(), "Y"))</f>
        <v/>
      </c>
      <c r="H1106" s="18"/>
      <c r="I1106" s="18"/>
      <c r="J1106" s="24" t="str">
        <f aca="true">IF(ISBLANK(H1106), "", I1106-TODAY())</f>
        <v/>
      </c>
      <c r="K1106" s="24" t="str">
        <f aca="false" t="array" ref="K1106:K1106">IF(A1106&lt;&gt;"",IF(COUNTIF(A$996:A1107,"&lt;&gt;")=0,COUNTA(B$996:B1106),IFERROR(MATCH(TRUE(),INDEX((A$996:A1107&lt;&gt;""),0),0),COUNTA(B$996:B1106))),"")</f>
        <v/>
      </c>
      <c r="L1106" s="27"/>
    </row>
    <row r="1107" customFormat="false" ht="13.8" hidden="false" customHeight="false" outlineLevel="0" collapsed="false">
      <c r="A1107" s="16"/>
      <c r="B1107" s="16"/>
      <c r="C1107" s="26"/>
      <c r="D1107" s="26"/>
      <c r="E1107" s="16"/>
      <c r="F1107" s="18"/>
      <c r="G1107" s="19" t="str">
        <f aca="true">IF(F1107="", "", DATEDIF(F1107, TODAY(), "Y"))</f>
        <v/>
      </c>
      <c r="H1107" s="18"/>
      <c r="I1107" s="18"/>
      <c r="J1107" s="24" t="str">
        <f aca="true">IF(ISBLANK(H1107), "", I1107-TODAY())</f>
        <v/>
      </c>
      <c r="K1107" s="24" t="str">
        <f aca="false" t="array" ref="K1107:K1107">IF(A1107&lt;&gt;"",IF(COUNTIF(A$996:A1108,"&lt;&gt;")=0,COUNTA(B$996:B1107),IFERROR(MATCH(TRUE(),INDEX((A$996:A1108&lt;&gt;""),0),0),COUNTA(B$996:B1107))),"")</f>
        <v/>
      </c>
      <c r="L1107" s="27"/>
    </row>
    <row r="1108" customFormat="false" ht="13.8" hidden="false" customHeight="false" outlineLevel="0" collapsed="false">
      <c r="A1108" s="16"/>
      <c r="B1108" s="16"/>
      <c r="C1108" s="26"/>
      <c r="D1108" s="26"/>
      <c r="E1108" s="16"/>
      <c r="F1108" s="18"/>
      <c r="G1108" s="19" t="str">
        <f aca="true">IF(F1108="", "", DATEDIF(F1108, TODAY(), "Y"))</f>
        <v/>
      </c>
      <c r="H1108" s="18"/>
      <c r="I1108" s="18"/>
      <c r="J1108" s="24" t="str">
        <f aca="true">IF(ISBLANK(H1108), "", I1108-TODAY())</f>
        <v/>
      </c>
      <c r="K1108" s="24" t="str">
        <f aca="false" t="array" ref="K1108:K1108">IF(A1108&lt;&gt;"",IF(COUNTIF(A$996:A1109,"&lt;&gt;")=0,COUNTA(B$996:B1108),IFERROR(MATCH(TRUE(),INDEX((A$996:A1109&lt;&gt;""),0),0),COUNTA(B$996:B1108))),"")</f>
        <v/>
      </c>
      <c r="L1108" s="27"/>
    </row>
    <row r="1109" customFormat="false" ht="13.8" hidden="false" customHeight="false" outlineLevel="0" collapsed="false">
      <c r="A1109" s="16"/>
      <c r="B1109" s="16"/>
      <c r="C1109" s="26"/>
      <c r="D1109" s="26"/>
      <c r="E1109" s="16"/>
      <c r="F1109" s="18"/>
      <c r="G1109" s="19" t="str">
        <f aca="true">IF(F1109="", "", DATEDIF(F1109, TODAY(), "Y"))</f>
        <v/>
      </c>
      <c r="H1109" s="18"/>
      <c r="I1109" s="18"/>
      <c r="J1109" s="24" t="str">
        <f aca="true">IF(ISBLANK(H1109), "", I1109-TODAY())</f>
        <v/>
      </c>
      <c r="K1109" s="24" t="str">
        <f aca="false" t="array" ref="K1109:K1109">IF(A1109&lt;&gt;"",IF(COUNTIF(A$996:A1110,"&lt;&gt;")=0,COUNTA(B$996:B1109),IFERROR(MATCH(TRUE(),INDEX((A$996:A1110&lt;&gt;""),0),0),COUNTA(B$996:B1109))),"")</f>
        <v/>
      </c>
      <c r="L1109" s="27"/>
    </row>
    <row r="1110" customFormat="false" ht="13.8" hidden="false" customHeight="false" outlineLevel="0" collapsed="false">
      <c r="A1110" s="16"/>
      <c r="B1110" s="16"/>
      <c r="C1110" s="26"/>
      <c r="D1110" s="26"/>
      <c r="E1110" s="16"/>
      <c r="F1110" s="18"/>
      <c r="G1110" s="19" t="str">
        <f aca="true">IF(F1110="", "", DATEDIF(F1110, TODAY(), "Y"))</f>
        <v/>
      </c>
      <c r="H1110" s="18"/>
      <c r="I1110" s="18"/>
      <c r="J1110" s="24" t="str">
        <f aca="true">IF(ISBLANK(H1110), "", I1110-TODAY())</f>
        <v/>
      </c>
      <c r="K1110" s="24" t="str">
        <f aca="false" t="array" ref="K1110:K1110">IF(A1110&lt;&gt;"",IF(COUNTIF(A$996:A1111,"&lt;&gt;")=0,COUNTA(B$996:B1110),IFERROR(MATCH(TRUE(),INDEX((A$996:A1111&lt;&gt;""),0),0),COUNTA(B$996:B1110))),"")</f>
        <v/>
      </c>
      <c r="L1110" s="27"/>
    </row>
    <row r="1111" customFormat="false" ht="13.8" hidden="false" customHeight="false" outlineLevel="0" collapsed="false">
      <c r="A1111" s="16"/>
      <c r="B1111" s="16"/>
      <c r="C1111" s="26"/>
      <c r="D1111" s="26"/>
      <c r="E1111" s="16"/>
      <c r="F1111" s="18"/>
      <c r="G1111" s="19" t="str">
        <f aca="true">IF(F1111="", "", DATEDIF(F1111, TODAY(), "Y"))</f>
        <v/>
      </c>
      <c r="H1111" s="18"/>
      <c r="I1111" s="18"/>
      <c r="J1111" s="24" t="str">
        <f aca="true">IF(ISBLANK(H1111), "", I1111-TODAY())</f>
        <v/>
      </c>
      <c r="K1111" s="24" t="str">
        <f aca="false" t="array" ref="K1111:K1111">IF(A1111&lt;&gt;"",IF(COUNTIF(A$996:A1112,"&lt;&gt;")=0,COUNTA(B$996:B1111),IFERROR(MATCH(TRUE(),INDEX((A$996:A1112&lt;&gt;""),0),0),COUNTA(B$996:B1111))),"")</f>
        <v/>
      </c>
      <c r="L1111" s="27"/>
    </row>
    <row r="1112" customFormat="false" ht="13.8" hidden="false" customHeight="false" outlineLevel="0" collapsed="false">
      <c r="A1112" s="16"/>
      <c r="B1112" s="16"/>
      <c r="C1112" s="26"/>
      <c r="D1112" s="26"/>
      <c r="E1112" s="16"/>
      <c r="F1112" s="18"/>
      <c r="G1112" s="19" t="str">
        <f aca="true">IF(F1112="", "", DATEDIF(F1112, TODAY(), "Y"))</f>
        <v/>
      </c>
      <c r="H1112" s="18"/>
      <c r="I1112" s="18"/>
      <c r="J1112" s="24" t="str">
        <f aca="true">IF(ISBLANK(H1112), "", I1112-TODAY())</f>
        <v/>
      </c>
      <c r="K1112" s="24" t="str">
        <f aca="false" t="array" ref="K1112:K1112">IF(A1112&lt;&gt;"",IF(COUNTIF(A$996:A1113,"&lt;&gt;")=0,COUNTA(B$996:B1112),IFERROR(MATCH(TRUE(),INDEX((A$996:A1113&lt;&gt;""),0),0),COUNTA(B$996:B1112))),"")</f>
        <v/>
      </c>
      <c r="L1112" s="27"/>
    </row>
    <row r="1113" customFormat="false" ht="13.8" hidden="false" customHeight="false" outlineLevel="0" collapsed="false">
      <c r="A1113" s="16"/>
      <c r="B1113" s="16"/>
      <c r="C1113" s="26"/>
      <c r="D1113" s="26"/>
      <c r="E1113" s="16"/>
      <c r="F1113" s="18"/>
      <c r="G1113" s="19" t="str">
        <f aca="true">IF(F1113="", "", DATEDIF(F1113, TODAY(), "Y"))</f>
        <v/>
      </c>
      <c r="H1113" s="18"/>
      <c r="I1113" s="18"/>
      <c r="J1113" s="24" t="str">
        <f aca="true">IF(ISBLANK(H1113), "", I1113-TODAY())</f>
        <v/>
      </c>
      <c r="K1113" s="24" t="str">
        <f aca="false" t="array" ref="K1113:K1113">IF(A1113&lt;&gt;"",IF(COUNTIF(A$996:A1114,"&lt;&gt;")=0,COUNTA(B$996:B1113),IFERROR(MATCH(TRUE(),INDEX((A$996:A1114&lt;&gt;""),0),0),COUNTA(B$996:B1113))),"")</f>
        <v/>
      </c>
      <c r="L1113" s="27"/>
    </row>
    <row r="1114" customFormat="false" ht="13.8" hidden="false" customHeight="false" outlineLevel="0" collapsed="false">
      <c r="A1114" s="16"/>
      <c r="B1114" s="16"/>
      <c r="C1114" s="26"/>
      <c r="D1114" s="26"/>
      <c r="E1114" s="16"/>
      <c r="F1114" s="18"/>
      <c r="G1114" s="19" t="str">
        <f aca="true">IF(F1114="", "", DATEDIF(F1114, TODAY(), "Y"))</f>
        <v/>
      </c>
      <c r="H1114" s="18"/>
      <c r="I1114" s="18"/>
      <c r="J1114" s="24" t="str">
        <f aca="true">IF(ISBLANK(H1114), "", I1114-TODAY())</f>
        <v/>
      </c>
      <c r="K1114" s="24" t="str">
        <f aca="false" t="array" ref="K1114:K1114">IF(A1114&lt;&gt;"",IF(COUNTIF(A$996:A1115,"&lt;&gt;")=0,COUNTA(B$996:B1114),IFERROR(MATCH(TRUE(),INDEX((A$996:A1115&lt;&gt;""),0),0),COUNTA(B$996:B1114))),"")</f>
        <v/>
      </c>
      <c r="L1114" s="27"/>
    </row>
    <row r="1115" customFormat="false" ht="13.8" hidden="false" customHeight="false" outlineLevel="0" collapsed="false">
      <c r="A1115" s="16"/>
      <c r="B1115" s="16"/>
      <c r="C1115" s="26"/>
      <c r="D1115" s="26"/>
      <c r="E1115" s="16"/>
      <c r="F1115" s="18"/>
      <c r="G1115" s="19" t="str">
        <f aca="true">IF(F1115="", "", DATEDIF(F1115, TODAY(), "Y"))</f>
        <v/>
      </c>
      <c r="H1115" s="18"/>
      <c r="I1115" s="18"/>
      <c r="J1115" s="24" t="str">
        <f aca="true">IF(ISBLANK(H1115), "", I1115-TODAY())</f>
        <v/>
      </c>
      <c r="K1115" s="24" t="str">
        <f aca="false" t="array" ref="K1115:K1115">IF(A1115&lt;&gt;"",IF(COUNTIF(A$996:A1116,"&lt;&gt;")=0,COUNTA(B$996:B1115),IFERROR(MATCH(TRUE(),INDEX((A$996:A1116&lt;&gt;""),0),0),COUNTA(B$996:B1115))),"")</f>
        <v/>
      </c>
      <c r="L1115" s="27"/>
    </row>
    <row r="1116" customFormat="false" ht="13.8" hidden="false" customHeight="false" outlineLevel="0" collapsed="false">
      <c r="A1116" s="16"/>
      <c r="B1116" s="16"/>
      <c r="C1116" s="26"/>
      <c r="D1116" s="26"/>
      <c r="E1116" s="16"/>
      <c r="F1116" s="18"/>
      <c r="G1116" s="19" t="str">
        <f aca="true">IF(F1116="", "", DATEDIF(F1116, TODAY(), "Y"))</f>
        <v/>
      </c>
      <c r="H1116" s="18"/>
      <c r="I1116" s="18"/>
      <c r="J1116" s="24" t="str">
        <f aca="true">IF(ISBLANK(H1116), "", I1116-TODAY())</f>
        <v/>
      </c>
      <c r="K1116" s="24" t="str">
        <f aca="false" t="array" ref="K1116:K1116">IF(A1116&lt;&gt;"",IF(COUNTIF(A$996:A1117,"&lt;&gt;")=0,COUNTA(B$996:B1116),IFERROR(MATCH(TRUE(),INDEX((A$996:A1117&lt;&gt;""),0),0),COUNTA(B$996:B1116))),"")</f>
        <v/>
      </c>
      <c r="L1116" s="27"/>
    </row>
    <row r="1117" customFormat="false" ht="13.8" hidden="false" customHeight="false" outlineLevel="0" collapsed="false">
      <c r="A1117" s="16"/>
      <c r="B1117" s="16"/>
      <c r="C1117" s="26"/>
      <c r="D1117" s="26"/>
      <c r="E1117" s="16"/>
      <c r="F1117" s="18"/>
      <c r="G1117" s="19" t="str">
        <f aca="true">IF(F1117="", "", DATEDIF(F1117, TODAY(), "Y"))</f>
        <v/>
      </c>
      <c r="H1117" s="18"/>
      <c r="I1117" s="18"/>
      <c r="J1117" s="24" t="str">
        <f aca="true">IF(ISBLANK(H1117), "", I1117-TODAY())</f>
        <v/>
      </c>
      <c r="K1117" s="24" t="str">
        <f aca="false" t="array" ref="K1117:K1117">IF(A1117&lt;&gt;"",IF(COUNTIF(A$996:A1118,"&lt;&gt;")=0,COUNTA(B$996:B1117),IFERROR(MATCH(TRUE(),INDEX((A$996:A1118&lt;&gt;""),0),0),COUNTA(B$996:B1117))),"")</f>
        <v/>
      </c>
      <c r="L1117" s="27"/>
    </row>
    <row r="1118" customFormat="false" ht="13.8" hidden="false" customHeight="false" outlineLevel="0" collapsed="false">
      <c r="A1118" s="16"/>
      <c r="B1118" s="16"/>
      <c r="C1118" s="26"/>
      <c r="D1118" s="26"/>
      <c r="E1118" s="16"/>
      <c r="F1118" s="18"/>
      <c r="G1118" s="19" t="str">
        <f aca="true">IF(F1118="", "", DATEDIF(F1118, TODAY(), "Y"))</f>
        <v/>
      </c>
      <c r="H1118" s="18"/>
      <c r="I1118" s="18"/>
      <c r="J1118" s="24" t="str">
        <f aca="true">IF(ISBLANK(H1118), "", I1118-TODAY())</f>
        <v/>
      </c>
      <c r="K1118" s="24" t="str">
        <f aca="false" t="array" ref="K1118:K1118">IF(A1118&lt;&gt;"",IF(COUNTIF(A$996:A1119,"&lt;&gt;")=0,COUNTA(B$996:B1118),IFERROR(MATCH(TRUE(),INDEX((A$996:A1119&lt;&gt;""),0),0),COUNTA(B$996:B1118))),"")</f>
        <v/>
      </c>
      <c r="L1118" s="27"/>
    </row>
    <row r="1119" customFormat="false" ht="13.8" hidden="false" customHeight="false" outlineLevel="0" collapsed="false">
      <c r="A1119" s="16"/>
      <c r="B1119" s="16"/>
      <c r="C1119" s="26"/>
      <c r="D1119" s="26"/>
      <c r="E1119" s="16"/>
      <c r="F1119" s="18"/>
      <c r="G1119" s="19" t="str">
        <f aca="true">IF(F1119="", "", DATEDIF(F1119, TODAY(), "Y"))</f>
        <v/>
      </c>
      <c r="H1119" s="18"/>
      <c r="I1119" s="18"/>
      <c r="J1119" s="24" t="str">
        <f aca="true">IF(ISBLANK(H1119), "", I1119-TODAY())</f>
        <v/>
      </c>
      <c r="K1119" s="24" t="str">
        <f aca="false" t="array" ref="K1119:K1119">IF(A1119&lt;&gt;"",IF(COUNTIF(A$996:A1120,"&lt;&gt;")=0,COUNTA(B$996:B1119),IFERROR(MATCH(TRUE(),INDEX((A$996:A1120&lt;&gt;""),0),0),COUNTA(B$996:B1119))),"")</f>
        <v/>
      </c>
      <c r="L1119" s="27"/>
    </row>
    <row r="1120" customFormat="false" ht="13.8" hidden="false" customHeight="false" outlineLevel="0" collapsed="false">
      <c r="A1120" s="16"/>
      <c r="B1120" s="16"/>
      <c r="C1120" s="26"/>
      <c r="D1120" s="26"/>
      <c r="E1120" s="16"/>
      <c r="F1120" s="18"/>
      <c r="G1120" s="19" t="str">
        <f aca="true">IF(F1120="", "", DATEDIF(F1120, TODAY(), "Y"))</f>
        <v/>
      </c>
      <c r="H1120" s="18"/>
      <c r="I1120" s="18"/>
      <c r="J1120" s="24" t="str">
        <f aca="true">IF(ISBLANK(H1120), "", I1120-TODAY())</f>
        <v/>
      </c>
      <c r="K1120" s="24" t="str">
        <f aca="false" t="array" ref="K1120:K1120">IF(A1120&lt;&gt;"",IF(COUNTIF(A$996:A1121,"&lt;&gt;")=0,COUNTA(B$996:B1120),IFERROR(MATCH(TRUE(),INDEX((A$996:A1121&lt;&gt;""),0),0),COUNTA(B$996:B1120))),"")</f>
        <v/>
      </c>
      <c r="L1120" s="27"/>
    </row>
    <row r="1121" customFormat="false" ht="13.8" hidden="false" customHeight="false" outlineLevel="0" collapsed="false">
      <c r="A1121" s="16"/>
      <c r="B1121" s="16"/>
      <c r="C1121" s="26"/>
      <c r="D1121" s="26"/>
      <c r="E1121" s="16"/>
      <c r="F1121" s="18"/>
      <c r="G1121" s="19" t="str">
        <f aca="true">IF(F1121="", "", DATEDIF(F1121, TODAY(), "Y"))</f>
        <v/>
      </c>
      <c r="H1121" s="18"/>
      <c r="I1121" s="18"/>
      <c r="J1121" s="24" t="str">
        <f aca="true">IF(ISBLANK(H1121), "", I1121-TODAY())</f>
        <v/>
      </c>
      <c r="K1121" s="24" t="str">
        <f aca="false" t="array" ref="K1121:K1121">IF(A1121&lt;&gt;"",IF(COUNTIF(A$996:A1122,"&lt;&gt;")=0,COUNTA(B$996:B1121),IFERROR(MATCH(TRUE(),INDEX((A$996:A1122&lt;&gt;""),0),0),COUNTA(B$996:B1121))),"")</f>
        <v/>
      </c>
      <c r="L1121" s="27"/>
    </row>
    <row r="1122" customFormat="false" ht="13.8" hidden="false" customHeight="false" outlineLevel="0" collapsed="false">
      <c r="A1122" s="16"/>
      <c r="B1122" s="16"/>
      <c r="C1122" s="26"/>
      <c r="D1122" s="26"/>
      <c r="E1122" s="16"/>
      <c r="F1122" s="18"/>
      <c r="G1122" s="19" t="str">
        <f aca="true">IF(F1122="", "", DATEDIF(F1122, TODAY(), "Y"))</f>
        <v/>
      </c>
      <c r="H1122" s="18"/>
      <c r="I1122" s="18"/>
      <c r="J1122" s="24" t="str">
        <f aca="true">IF(ISBLANK(H1122), "", I1122-TODAY())</f>
        <v/>
      </c>
      <c r="K1122" s="24" t="str">
        <f aca="false" t="array" ref="K1122:K1122">IF(A1122&lt;&gt;"",IF(COUNTIF(A$996:A1123,"&lt;&gt;")=0,COUNTA(B$996:B1122),IFERROR(MATCH(TRUE(),INDEX((A$996:A1123&lt;&gt;""),0),0),COUNTA(B$996:B1122))),"")</f>
        <v/>
      </c>
      <c r="L1122" s="27"/>
    </row>
    <row r="1123" customFormat="false" ht="13.8" hidden="false" customHeight="false" outlineLevel="0" collapsed="false">
      <c r="A1123" s="16"/>
      <c r="B1123" s="16"/>
      <c r="C1123" s="26"/>
      <c r="D1123" s="26"/>
      <c r="E1123" s="16"/>
      <c r="F1123" s="18"/>
      <c r="G1123" s="19" t="str">
        <f aca="true">IF(F1123="", "", DATEDIF(F1123, TODAY(), "Y"))</f>
        <v/>
      </c>
      <c r="H1123" s="18"/>
      <c r="I1123" s="18"/>
      <c r="J1123" s="24" t="str">
        <f aca="true">IF(ISBLANK(H1123), "", I1123-TODAY())</f>
        <v/>
      </c>
      <c r="K1123" s="24" t="str">
        <f aca="false" t="array" ref="K1123:K1123">IF(A1123&lt;&gt;"",IF(COUNTIF(A$996:A1124,"&lt;&gt;")=0,COUNTA(B$996:B1123),IFERROR(MATCH(TRUE(),INDEX((A$996:A1124&lt;&gt;""),0),0),COUNTA(B$996:B1123))),"")</f>
        <v/>
      </c>
      <c r="L1123" s="27"/>
    </row>
    <row r="1124" customFormat="false" ht="13.8" hidden="false" customHeight="false" outlineLevel="0" collapsed="false">
      <c r="A1124" s="16"/>
      <c r="B1124" s="16"/>
      <c r="C1124" s="26"/>
      <c r="D1124" s="26"/>
      <c r="E1124" s="16"/>
      <c r="F1124" s="18"/>
      <c r="G1124" s="19" t="str">
        <f aca="true">IF(F1124="", "", DATEDIF(F1124, TODAY(), "Y"))</f>
        <v/>
      </c>
      <c r="H1124" s="18"/>
      <c r="I1124" s="18"/>
      <c r="J1124" s="24" t="str">
        <f aca="true">IF(ISBLANK(H1124), "", I1124-TODAY())</f>
        <v/>
      </c>
      <c r="K1124" s="24" t="str">
        <f aca="false" t="array" ref="K1124:K1124">IF(A1124&lt;&gt;"",IF(COUNTIF(A$996:A1125,"&lt;&gt;")=0,COUNTA(B$996:B1124),IFERROR(MATCH(TRUE(),INDEX((A$996:A1125&lt;&gt;""),0),0),COUNTA(B$996:B1124))),"")</f>
        <v/>
      </c>
      <c r="L1124" s="27"/>
    </row>
    <row r="1125" customFormat="false" ht="13.8" hidden="false" customHeight="false" outlineLevel="0" collapsed="false">
      <c r="A1125" s="16"/>
      <c r="B1125" s="16"/>
      <c r="C1125" s="26"/>
      <c r="D1125" s="26"/>
      <c r="E1125" s="16"/>
      <c r="F1125" s="18"/>
      <c r="G1125" s="19" t="str">
        <f aca="true">IF(F1125="", "", DATEDIF(F1125, TODAY(), "Y"))</f>
        <v/>
      </c>
      <c r="H1125" s="18"/>
      <c r="I1125" s="18"/>
      <c r="J1125" s="24" t="str">
        <f aca="true">IF(ISBLANK(H1125), "", I1125-TODAY())</f>
        <v/>
      </c>
      <c r="K1125" s="24" t="str">
        <f aca="false" t="array" ref="K1125:K1125">IF(A1125&lt;&gt;"",IF(COUNTIF(A$996:A1126,"&lt;&gt;")=0,COUNTA(B$996:B1125),IFERROR(MATCH(TRUE(),INDEX((A$996:A1126&lt;&gt;""),0),0),COUNTA(B$996:B1125))),"")</f>
        <v/>
      </c>
      <c r="L1125" s="27"/>
    </row>
    <row r="1126" customFormat="false" ht="13.8" hidden="false" customHeight="false" outlineLevel="0" collapsed="false">
      <c r="A1126" s="16"/>
      <c r="B1126" s="16"/>
      <c r="C1126" s="26"/>
      <c r="D1126" s="26"/>
      <c r="E1126" s="16"/>
      <c r="F1126" s="18"/>
      <c r="G1126" s="19" t="str">
        <f aca="true">IF(F1126="", "", DATEDIF(F1126, TODAY(), "Y"))</f>
        <v/>
      </c>
      <c r="H1126" s="18"/>
      <c r="I1126" s="18"/>
      <c r="J1126" s="24" t="str">
        <f aca="true">IF(ISBLANK(H1126), "", I1126-TODAY())</f>
        <v/>
      </c>
      <c r="K1126" s="24" t="str">
        <f aca="false" t="array" ref="K1126:K1126">IF(A1126&lt;&gt;"",IF(COUNTIF(A$996:A1127,"&lt;&gt;")=0,COUNTA(B$996:B1126),IFERROR(MATCH(TRUE(),INDEX((A$996:A1127&lt;&gt;""),0),0),COUNTA(B$996:B1126))),"")</f>
        <v/>
      </c>
      <c r="L1126" s="27"/>
    </row>
    <row r="1127" customFormat="false" ht="13.8" hidden="false" customHeight="false" outlineLevel="0" collapsed="false">
      <c r="A1127" s="16"/>
      <c r="B1127" s="16"/>
      <c r="C1127" s="26"/>
      <c r="D1127" s="26"/>
      <c r="E1127" s="16"/>
      <c r="F1127" s="18"/>
      <c r="G1127" s="19" t="str">
        <f aca="true">IF(F1127="", "", DATEDIF(F1127, TODAY(), "Y"))</f>
        <v/>
      </c>
      <c r="H1127" s="18"/>
      <c r="I1127" s="18"/>
      <c r="J1127" s="24" t="str">
        <f aca="true">IF(ISBLANK(H1127), "", I1127-TODAY())</f>
        <v/>
      </c>
      <c r="K1127" s="24" t="str">
        <f aca="false" t="array" ref="K1127:K1127">IF(A1127&lt;&gt;"",IF(COUNTIF(A$996:A1128,"&lt;&gt;")=0,COUNTA(B$996:B1127),IFERROR(MATCH(TRUE(),INDEX((A$996:A1128&lt;&gt;""),0),0),COUNTA(B$996:B1127))),"")</f>
        <v/>
      </c>
      <c r="L1127" s="27"/>
    </row>
    <row r="1128" customFormat="false" ht="13.8" hidden="false" customHeight="false" outlineLevel="0" collapsed="false">
      <c r="A1128" s="16"/>
      <c r="B1128" s="16"/>
      <c r="C1128" s="26"/>
      <c r="D1128" s="26"/>
      <c r="E1128" s="16"/>
      <c r="F1128" s="18"/>
      <c r="G1128" s="19" t="str">
        <f aca="true">IF(F1128="", "", DATEDIF(F1128, TODAY(), "Y"))</f>
        <v/>
      </c>
      <c r="H1128" s="18"/>
      <c r="I1128" s="18"/>
      <c r="J1128" s="24" t="str">
        <f aca="true">IF(ISBLANK(H1128), "", I1128-TODAY())</f>
        <v/>
      </c>
      <c r="K1128" s="24" t="str">
        <f aca="false" t="array" ref="K1128:K1128">IF(A1128&lt;&gt;"",IF(COUNTIF(A$996:A1129,"&lt;&gt;")=0,COUNTA(B$996:B1128),IFERROR(MATCH(TRUE(),INDEX((A$996:A1129&lt;&gt;""),0),0),COUNTA(B$996:B1128))),"")</f>
        <v/>
      </c>
      <c r="L1128" s="27"/>
    </row>
    <row r="1129" customFormat="false" ht="13.8" hidden="false" customHeight="false" outlineLevel="0" collapsed="false">
      <c r="A1129" s="16"/>
      <c r="B1129" s="16"/>
      <c r="C1129" s="26"/>
      <c r="D1129" s="26"/>
      <c r="E1129" s="16"/>
      <c r="F1129" s="18"/>
      <c r="G1129" s="19" t="str">
        <f aca="true">IF(F1129="", "", DATEDIF(F1129, TODAY(), "Y"))</f>
        <v/>
      </c>
      <c r="H1129" s="18"/>
      <c r="I1129" s="18"/>
      <c r="J1129" s="24" t="str">
        <f aca="true">IF(ISBLANK(H1129), "", I1129-TODAY())</f>
        <v/>
      </c>
      <c r="K1129" s="24" t="str">
        <f aca="false" t="array" ref="K1129:K1129">IF(A1129&lt;&gt;"",IF(COUNTIF(A$996:A1130,"&lt;&gt;")=0,COUNTA(B$996:B1129),IFERROR(MATCH(TRUE(),INDEX((A$996:A1130&lt;&gt;""),0),0),COUNTA(B$996:B1129))),"")</f>
        <v/>
      </c>
      <c r="L1129" s="27"/>
    </row>
    <row r="1130" customFormat="false" ht="13.8" hidden="false" customHeight="false" outlineLevel="0" collapsed="false">
      <c r="A1130" s="16"/>
      <c r="B1130" s="16"/>
      <c r="C1130" s="26"/>
      <c r="D1130" s="26"/>
      <c r="E1130" s="16"/>
      <c r="F1130" s="18"/>
      <c r="G1130" s="19" t="str">
        <f aca="true">IF(F1130="", "", DATEDIF(F1130, TODAY(), "Y"))</f>
        <v/>
      </c>
      <c r="H1130" s="18"/>
      <c r="I1130" s="18"/>
      <c r="J1130" s="24" t="str">
        <f aca="true">IF(ISBLANK(H1130), "", I1130-TODAY())</f>
        <v/>
      </c>
      <c r="K1130" s="24" t="str">
        <f aca="false" t="array" ref="K1130:K1130">IF(A1130&lt;&gt;"",IF(COUNTIF(A$996:A1131,"&lt;&gt;")=0,COUNTA(B$996:B1130),IFERROR(MATCH(TRUE(),INDEX((A$996:A1131&lt;&gt;""),0),0),COUNTA(B$996:B1130))),"")</f>
        <v/>
      </c>
      <c r="L1130" s="27"/>
    </row>
    <row r="1131" customFormat="false" ht="13.8" hidden="false" customHeight="false" outlineLevel="0" collapsed="false">
      <c r="A1131" s="16"/>
      <c r="B1131" s="16"/>
      <c r="C1131" s="26"/>
      <c r="D1131" s="26"/>
      <c r="E1131" s="16"/>
      <c r="F1131" s="18"/>
      <c r="G1131" s="19" t="str">
        <f aca="true">IF(F1131="", "", DATEDIF(F1131, TODAY(), "Y"))</f>
        <v/>
      </c>
      <c r="H1131" s="18"/>
      <c r="I1131" s="18"/>
      <c r="J1131" s="24" t="str">
        <f aca="true">IF(ISBLANK(H1131), "", I1131-TODAY())</f>
        <v/>
      </c>
      <c r="K1131" s="24" t="str">
        <f aca="false" t="array" ref="K1131:K1131">IF(A1131&lt;&gt;"",IF(COUNTIF(A$996:A1132,"&lt;&gt;")=0,COUNTA(B$996:B1131),IFERROR(MATCH(TRUE(),INDEX((A$996:A1132&lt;&gt;""),0),0),COUNTA(B$996:B1131))),"")</f>
        <v/>
      </c>
      <c r="L1131" s="27"/>
    </row>
    <row r="1132" customFormat="false" ht="13.8" hidden="false" customHeight="false" outlineLevel="0" collapsed="false">
      <c r="A1132" s="16"/>
      <c r="B1132" s="16"/>
      <c r="C1132" s="26"/>
      <c r="D1132" s="26"/>
      <c r="E1132" s="16"/>
      <c r="F1132" s="18"/>
      <c r="G1132" s="19" t="str">
        <f aca="true">IF(F1132="", "", DATEDIF(F1132, TODAY(), "Y"))</f>
        <v/>
      </c>
      <c r="H1132" s="18"/>
      <c r="I1132" s="18"/>
      <c r="J1132" s="24" t="str">
        <f aca="true">IF(ISBLANK(H1132), "", I1132-TODAY())</f>
        <v/>
      </c>
      <c r="K1132" s="24" t="str">
        <f aca="false" t="array" ref="K1132:K1132">IF(A1132&lt;&gt;"",IF(COUNTIF(A$996:A1133,"&lt;&gt;")=0,COUNTA(B$996:B1132),IFERROR(MATCH(TRUE(),INDEX((A$996:A1133&lt;&gt;""),0),0),COUNTA(B$996:B1132))),"")</f>
        <v/>
      </c>
      <c r="L1132" s="27"/>
    </row>
    <row r="1133" customFormat="false" ht="13.8" hidden="false" customHeight="false" outlineLevel="0" collapsed="false">
      <c r="A1133" s="16"/>
      <c r="B1133" s="16"/>
      <c r="C1133" s="26"/>
      <c r="D1133" s="26"/>
      <c r="E1133" s="16"/>
      <c r="F1133" s="18"/>
      <c r="G1133" s="19" t="str">
        <f aca="true">IF(F1133="", "", DATEDIF(F1133, TODAY(), "Y"))</f>
        <v/>
      </c>
      <c r="H1133" s="18"/>
      <c r="I1133" s="18"/>
      <c r="J1133" s="24" t="str">
        <f aca="true">IF(ISBLANK(H1133), "", I1133-TODAY())</f>
        <v/>
      </c>
      <c r="K1133" s="24" t="str">
        <f aca="false" t="array" ref="K1133:K1133">IF(A1133&lt;&gt;"",IF(COUNTIF(A$996:A1134,"&lt;&gt;")=0,COUNTA(B$996:B1133),IFERROR(MATCH(TRUE(),INDEX((A$996:A1134&lt;&gt;""),0),0),COUNTA(B$996:B1133))),"")</f>
        <v/>
      </c>
      <c r="L1133" s="27"/>
    </row>
    <row r="1134" customFormat="false" ht="13.8" hidden="false" customHeight="false" outlineLevel="0" collapsed="false">
      <c r="A1134" s="16"/>
      <c r="B1134" s="16"/>
      <c r="C1134" s="26"/>
      <c r="D1134" s="26"/>
      <c r="E1134" s="16"/>
      <c r="F1134" s="18"/>
      <c r="G1134" s="19" t="str">
        <f aca="true">IF(F1134="", "", DATEDIF(F1134, TODAY(), "Y"))</f>
        <v/>
      </c>
      <c r="H1134" s="18"/>
      <c r="I1134" s="18"/>
      <c r="J1134" s="24" t="str">
        <f aca="true">IF(ISBLANK(H1134), "", I1134-TODAY())</f>
        <v/>
      </c>
      <c r="K1134" s="24" t="str">
        <f aca="false" t="array" ref="K1134:K1134">IF(A1134&lt;&gt;"",IF(COUNTIF(A$996:A1135,"&lt;&gt;")=0,COUNTA(B$996:B1134),IFERROR(MATCH(TRUE(),INDEX((A$996:A1135&lt;&gt;""),0),0),COUNTA(B$996:B1134))),"")</f>
        <v/>
      </c>
      <c r="L1134" s="27"/>
    </row>
    <row r="1135" customFormat="false" ht="13.8" hidden="false" customHeight="false" outlineLevel="0" collapsed="false">
      <c r="A1135" s="16"/>
      <c r="B1135" s="16"/>
      <c r="C1135" s="26"/>
      <c r="D1135" s="26"/>
      <c r="E1135" s="16"/>
      <c r="F1135" s="18"/>
      <c r="G1135" s="19" t="str">
        <f aca="true">IF(F1135="", "", DATEDIF(F1135, TODAY(), "Y"))</f>
        <v/>
      </c>
      <c r="H1135" s="18"/>
      <c r="I1135" s="18"/>
      <c r="J1135" s="24" t="str">
        <f aca="true">IF(ISBLANK(H1135), "", I1135-TODAY())</f>
        <v/>
      </c>
      <c r="K1135" s="24" t="str">
        <f aca="false" t="array" ref="K1135:K1135">IF(A1135&lt;&gt;"",IF(COUNTIF(A$996:A1136,"&lt;&gt;")=0,COUNTA(B$996:B1135),IFERROR(MATCH(TRUE(),INDEX((A$996:A1136&lt;&gt;""),0),0),COUNTA(B$996:B1135))),"")</f>
        <v/>
      </c>
      <c r="L1135" s="27"/>
    </row>
    <row r="1136" customFormat="false" ht="13.8" hidden="false" customHeight="false" outlineLevel="0" collapsed="false">
      <c r="A1136" s="16"/>
      <c r="B1136" s="16"/>
      <c r="C1136" s="26"/>
      <c r="D1136" s="26"/>
      <c r="E1136" s="16"/>
      <c r="F1136" s="18"/>
      <c r="G1136" s="19" t="str">
        <f aca="true">IF(F1136="", "", DATEDIF(F1136, TODAY(), "Y"))</f>
        <v/>
      </c>
      <c r="H1136" s="18"/>
      <c r="I1136" s="18"/>
      <c r="J1136" s="24" t="str">
        <f aca="true">IF(ISBLANK(H1136), "", I1136-TODAY())</f>
        <v/>
      </c>
      <c r="K1136" s="24" t="str">
        <f aca="false" t="array" ref="K1136:K1136">IF(A1136&lt;&gt;"",IF(COUNTIF(A$996:A1137,"&lt;&gt;")=0,COUNTA(B$996:B1136),IFERROR(MATCH(TRUE(),INDEX((A$996:A1137&lt;&gt;""),0),0),COUNTA(B$996:B1136))),"")</f>
        <v/>
      </c>
      <c r="L1136" s="27"/>
    </row>
    <row r="1137" customFormat="false" ht="13.8" hidden="false" customHeight="false" outlineLevel="0" collapsed="false">
      <c r="A1137" s="16"/>
      <c r="B1137" s="16"/>
      <c r="C1137" s="26"/>
      <c r="D1137" s="26"/>
      <c r="E1137" s="16"/>
      <c r="F1137" s="18"/>
      <c r="G1137" s="19" t="str">
        <f aca="true">IF(F1137="", "", DATEDIF(F1137, TODAY(), "Y"))</f>
        <v/>
      </c>
      <c r="H1137" s="18"/>
      <c r="I1137" s="18"/>
      <c r="J1137" s="24" t="str">
        <f aca="true">IF(ISBLANK(H1137), "", I1137-TODAY())</f>
        <v/>
      </c>
      <c r="K1137" s="24" t="str">
        <f aca="false" t="array" ref="K1137:K1137">IF(A1137&lt;&gt;"",IF(COUNTIF(A$996:A1138,"&lt;&gt;")=0,COUNTA(B$996:B1137),IFERROR(MATCH(TRUE(),INDEX((A$996:A1138&lt;&gt;""),0),0),COUNTA(B$996:B1137))),"")</f>
        <v/>
      </c>
      <c r="L1137" s="27"/>
    </row>
    <row r="1138" customFormat="false" ht="13.8" hidden="false" customHeight="false" outlineLevel="0" collapsed="false">
      <c r="A1138" s="16"/>
      <c r="B1138" s="16"/>
      <c r="C1138" s="26"/>
      <c r="D1138" s="26"/>
      <c r="E1138" s="16"/>
      <c r="F1138" s="18"/>
      <c r="G1138" s="19" t="str">
        <f aca="true">IF(F1138="", "", DATEDIF(F1138, TODAY(), "Y"))</f>
        <v/>
      </c>
      <c r="H1138" s="18"/>
      <c r="I1138" s="18"/>
      <c r="J1138" s="24" t="str">
        <f aca="true">IF(ISBLANK(H1138), "", I1138-TODAY())</f>
        <v/>
      </c>
      <c r="K1138" s="24" t="str">
        <f aca="false" t="array" ref="K1138:K1138">IF(A1138&lt;&gt;"",IF(COUNTIF(A$996:A1139,"&lt;&gt;")=0,COUNTA(B$996:B1138),IFERROR(MATCH(TRUE(),INDEX((A$996:A1139&lt;&gt;""),0),0),COUNTA(B$996:B1138))),"")</f>
        <v/>
      </c>
      <c r="L1138" s="27"/>
    </row>
    <row r="1139" customFormat="false" ht="13.8" hidden="false" customHeight="false" outlineLevel="0" collapsed="false">
      <c r="A1139" s="16"/>
      <c r="B1139" s="16"/>
      <c r="C1139" s="26"/>
      <c r="D1139" s="26"/>
      <c r="E1139" s="16"/>
      <c r="F1139" s="18"/>
      <c r="G1139" s="19" t="str">
        <f aca="true">IF(F1139="", "", DATEDIF(F1139, TODAY(), "Y"))</f>
        <v/>
      </c>
      <c r="H1139" s="18"/>
      <c r="I1139" s="18"/>
      <c r="J1139" s="24" t="str">
        <f aca="true">IF(ISBLANK(H1139), "", I1139-TODAY())</f>
        <v/>
      </c>
      <c r="K1139" s="24" t="str">
        <f aca="false" t="array" ref="K1139:K1139">IF(A1139&lt;&gt;"",IF(COUNTIF(A$996:A1140,"&lt;&gt;")=0,COUNTA(B$996:B1139),IFERROR(MATCH(TRUE(),INDEX((A$996:A1140&lt;&gt;""),0),0),COUNTA(B$996:B1139))),"")</f>
        <v/>
      </c>
      <c r="L1139" s="27"/>
    </row>
    <row r="1140" customFormat="false" ht="13.8" hidden="false" customHeight="false" outlineLevel="0" collapsed="false">
      <c r="A1140" s="16"/>
      <c r="B1140" s="16"/>
      <c r="C1140" s="26"/>
      <c r="D1140" s="26"/>
      <c r="E1140" s="16"/>
      <c r="F1140" s="18"/>
      <c r="G1140" s="19" t="str">
        <f aca="true">IF(F1140="", "", DATEDIF(F1140, TODAY(), "Y"))</f>
        <v/>
      </c>
      <c r="H1140" s="18"/>
      <c r="I1140" s="18"/>
      <c r="J1140" s="24" t="str">
        <f aca="true">IF(ISBLANK(H1140), "", I1140-TODAY())</f>
        <v/>
      </c>
      <c r="K1140" s="24" t="str">
        <f aca="false" t="array" ref="K1140:K1140">IF(A1140&lt;&gt;"",IF(COUNTIF(A$996:A1141,"&lt;&gt;")=0,COUNTA(B$996:B1140),IFERROR(MATCH(TRUE(),INDEX((A$996:A1141&lt;&gt;""),0),0),COUNTA(B$996:B1140))),"")</f>
        <v/>
      </c>
      <c r="L1140" s="27"/>
    </row>
    <row r="1141" customFormat="false" ht="13.8" hidden="false" customHeight="false" outlineLevel="0" collapsed="false">
      <c r="A1141" s="16"/>
      <c r="B1141" s="16"/>
      <c r="C1141" s="26"/>
      <c r="D1141" s="26"/>
      <c r="E1141" s="16"/>
      <c r="F1141" s="18"/>
      <c r="G1141" s="19" t="str">
        <f aca="true">IF(F1141="", "", DATEDIF(F1141, TODAY(), "Y"))</f>
        <v/>
      </c>
      <c r="H1141" s="18"/>
      <c r="I1141" s="18"/>
      <c r="J1141" s="24" t="str">
        <f aca="true">IF(ISBLANK(H1141), "", I1141-TODAY())</f>
        <v/>
      </c>
      <c r="K1141" s="24" t="str">
        <f aca="false" t="array" ref="K1141:K1141">IF(A1141&lt;&gt;"",IF(COUNTIF(A$996:A1142,"&lt;&gt;")=0,COUNTA(B$996:B1141),IFERROR(MATCH(TRUE(),INDEX((A$996:A1142&lt;&gt;""),0),0),COUNTA(B$996:B1141))),"")</f>
        <v/>
      </c>
      <c r="L1141" s="27"/>
    </row>
    <row r="1142" customFormat="false" ht="13.8" hidden="false" customHeight="false" outlineLevel="0" collapsed="false">
      <c r="A1142" s="16"/>
      <c r="B1142" s="16"/>
      <c r="C1142" s="26"/>
      <c r="D1142" s="26"/>
      <c r="E1142" s="16"/>
      <c r="F1142" s="18"/>
      <c r="G1142" s="19" t="str">
        <f aca="true">IF(F1142="", "", DATEDIF(F1142, TODAY(), "Y"))</f>
        <v/>
      </c>
      <c r="H1142" s="18"/>
      <c r="I1142" s="18"/>
      <c r="J1142" s="24" t="str">
        <f aca="true">IF(ISBLANK(H1142), "", I1142-TODAY())</f>
        <v/>
      </c>
      <c r="K1142" s="24" t="str">
        <f aca="false" t="array" ref="K1142:K1142">IF(A1142&lt;&gt;"",IF(COUNTIF(A$996:A1143,"&lt;&gt;")=0,COUNTA(B$996:B1142),IFERROR(MATCH(TRUE(),INDEX((A$996:A1143&lt;&gt;""),0),0),COUNTA(B$996:B1142))),"")</f>
        <v/>
      </c>
      <c r="L1142" s="27"/>
    </row>
    <row r="1143" customFormat="false" ht="13.8" hidden="false" customHeight="false" outlineLevel="0" collapsed="false">
      <c r="A1143" s="16"/>
      <c r="B1143" s="16"/>
      <c r="C1143" s="26"/>
      <c r="D1143" s="26"/>
      <c r="E1143" s="16"/>
      <c r="F1143" s="18"/>
      <c r="G1143" s="19" t="str">
        <f aca="true">IF(F1143="", "", DATEDIF(F1143, TODAY(), "Y"))</f>
        <v/>
      </c>
      <c r="H1143" s="18"/>
      <c r="I1143" s="18"/>
      <c r="J1143" s="24" t="str">
        <f aca="true">IF(ISBLANK(H1143), "", I1143-TODAY())</f>
        <v/>
      </c>
      <c r="K1143" s="24" t="str">
        <f aca="false" t="array" ref="K1143:K1143">IF(A1143&lt;&gt;"",IF(COUNTIF(A$996:A1144,"&lt;&gt;")=0,COUNTA(B$996:B1143),IFERROR(MATCH(TRUE(),INDEX((A$996:A1144&lt;&gt;""),0),0),COUNTA(B$996:B1143))),"")</f>
        <v/>
      </c>
      <c r="L1143" s="27"/>
    </row>
    <row r="1144" customFormat="false" ht="13.8" hidden="false" customHeight="false" outlineLevel="0" collapsed="false">
      <c r="A1144" s="16"/>
      <c r="B1144" s="16"/>
      <c r="C1144" s="26"/>
      <c r="D1144" s="26"/>
      <c r="E1144" s="16"/>
      <c r="F1144" s="18"/>
      <c r="G1144" s="19" t="str">
        <f aca="true">IF(F1144="", "", DATEDIF(F1144, TODAY(), "Y"))</f>
        <v/>
      </c>
      <c r="H1144" s="18"/>
      <c r="I1144" s="18"/>
      <c r="J1144" s="24" t="str">
        <f aca="true">IF(ISBLANK(H1144), "", I1144-TODAY())</f>
        <v/>
      </c>
      <c r="K1144" s="24" t="str">
        <f aca="false" t="array" ref="K1144:K1144">IF(A1144&lt;&gt;"",IF(COUNTIF(A$996:A1145,"&lt;&gt;")=0,COUNTA(B$996:B1144),IFERROR(MATCH(TRUE(),INDEX((A$996:A1145&lt;&gt;""),0),0),COUNTA(B$996:B1144))),"")</f>
        <v/>
      </c>
      <c r="L1144" s="27"/>
    </row>
    <row r="1145" customFormat="false" ht="13.8" hidden="false" customHeight="false" outlineLevel="0" collapsed="false">
      <c r="A1145" s="16"/>
      <c r="B1145" s="16"/>
      <c r="C1145" s="26"/>
      <c r="D1145" s="26"/>
      <c r="E1145" s="16"/>
      <c r="F1145" s="18"/>
      <c r="G1145" s="19" t="str">
        <f aca="true">IF(F1145="", "", DATEDIF(F1145, TODAY(), "Y"))</f>
        <v/>
      </c>
      <c r="H1145" s="18"/>
      <c r="I1145" s="18"/>
      <c r="J1145" s="24" t="str">
        <f aca="true">IF(ISBLANK(H1145), "", I1145-TODAY())</f>
        <v/>
      </c>
      <c r="K1145" s="24" t="str">
        <f aca="false" t="array" ref="K1145:K1145">IF(A1145&lt;&gt;"",IF(COUNTIF(A$996:A1146,"&lt;&gt;")=0,COUNTA(B$996:B1145),IFERROR(MATCH(TRUE(),INDEX((A$996:A1146&lt;&gt;""),0),0),COUNTA(B$996:B1145))),"")</f>
        <v/>
      </c>
      <c r="L1145" s="27"/>
    </row>
    <row r="1146" customFormat="false" ht="13.8" hidden="false" customHeight="false" outlineLevel="0" collapsed="false">
      <c r="A1146" s="16"/>
      <c r="B1146" s="16"/>
      <c r="C1146" s="26"/>
      <c r="D1146" s="26"/>
      <c r="E1146" s="16"/>
      <c r="F1146" s="18"/>
      <c r="G1146" s="19" t="str">
        <f aca="true">IF(F1146="", "", DATEDIF(F1146, TODAY(), "Y"))</f>
        <v/>
      </c>
      <c r="H1146" s="18"/>
      <c r="I1146" s="18"/>
      <c r="J1146" s="24" t="str">
        <f aca="true">IF(ISBLANK(H1146), "", I1146-TODAY())</f>
        <v/>
      </c>
      <c r="K1146" s="24" t="str">
        <f aca="false" t="array" ref="K1146:K1146">IF(A1146&lt;&gt;"",IF(COUNTIF(A$996:A1147,"&lt;&gt;")=0,COUNTA(B$996:B1146),IFERROR(MATCH(TRUE(),INDEX((A$996:A1147&lt;&gt;""),0),0),COUNTA(B$996:B1146))),"")</f>
        <v/>
      </c>
      <c r="L1146" s="27"/>
    </row>
    <row r="1147" customFormat="false" ht="13.8" hidden="false" customHeight="false" outlineLevel="0" collapsed="false">
      <c r="A1147" s="16"/>
      <c r="B1147" s="16"/>
      <c r="C1147" s="26"/>
      <c r="D1147" s="26"/>
      <c r="E1147" s="16"/>
      <c r="F1147" s="18"/>
      <c r="G1147" s="19" t="str">
        <f aca="true">IF(F1147="", "", DATEDIF(F1147, TODAY(), "Y"))</f>
        <v/>
      </c>
      <c r="H1147" s="18"/>
      <c r="I1147" s="18"/>
      <c r="J1147" s="24" t="str">
        <f aca="true">IF(ISBLANK(H1147), "", I1147-TODAY())</f>
        <v/>
      </c>
      <c r="K1147" s="24" t="str">
        <f aca="false" t="array" ref="K1147:K1147">IF(A1147&lt;&gt;"",IF(COUNTIF(A$996:A1148,"&lt;&gt;")=0,COUNTA(B$996:B1147),IFERROR(MATCH(TRUE(),INDEX((A$996:A1148&lt;&gt;""),0),0),COUNTA(B$996:B1147))),"")</f>
        <v/>
      </c>
      <c r="L1147" s="27"/>
    </row>
    <row r="1148" customFormat="false" ht="13.8" hidden="false" customHeight="false" outlineLevel="0" collapsed="false">
      <c r="A1148" s="16"/>
      <c r="B1148" s="16"/>
      <c r="C1148" s="26"/>
      <c r="D1148" s="26"/>
      <c r="E1148" s="16"/>
      <c r="F1148" s="18"/>
      <c r="G1148" s="19" t="str">
        <f aca="true">IF(F1148="", "", DATEDIF(F1148, TODAY(), "Y"))</f>
        <v/>
      </c>
      <c r="H1148" s="18"/>
      <c r="I1148" s="18"/>
      <c r="J1148" s="24" t="str">
        <f aca="true">IF(ISBLANK(H1148), "", I1148-TODAY())</f>
        <v/>
      </c>
      <c r="K1148" s="24" t="str">
        <f aca="false" t="array" ref="K1148:K1148">IF(A1148&lt;&gt;"",IF(COUNTIF(A$996:A1149,"&lt;&gt;")=0,COUNTA(B$996:B1148),IFERROR(MATCH(TRUE(),INDEX((A$996:A1149&lt;&gt;""),0),0),COUNTA(B$996:B1148))),"")</f>
        <v/>
      </c>
      <c r="L1148" s="27"/>
    </row>
    <row r="1149" customFormat="false" ht="13.8" hidden="false" customHeight="false" outlineLevel="0" collapsed="false">
      <c r="A1149" s="16"/>
      <c r="B1149" s="16"/>
      <c r="C1149" s="26"/>
      <c r="D1149" s="26"/>
      <c r="E1149" s="16"/>
      <c r="F1149" s="18"/>
      <c r="G1149" s="19" t="str">
        <f aca="true">IF(F1149="", "", DATEDIF(F1149, TODAY(), "Y"))</f>
        <v/>
      </c>
      <c r="H1149" s="18"/>
      <c r="I1149" s="18"/>
      <c r="J1149" s="24" t="str">
        <f aca="true">IF(ISBLANK(H1149), "", I1149-TODAY())</f>
        <v/>
      </c>
      <c r="K1149" s="24" t="str">
        <f aca="false" t="array" ref="K1149:K1149">IF(A1149&lt;&gt;"",IF(COUNTIF(A$996:A1150,"&lt;&gt;")=0,COUNTA(B$996:B1149),IFERROR(MATCH(TRUE(),INDEX((A$996:A1150&lt;&gt;""),0),0),COUNTA(B$996:B1149))),"")</f>
        <v/>
      </c>
      <c r="L1149" s="27"/>
    </row>
    <row r="1150" customFormat="false" ht="13.8" hidden="false" customHeight="false" outlineLevel="0" collapsed="false">
      <c r="A1150" s="16"/>
      <c r="B1150" s="16"/>
      <c r="C1150" s="26"/>
      <c r="D1150" s="26"/>
      <c r="E1150" s="16"/>
      <c r="F1150" s="18"/>
      <c r="G1150" s="19" t="str">
        <f aca="true">IF(F1150="", "", DATEDIF(F1150, TODAY(), "Y"))</f>
        <v/>
      </c>
      <c r="H1150" s="18"/>
      <c r="I1150" s="18"/>
      <c r="J1150" s="24" t="str">
        <f aca="true">IF(ISBLANK(H1150), "", I1150-TODAY())</f>
        <v/>
      </c>
      <c r="K1150" s="24" t="str">
        <f aca="false" t="array" ref="K1150:K1150">IF(A1150&lt;&gt;"",IF(COUNTIF(A$996:A1151,"&lt;&gt;")=0,COUNTA(B$996:B1150),IFERROR(MATCH(TRUE(),INDEX((A$996:A1151&lt;&gt;""),0),0),COUNTA(B$996:B1150))),"")</f>
        <v/>
      </c>
      <c r="L1150" s="27"/>
    </row>
    <row r="1151" customFormat="false" ht="13.8" hidden="false" customHeight="false" outlineLevel="0" collapsed="false">
      <c r="A1151" s="16"/>
      <c r="B1151" s="16"/>
      <c r="C1151" s="26"/>
      <c r="D1151" s="26"/>
      <c r="E1151" s="16"/>
      <c r="F1151" s="18"/>
      <c r="G1151" s="19" t="str">
        <f aca="true">IF(F1151="", "", DATEDIF(F1151, TODAY(), "Y"))</f>
        <v/>
      </c>
      <c r="H1151" s="18"/>
      <c r="I1151" s="18"/>
      <c r="J1151" s="24" t="str">
        <f aca="true">IF(ISBLANK(H1151), "", I1151-TODAY())</f>
        <v/>
      </c>
      <c r="K1151" s="24" t="str">
        <f aca="false" t="array" ref="K1151:K1151">IF(A1151&lt;&gt;"",IF(COUNTIF(A$996:A1152,"&lt;&gt;")=0,COUNTA(B$996:B1151),IFERROR(MATCH(TRUE(),INDEX((A$996:A1152&lt;&gt;""),0),0),COUNTA(B$996:B1151))),"")</f>
        <v/>
      </c>
      <c r="L1151" s="27"/>
    </row>
    <row r="1152" customFormat="false" ht="13.8" hidden="false" customHeight="false" outlineLevel="0" collapsed="false">
      <c r="A1152" s="16"/>
      <c r="B1152" s="16"/>
      <c r="C1152" s="26"/>
      <c r="D1152" s="26"/>
      <c r="E1152" s="16"/>
      <c r="F1152" s="18"/>
      <c r="G1152" s="19" t="str">
        <f aca="true">IF(F1152="", "", DATEDIF(F1152, TODAY(), "Y"))</f>
        <v/>
      </c>
      <c r="H1152" s="18"/>
      <c r="I1152" s="18"/>
      <c r="J1152" s="24" t="str">
        <f aca="true">IF(ISBLANK(H1152), "", I1152-TODAY())</f>
        <v/>
      </c>
      <c r="K1152" s="24" t="str">
        <f aca="false" t="array" ref="K1152:K1152">IF(A1152&lt;&gt;"",IF(COUNTIF(A$996:A1153,"&lt;&gt;")=0,COUNTA(B$996:B1152),IFERROR(MATCH(TRUE(),INDEX((A$996:A1153&lt;&gt;""),0),0),COUNTA(B$996:B1152))),"")</f>
        <v/>
      </c>
      <c r="L1152" s="27"/>
    </row>
    <row r="1153" customFormat="false" ht="13.8" hidden="false" customHeight="false" outlineLevel="0" collapsed="false">
      <c r="A1153" s="16"/>
      <c r="B1153" s="16"/>
      <c r="C1153" s="26"/>
      <c r="D1153" s="26"/>
      <c r="E1153" s="16"/>
      <c r="F1153" s="18"/>
      <c r="G1153" s="19" t="str">
        <f aca="true">IF(F1153="", "", DATEDIF(F1153, TODAY(), "Y"))</f>
        <v/>
      </c>
      <c r="H1153" s="18"/>
      <c r="I1153" s="18"/>
      <c r="J1153" s="24" t="str">
        <f aca="true">IF(ISBLANK(H1153), "", I1153-TODAY())</f>
        <v/>
      </c>
      <c r="K1153" s="24" t="str">
        <f aca="false" t="array" ref="K1153:K1153">IF(A1153&lt;&gt;"",IF(COUNTIF(A$996:A1154,"&lt;&gt;")=0,COUNTA(B$996:B1153),IFERROR(MATCH(TRUE(),INDEX((A$996:A1154&lt;&gt;""),0),0),COUNTA(B$996:B1153))),"")</f>
        <v/>
      </c>
      <c r="L1153" s="27"/>
    </row>
    <row r="1154" customFormat="false" ht="13.8" hidden="false" customHeight="false" outlineLevel="0" collapsed="false">
      <c r="A1154" s="16"/>
      <c r="B1154" s="16"/>
      <c r="C1154" s="26"/>
      <c r="D1154" s="26"/>
      <c r="E1154" s="16"/>
      <c r="F1154" s="18"/>
      <c r="G1154" s="19" t="str">
        <f aca="true">IF(F1154="", "", DATEDIF(F1154, TODAY(), "Y"))</f>
        <v/>
      </c>
      <c r="H1154" s="18"/>
      <c r="I1154" s="18"/>
      <c r="J1154" s="24" t="str">
        <f aca="true">IF(ISBLANK(H1154), "", I1154-TODAY())</f>
        <v/>
      </c>
      <c r="K1154" s="24" t="str">
        <f aca="false" t="array" ref="K1154:K1154">IF(A1154&lt;&gt;"",IF(COUNTIF(A$996:A1155,"&lt;&gt;")=0,COUNTA(B$996:B1154),IFERROR(MATCH(TRUE(),INDEX((A$996:A1155&lt;&gt;""),0),0),COUNTA(B$996:B1154))),"")</f>
        <v/>
      </c>
      <c r="L1154" s="27"/>
    </row>
    <row r="1155" customFormat="false" ht="13.8" hidden="false" customHeight="false" outlineLevel="0" collapsed="false">
      <c r="A1155" s="16"/>
      <c r="B1155" s="16"/>
      <c r="C1155" s="26"/>
      <c r="D1155" s="26"/>
      <c r="E1155" s="16"/>
      <c r="F1155" s="18"/>
      <c r="G1155" s="19" t="str">
        <f aca="true">IF(F1155="", "", DATEDIF(F1155, TODAY(), "Y"))</f>
        <v/>
      </c>
      <c r="H1155" s="18"/>
      <c r="I1155" s="18"/>
      <c r="J1155" s="24" t="str">
        <f aca="true">IF(ISBLANK(H1155), "", I1155-TODAY())</f>
        <v/>
      </c>
      <c r="K1155" s="24" t="str">
        <f aca="false" t="array" ref="K1155:K1155">IF(A1155&lt;&gt;"",IF(COUNTIF(A$996:A1156,"&lt;&gt;")=0,COUNTA(B$996:B1155),IFERROR(MATCH(TRUE(),INDEX((A$996:A1156&lt;&gt;""),0),0),COUNTA(B$996:B1155))),"")</f>
        <v/>
      </c>
      <c r="L1155" s="27"/>
    </row>
    <row r="1156" customFormat="false" ht="13.8" hidden="false" customHeight="false" outlineLevel="0" collapsed="false">
      <c r="A1156" s="16"/>
      <c r="B1156" s="16"/>
      <c r="C1156" s="26"/>
      <c r="D1156" s="26"/>
      <c r="E1156" s="16"/>
      <c r="F1156" s="18"/>
      <c r="G1156" s="19" t="str">
        <f aca="true">IF(F1156="", "", DATEDIF(F1156, TODAY(), "Y"))</f>
        <v/>
      </c>
      <c r="H1156" s="18"/>
      <c r="I1156" s="18"/>
      <c r="J1156" s="24" t="str">
        <f aca="true">IF(ISBLANK(H1156), "", I1156-TODAY())</f>
        <v/>
      </c>
      <c r="K1156" s="24" t="str">
        <f aca="false" t="array" ref="K1156:K1156">IF(A1156&lt;&gt;"",IF(COUNTIF(A$996:A1157,"&lt;&gt;")=0,COUNTA(B$996:B1156),IFERROR(MATCH(TRUE(),INDEX((A$996:A1157&lt;&gt;""),0),0),COUNTA(B$996:B1156))),"")</f>
        <v/>
      </c>
      <c r="L1156" s="27"/>
    </row>
    <row r="1157" customFormat="false" ht="13.8" hidden="false" customHeight="false" outlineLevel="0" collapsed="false">
      <c r="A1157" s="16"/>
      <c r="B1157" s="16"/>
      <c r="C1157" s="26"/>
      <c r="D1157" s="26"/>
      <c r="E1157" s="16"/>
      <c r="F1157" s="18"/>
      <c r="G1157" s="19" t="str">
        <f aca="true">IF(F1157="", "", DATEDIF(F1157, TODAY(), "Y"))</f>
        <v/>
      </c>
      <c r="H1157" s="18"/>
      <c r="I1157" s="18"/>
      <c r="J1157" s="24" t="str">
        <f aca="true">IF(ISBLANK(H1157), "", I1157-TODAY())</f>
        <v/>
      </c>
      <c r="K1157" s="24" t="str">
        <f aca="false" t="array" ref="K1157:K1157">IF(A1157&lt;&gt;"",IF(COUNTIF(A$996:A1158,"&lt;&gt;")=0,COUNTA(B$996:B1157),IFERROR(MATCH(TRUE(),INDEX((A$996:A1158&lt;&gt;""),0),0),COUNTA(B$996:B1157))),"")</f>
        <v/>
      </c>
      <c r="L1157" s="27"/>
    </row>
    <row r="1158" customFormat="false" ht="13.8" hidden="false" customHeight="false" outlineLevel="0" collapsed="false">
      <c r="A1158" s="16"/>
      <c r="B1158" s="16"/>
      <c r="C1158" s="26"/>
      <c r="D1158" s="26"/>
      <c r="E1158" s="16"/>
      <c r="F1158" s="18"/>
      <c r="G1158" s="19" t="str">
        <f aca="true">IF(F1158="", "", DATEDIF(F1158, TODAY(), "Y"))</f>
        <v/>
      </c>
      <c r="H1158" s="18"/>
      <c r="I1158" s="18"/>
      <c r="J1158" s="24" t="str">
        <f aca="true">IF(ISBLANK(H1158), "", I1158-TODAY())</f>
        <v/>
      </c>
      <c r="K1158" s="24" t="str">
        <f aca="false" t="array" ref="K1158:K1158">IF(A1158&lt;&gt;"",IF(COUNTIF(A$996:A1159,"&lt;&gt;")=0,COUNTA(B$996:B1158),IFERROR(MATCH(TRUE(),INDEX((A$996:A1159&lt;&gt;""),0),0),COUNTA(B$996:B1158))),"")</f>
        <v/>
      </c>
      <c r="L1158" s="27"/>
    </row>
    <row r="1159" customFormat="false" ht="13.8" hidden="false" customHeight="false" outlineLevel="0" collapsed="false">
      <c r="A1159" s="16"/>
      <c r="B1159" s="16"/>
      <c r="C1159" s="26"/>
      <c r="D1159" s="26"/>
      <c r="E1159" s="16"/>
      <c r="F1159" s="18"/>
      <c r="G1159" s="19" t="str">
        <f aca="true">IF(F1159="", "", DATEDIF(F1159, TODAY(), "Y"))</f>
        <v/>
      </c>
      <c r="H1159" s="18"/>
      <c r="I1159" s="18"/>
      <c r="J1159" s="24" t="str">
        <f aca="true">IF(ISBLANK(H1159), "", I1159-TODAY())</f>
        <v/>
      </c>
      <c r="K1159" s="24" t="str">
        <f aca="false" t="array" ref="K1159:K1159">IF(A1159&lt;&gt;"",IF(COUNTIF(A$996:A1160,"&lt;&gt;")=0,COUNTA(B$996:B1159),IFERROR(MATCH(TRUE(),INDEX((A$996:A1160&lt;&gt;""),0),0),COUNTA(B$996:B1159))),"")</f>
        <v/>
      </c>
      <c r="L1159" s="27"/>
    </row>
    <row r="1160" customFormat="false" ht="13.8" hidden="false" customHeight="false" outlineLevel="0" collapsed="false">
      <c r="A1160" s="16"/>
      <c r="B1160" s="16"/>
      <c r="C1160" s="26"/>
      <c r="D1160" s="26"/>
      <c r="E1160" s="16"/>
      <c r="F1160" s="18"/>
      <c r="G1160" s="19" t="str">
        <f aca="true">IF(F1160="", "", DATEDIF(F1160, TODAY(), "Y"))</f>
        <v/>
      </c>
      <c r="H1160" s="18"/>
      <c r="I1160" s="18"/>
      <c r="J1160" s="24" t="str">
        <f aca="true">IF(ISBLANK(H1160), "", I1160-TODAY())</f>
        <v/>
      </c>
      <c r="K1160" s="24" t="str">
        <f aca="false" t="array" ref="K1160:K1160">IF(A1160&lt;&gt;"",IF(COUNTIF(A$996:A1161,"&lt;&gt;")=0,COUNTA(B$996:B1160),IFERROR(MATCH(TRUE(),INDEX((A$996:A1161&lt;&gt;""),0),0),COUNTA(B$996:B1160))),"")</f>
        <v/>
      </c>
      <c r="L1160" s="27"/>
    </row>
    <row r="1161" customFormat="false" ht="13.8" hidden="false" customHeight="false" outlineLevel="0" collapsed="false">
      <c r="A1161" s="16"/>
      <c r="B1161" s="16"/>
      <c r="C1161" s="26"/>
      <c r="D1161" s="26"/>
      <c r="E1161" s="16"/>
      <c r="F1161" s="18"/>
      <c r="G1161" s="19" t="str">
        <f aca="true">IF(F1161="", "", DATEDIF(F1161, TODAY(), "Y"))</f>
        <v/>
      </c>
      <c r="H1161" s="18"/>
      <c r="I1161" s="18"/>
      <c r="J1161" s="24" t="str">
        <f aca="true">IF(ISBLANK(H1161), "", I1161-TODAY())</f>
        <v/>
      </c>
      <c r="K1161" s="24" t="str">
        <f aca="false" t="array" ref="K1161:K1161">IF(A1161&lt;&gt;"",IF(COUNTIF(A$996:A1162,"&lt;&gt;")=0,COUNTA(B$996:B1161),IFERROR(MATCH(TRUE(),INDEX((A$996:A1162&lt;&gt;""),0),0),COUNTA(B$996:B1161))),"")</f>
        <v/>
      </c>
      <c r="L1161" s="27"/>
    </row>
    <row r="1162" customFormat="false" ht="13.8" hidden="false" customHeight="false" outlineLevel="0" collapsed="false">
      <c r="A1162" s="16"/>
      <c r="B1162" s="16"/>
      <c r="C1162" s="26"/>
      <c r="D1162" s="26"/>
      <c r="E1162" s="16"/>
      <c r="F1162" s="18"/>
      <c r="G1162" s="19" t="str">
        <f aca="true">IF(F1162="", "", DATEDIF(F1162, TODAY(), "Y"))</f>
        <v/>
      </c>
      <c r="H1162" s="18"/>
      <c r="I1162" s="18"/>
      <c r="J1162" s="24" t="str">
        <f aca="true">IF(ISBLANK(H1162), "", I1162-TODAY())</f>
        <v/>
      </c>
      <c r="K1162" s="24" t="str">
        <f aca="false" t="array" ref="K1162:K1162">IF(A1162&lt;&gt;"",IF(COUNTIF(A$996:A1163,"&lt;&gt;")=0,COUNTA(B$996:B1162),IFERROR(MATCH(TRUE(),INDEX((A$996:A1163&lt;&gt;""),0),0),COUNTA(B$996:B1162))),"")</f>
        <v/>
      </c>
      <c r="L1162" s="27"/>
    </row>
    <row r="1163" customFormat="false" ht="13.8" hidden="false" customHeight="false" outlineLevel="0" collapsed="false">
      <c r="A1163" s="16"/>
      <c r="B1163" s="16"/>
      <c r="C1163" s="26"/>
      <c r="D1163" s="26"/>
      <c r="E1163" s="16"/>
      <c r="F1163" s="18"/>
      <c r="G1163" s="19" t="str">
        <f aca="true">IF(F1163="", "", DATEDIF(F1163, TODAY(), "Y"))</f>
        <v/>
      </c>
      <c r="H1163" s="18"/>
      <c r="I1163" s="18"/>
      <c r="J1163" s="24" t="str">
        <f aca="true">IF(ISBLANK(H1163), "", I1163-TODAY())</f>
        <v/>
      </c>
      <c r="K1163" s="24" t="str">
        <f aca="false" t="array" ref="K1163:K1163">IF(A1163&lt;&gt;"",IF(COUNTIF(A$996:A1164,"&lt;&gt;")=0,COUNTA(B$996:B1163),IFERROR(MATCH(TRUE(),INDEX((A$996:A1164&lt;&gt;""),0),0),COUNTA(B$996:B1163))),"")</f>
        <v/>
      </c>
      <c r="L1163" s="27"/>
    </row>
    <row r="1164" customFormat="false" ht="13.8" hidden="false" customHeight="false" outlineLevel="0" collapsed="false">
      <c r="A1164" s="16"/>
      <c r="B1164" s="16"/>
      <c r="C1164" s="26"/>
      <c r="D1164" s="26"/>
      <c r="E1164" s="16"/>
      <c r="F1164" s="18"/>
      <c r="G1164" s="19" t="str">
        <f aca="true">IF(F1164="", "", DATEDIF(F1164, TODAY(), "Y"))</f>
        <v/>
      </c>
      <c r="H1164" s="18"/>
      <c r="I1164" s="18"/>
      <c r="J1164" s="24" t="str">
        <f aca="true">IF(ISBLANK(H1164), "", I1164-TODAY())</f>
        <v/>
      </c>
      <c r="K1164" s="24" t="str">
        <f aca="false" t="array" ref="K1164:K1164">IF(A1164&lt;&gt;"",IF(COUNTIF(A$996:A1165,"&lt;&gt;")=0,COUNTA(B$996:B1164),IFERROR(MATCH(TRUE(),INDEX((A$996:A1165&lt;&gt;""),0),0),COUNTA(B$996:B1164))),"")</f>
        <v/>
      </c>
      <c r="L1164" s="27"/>
    </row>
    <row r="1165" customFormat="false" ht="13.8" hidden="false" customHeight="false" outlineLevel="0" collapsed="false">
      <c r="A1165" s="16"/>
      <c r="B1165" s="16"/>
      <c r="C1165" s="26"/>
      <c r="D1165" s="26"/>
      <c r="E1165" s="16"/>
      <c r="F1165" s="18"/>
      <c r="G1165" s="19" t="str">
        <f aca="true">IF(F1165="", "", DATEDIF(F1165, TODAY(), "Y"))</f>
        <v/>
      </c>
      <c r="H1165" s="18"/>
      <c r="I1165" s="18"/>
      <c r="J1165" s="24" t="str">
        <f aca="true">IF(ISBLANK(H1165), "", I1165-TODAY())</f>
        <v/>
      </c>
      <c r="K1165" s="24" t="str">
        <f aca="false" t="array" ref="K1165:K1165">IF(A1165&lt;&gt;"",IF(COUNTIF(A$996:A1166,"&lt;&gt;")=0,COUNTA(B$996:B1165),IFERROR(MATCH(TRUE(),INDEX((A$996:A1166&lt;&gt;""),0),0),COUNTA(B$996:B1165))),"")</f>
        <v/>
      </c>
      <c r="L1165" s="27"/>
    </row>
    <row r="1166" customFormat="false" ht="13.8" hidden="false" customHeight="false" outlineLevel="0" collapsed="false">
      <c r="A1166" s="16"/>
      <c r="B1166" s="16"/>
      <c r="C1166" s="26"/>
      <c r="D1166" s="26"/>
      <c r="E1166" s="16"/>
      <c r="F1166" s="18"/>
      <c r="G1166" s="19" t="str">
        <f aca="true">IF(F1166="", "", DATEDIF(F1166, TODAY(), "Y"))</f>
        <v/>
      </c>
      <c r="H1166" s="18"/>
      <c r="I1166" s="18"/>
      <c r="J1166" s="24" t="str">
        <f aca="true">IF(ISBLANK(H1166), "", I1166-TODAY())</f>
        <v/>
      </c>
      <c r="K1166" s="24" t="str">
        <f aca="false" t="array" ref="K1166:K1166">IF(A1166&lt;&gt;"",IF(COUNTIF(A$996:A1167,"&lt;&gt;")=0,COUNTA(B$996:B1166),IFERROR(MATCH(TRUE(),INDEX((A$996:A1167&lt;&gt;""),0),0),COUNTA(B$996:B1166))),"")</f>
        <v/>
      </c>
      <c r="L1166" s="27"/>
    </row>
    <row r="1167" customFormat="false" ht="13.8" hidden="false" customHeight="false" outlineLevel="0" collapsed="false">
      <c r="A1167" s="16"/>
      <c r="B1167" s="16"/>
      <c r="C1167" s="26"/>
      <c r="D1167" s="26"/>
      <c r="E1167" s="16"/>
      <c r="F1167" s="18"/>
      <c r="G1167" s="19" t="str">
        <f aca="true">IF(F1167="", "", DATEDIF(F1167, TODAY(), "Y"))</f>
        <v/>
      </c>
      <c r="H1167" s="18"/>
      <c r="I1167" s="18"/>
      <c r="J1167" s="24" t="str">
        <f aca="true">IF(ISBLANK(H1167), "", I1167-TODAY())</f>
        <v/>
      </c>
      <c r="K1167" s="24" t="str">
        <f aca="false" t="array" ref="K1167:K1167">IF(A1167&lt;&gt;"",IF(COUNTIF(A$996:A1168,"&lt;&gt;")=0,COUNTA(B$996:B1167),IFERROR(MATCH(TRUE(),INDEX((A$996:A1168&lt;&gt;""),0),0),COUNTA(B$996:B1167))),"")</f>
        <v/>
      </c>
      <c r="L1167" s="27"/>
    </row>
    <row r="1168" customFormat="false" ht="13.8" hidden="false" customHeight="false" outlineLevel="0" collapsed="false">
      <c r="A1168" s="16"/>
      <c r="B1168" s="16"/>
      <c r="C1168" s="26"/>
      <c r="D1168" s="26"/>
      <c r="E1168" s="16"/>
      <c r="F1168" s="18"/>
      <c r="G1168" s="19" t="str">
        <f aca="true">IF(F1168="", "", DATEDIF(F1168, TODAY(), "Y"))</f>
        <v/>
      </c>
      <c r="H1168" s="18"/>
      <c r="I1168" s="18"/>
      <c r="J1168" s="24" t="str">
        <f aca="true">IF(ISBLANK(H1168), "", I1168-TODAY())</f>
        <v/>
      </c>
      <c r="K1168" s="24" t="str">
        <f aca="false" t="array" ref="K1168:K1168">IF(A1168&lt;&gt;"",IF(COUNTIF(A$996:A1169,"&lt;&gt;")=0,COUNTA(B$996:B1168),IFERROR(MATCH(TRUE(),INDEX((A$996:A1169&lt;&gt;""),0),0),COUNTA(B$996:B1168))),"")</f>
        <v/>
      </c>
      <c r="L1168" s="27"/>
    </row>
    <row r="1169" customFormat="false" ht="13.8" hidden="false" customHeight="false" outlineLevel="0" collapsed="false">
      <c r="A1169" s="16"/>
      <c r="B1169" s="16"/>
      <c r="C1169" s="26"/>
      <c r="D1169" s="26"/>
      <c r="E1169" s="16"/>
      <c r="F1169" s="18"/>
      <c r="G1169" s="19" t="str">
        <f aca="true">IF(F1169="", "", DATEDIF(F1169, TODAY(), "Y"))</f>
        <v/>
      </c>
      <c r="H1169" s="18"/>
      <c r="I1169" s="18"/>
      <c r="J1169" s="24" t="str">
        <f aca="true">IF(ISBLANK(H1169), "", I1169-TODAY())</f>
        <v/>
      </c>
      <c r="K1169" s="24" t="str">
        <f aca="false" t="array" ref="K1169:K1169">IF(A1169&lt;&gt;"",IF(COUNTIF(A$996:A1170,"&lt;&gt;")=0,COUNTA(B$996:B1169),IFERROR(MATCH(TRUE(),INDEX((A$996:A1170&lt;&gt;""),0),0),COUNTA(B$996:B1169))),"")</f>
        <v/>
      </c>
      <c r="L1169" s="27"/>
    </row>
    <row r="1170" customFormat="false" ht="13.8" hidden="false" customHeight="false" outlineLevel="0" collapsed="false">
      <c r="A1170" s="16"/>
      <c r="B1170" s="16"/>
      <c r="C1170" s="26"/>
      <c r="D1170" s="26"/>
      <c r="E1170" s="16"/>
      <c r="F1170" s="18"/>
      <c r="G1170" s="19" t="str">
        <f aca="true">IF(F1170="", "", DATEDIF(F1170, TODAY(), "Y"))</f>
        <v/>
      </c>
      <c r="H1170" s="18"/>
      <c r="I1170" s="18"/>
      <c r="J1170" s="24" t="str">
        <f aca="true">IF(ISBLANK(H1170), "", I1170-TODAY())</f>
        <v/>
      </c>
      <c r="K1170" s="24" t="str">
        <f aca="false" t="array" ref="K1170:K1170">IF(A1170&lt;&gt;"",IF(COUNTIF(A$996:A1171,"&lt;&gt;")=0,COUNTA(B$996:B1170),IFERROR(MATCH(TRUE(),INDEX((A$996:A1171&lt;&gt;""),0),0),COUNTA(B$996:B1170))),"")</f>
        <v/>
      </c>
      <c r="L1170" s="27"/>
    </row>
    <row r="1171" customFormat="false" ht="13.8" hidden="false" customHeight="false" outlineLevel="0" collapsed="false">
      <c r="A1171" s="16"/>
      <c r="B1171" s="16"/>
      <c r="C1171" s="26"/>
      <c r="D1171" s="26"/>
      <c r="E1171" s="16"/>
      <c r="F1171" s="18"/>
      <c r="G1171" s="19" t="str">
        <f aca="true">IF(F1171="", "", DATEDIF(F1171, TODAY(), "Y"))</f>
        <v/>
      </c>
      <c r="H1171" s="18"/>
      <c r="I1171" s="18"/>
      <c r="J1171" s="24" t="str">
        <f aca="true">IF(ISBLANK(H1171), "", I1171-TODAY())</f>
        <v/>
      </c>
      <c r="K1171" s="24" t="str">
        <f aca="false" t="array" ref="K1171:K1171">IF(A1171&lt;&gt;"",IF(COUNTIF(A$996:A1172,"&lt;&gt;")=0,COUNTA(B$996:B1171),IFERROR(MATCH(TRUE(),INDEX((A$996:A1172&lt;&gt;""),0),0),COUNTA(B$996:B1171))),"")</f>
        <v/>
      </c>
      <c r="L1171" s="27"/>
    </row>
    <row r="1172" customFormat="false" ht="13.8" hidden="false" customHeight="false" outlineLevel="0" collapsed="false">
      <c r="A1172" s="16"/>
      <c r="B1172" s="16"/>
      <c r="C1172" s="26"/>
      <c r="D1172" s="26"/>
      <c r="E1172" s="16"/>
      <c r="F1172" s="18"/>
      <c r="G1172" s="19" t="str">
        <f aca="true">IF(F1172="", "", DATEDIF(F1172, TODAY(), "Y"))</f>
        <v/>
      </c>
      <c r="H1172" s="18"/>
      <c r="I1172" s="18"/>
      <c r="J1172" s="24" t="str">
        <f aca="true">IF(ISBLANK(H1172), "", I1172-TODAY())</f>
        <v/>
      </c>
      <c r="K1172" s="24" t="str">
        <f aca="false" t="array" ref="K1172:K1172">IF(A1172&lt;&gt;"",IF(COUNTIF(A$996:A1173,"&lt;&gt;")=0,COUNTA(B$996:B1172),IFERROR(MATCH(TRUE(),INDEX((A$996:A1173&lt;&gt;""),0),0),COUNTA(B$996:B1172))),"")</f>
        <v/>
      </c>
      <c r="L1172" s="27"/>
    </row>
    <row r="1173" customFormat="false" ht="13.8" hidden="false" customHeight="false" outlineLevel="0" collapsed="false">
      <c r="A1173" s="16"/>
      <c r="B1173" s="16"/>
      <c r="C1173" s="26"/>
      <c r="D1173" s="26"/>
      <c r="E1173" s="16"/>
      <c r="F1173" s="18"/>
      <c r="G1173" s="19" t="str">
        <f aca="true">IF(F1173="", "", DATEDIF(F1173, TODAY(), "Y"))</f>
        <v/>
      </c>
      <c r="H1173" s="18"/>
      <c r="I1173" s="18"/>
      <c r="J1173" s="24" t="str">
        <f aca="true">IF(ISBLANK(H1173), "", I1173-TODAY())</f>
        <v/>
      </c>
      <c r="K1173" s="24" t="str">
        <f aca="false" t="array" ref="K1173:K1173">IF(A1173&lt;&gt;"",IF(COUNTIF(A$996:A1174,"&lt;&gt;")=0,COUNTA(B$996:B1173),IFERROR(MATCH(TRUE(),INDEX((A$996:A1174&lt;&gt;""),0),0),COUNTA(B$996:B1173))),"")</f>
        <v/>
      </c>
      <c r="L1173" s="27"/>
    </row>
    <row r="1174" customFormat="false" ht="13.8" hidden="false" customHeight="false" outlineLevel="0" collapsed="false">
      <c r="A1174" s="16"/>
      <c r="B1174" s="16"/>
      <c r="C1174" s="26"/>
      <c r="D1174" s="26"/>
      <c r="E1174" s="16"/>
      <c r="F1174" s="18"/>
      <c r="G1174" s="19" t="str">
        <f aca="true">IF(F1174="", "", DATEDIF(F1174, TODAY(), "Y"))</f>
        <v/>
      </c>
      <c r="H1174" s="18"/>
      <c r="I1174" s="18"/>
      <c r="J1174" s="24" t="str">
        <f aca="true">IF(ISBLANK(H1174), "", I1174-TODAY())</f>
        <v/>
      </c>
      <c r="K1174" s="24" t="str">
        <f aca="false" t="array" ref="K1174:K1174">IF(A1174&lt;&gt;"",IF(COUNTIF(A$996:A1175,"&lt;&gt;")=0,COUNTA(B$996:B1174),IFERROR(MATCH(TRUE(),INDEX((A$996:A1175&lt;&gt;""),0),0),COUNTA(B$996:B1174))),"")</f>
        <v/>
      </c>
      <c r="L1174" s="27"/>
    </row>
    <row r="1175" customFormat="false" ht="13.8" hidden="false" customHeight="false" outlineLevel="0" collapsed="false">
      <c r="A1175" s="16"/>
      <c r="B1175" s="16"/>
      <c r="C1175" s="26"/>
      <c r="D1175" s="26"/>
      <c r="E1175" s="16"/>
      <c r="F1175" s="18"/>
      <c r="G1175" s="19" t="str">
        <f aca="true">IF(F1175="", "", DATEDIF(F1175, TODAY(), "Y"))</f>
        <v/>
      </c>
      <c r="H1175" s="18"/>
      <c r="I1175" s="18"/>
      <c r="J1175" s="24" t="str">
        <f aca="true">IF(ISBLANK(H1175), "", I1175-TODAY())</f>
        <v/>
      </c>
      <c r="K1175" s="24" t="str">
        <f aca="false" t="array" ref="K1175:K1175">IF(A1175&lt;&gt;"",IF(COUNTIF(A$996:A1176,"&lt;&gt;")=0,COUNTA(B$996:B1175),IFERROR(MATCH(TRUE(),INDEX((A$996:A1176&lt;&gt;""),0),0),COUNTA(B$996:B1175))),"")</f>
        <v/>
      </c>
      <c r="L1175" s="27"/>
    </row>
    <row r="1176" customFormat="false" ht="13.8" hidden="false" customHeight="false" outlineLevel="0" collapsed="false">
      <c r="A1176" s="16"/>
      <c r="B1176" s="16"/>
      <c r="C1176" s="26"/>
      <c r="D1176" s="26"/>
      <c r="E1176" s="16"/>
      <c r="F1176" s="18"/>
      <c r="G1176" s="19" t="str">
        <f aca="true">IF(F1176="", "", DATEDIF(F1176, TODAY(), "Y"))</f>
        <v/>
      </c>
      <c r="H1176" s="18"/>
      <c r="I1176" s="18"/>
      <c r="J1176" s="24" t="str">
        <f aca="true">IF(ISBLANK(H1176), "", I1176-TODAY())</f>
        <v/>
      </c>
      <c r="K1176" s="24" t="str">
        <f aca="false" t="array" ref="K1176:K1176">IF(A1176&lt;&gt;"",IF(COUNTIF(A$996:A1177,"&lt;&gt;")=0,COUNTA(B$996:B1176),IFERROR(MATCH(TRUE(),INDEX((A$996:A1177&lt;&gt;""),0),0),COUNTA(B$996:B1176))),"")</f>
        <v/>
      </c>
      <c r="L1176" s="27"/>
    </row>
    <row r="1177" customFormat="false" ht="13.8" hidden="false" customHeight="false" outlineLevel="0" collapsed="false">
      <c r="A1177" s="16"/>
      <c r="B1177" s="16"/>
      <c r="C1177" s="26"/>
      <c r="D1177" s="26"/>
      <c r="E1177" s="16"/>
      <c r="F1177" s="18"/>
      <c r="G1177" s="19" t="str">
        <f aca="true">IF(F1177="", "", DATEDIF(F1177, TODAY(), "Y"))</f>
        <v/>
      </c>
      <c r="H1177" s="18"/>
      <c r="I1177" s="18"/>
      <c r="J1177" s="24" t="str">
        <f aca="true">IF(ISBLANK(H1177), "", I1177-TODAY())</f>
        <v/>
      </c>
      <c r="K1177" s="24" t="str">
        <f aca="false" t="array" ref="K1177:K1177">IF(A1177&lt;&gt;"",IF(COUNTIF(A$996:A1178,"&lt;&gt;")=0,COUNTA(B$996:B1177),IFERROR(MATCH(TRUE(),INDEX((A$996:A1178&lt;&gt;""),0),0),COUNTA(B$996:B1177))),"")</f>
        <v/>
      </c>
      <c r="L1177" s="27"/>
    </row>
    <row r="1178" customFormat="false" ht="13.8" hidden="false" customHeight="false" outlineLevel="0" collapsed="false">
      <c r="A1178" s="16"/>
      <c r="B1178" s="16"/>
      <c r="C1178" s="26"/>
      <c r="D1178" s="26"/>
      <c r="E1178" s="16"/>
      <c r="F1178" s="18"/>
      <c r="G1178" s="19" t="str">
        <f aca="true">IF(F1178="", "", DATEDIF(F1178, TODAY(), "Y"))</f>
        <v/>
      </c>
      <c r="H1178" s="18"/>
      <c r="I1178" s="18"/>
      <c r="J1178" s="24" t="str">
        <f aca="true">IF(ISBLANK(H1178), "", I1178-TODAY())</f>
        <v/>
      </c>
      <c r="K1178" s="24" t="str">
        <f aca="false" t="array" ref="K1178:K1178">IF(A1178&lt;&gt;"",IF(COUNTIF(A$996:A1179,"&lt;&gt;")=0,COUNTA(B$996:B1178),IFERROR(MATCH(TRUE(),INDEX((A$996:A1179&lt;&gt;""),0),0),COUNTA(B$996:B1178))),"")</f>
        <v/>
      </c>
      <c r="L1178" s="27"/>
    </row>
    <row r="1179" customFormat="false" ht="13.8" hidden="false" customHeight="false" outlineLevel="0" collapsed="false">
      <c r="A1179" s="16"/>
      <c r="B1179" s="16"/>
      <c r="C1179" s="26"/>
      <c r="D1179" s="26"/>
      <c r="E1179" s="16"/>
      <c r="F1179" s="18"/>
      <c r="G1179" s="19" t="str">
        <f aca="true">IF(F1179="", "", DATEDIF(F1179, TODAY(), "Y"))</f>
        <v/>
      </c>
      <c r="H1179" s="18"/>
      <c r="I1179" s="18"/>
      <c r="J1179" s="24" t="str">
        <f aca="true">IF(ISBLANK(H1179), "", I1179-TODAY())</f>
        <v/>
      </c>
      <c r="K1179" s="24" t="str">
        <f aca="false" t="array" ref="K1179:K1179">IF(A1179&lt;&gt;"",IF(COUNTIF(A$996:A1180,"&lt;&gt;")=0,COUNTA(B$996:B1179),IFERROR(MATCH(TRUE(),INDEX((A$996:A1180&lt;&gt;""),0),0),COUNTA(B$996:B1179))),"")</f>
        <v/>
      </c>
      <c r="L1179" s="27"/>
    </row>
    <row r="1180" customFormat="false" ht="13.8" hidden="false" customHeight="false" outlineLevel="0" collapsed="false">
      <c r="A1180" s="16"/>
      <c r="B1180" s="16"/>
      <c r="C1180" s="26"/>
      <c r="D1180" s="26"/>
      <c r="E1180" s="16"/>
      <c r="F1180" s="18"/>
      <c r="G1180" s="19" t="str">
        <f aca="true">IF(F1180="", "", DATEDIF(F1180, TODAY(), "Y"))</f>
        <v/>
      </c>
      <c r="H1180" s="18"/>
      <c r="I1180" s="18"/>
      <c r="J1180" s="24" t="str">
        <f aca="true">IF(ISBLANK(H1180), "", I1180-TODAY())</f>
        <v/>
      </c>
      <c r="K1180" s="24" t="str">
        <f aca="false" t="array" ref="K1180:K1180">IF(A1180&lt;&gt;"",IF(COUNTIF(A$996:A1181,"&lt;&gt;")=0,COUNTA(B$996:B1180),IFERROR(MATCH(TRUE(),INDEX((A$996:A1181&lt;&gt;""),0),0),COUNTA(B$996:B1180))),"")</f>
        <v/>
      </c>
      <c r="L1180" s="27"/>
    </row>
    <row r="1181" customFormat="false" ht="13.8" hidden="false" customHeight="false" outlineLevel="0" collapsed="false">
      <c r="A1181" s="16"/>
      <c r="B1181" s="16"/>
      <c r="C1181" s="26"/>
      <c r="D1181" s="26"/>
      <c r="E1181" s="16"/>
      <c r="F1181" s="18"/>
      <c r="G1181" s="19" t="str">
        <f aca="true">IF(F1181="", "", DATEDIF(F1181, TODAY(), "Y"))</f>
        <v/>
      </c>
      <c r="H1181" s="18"/>
      <c r="I1181" s="18"/>
      <c r="J1181" s="24" t="str">
        <f aca="true">IF(ISBLANK(H1181), "", I1181-TODAY())</f>
        <v/>
      </c>
      <c r="K1181" s="24" t="str">
        <f aca="false" t="array" ref="K1181:K1181">IF(A1181&lt;&gt;"",IF(COUNTIF(A$996:A1182,"&lt;&gt;")=0,COUNTA(B$996:B1181),IFERROR(MATCH(TRUE(),INDEX((A$996:A1182&lt;&gt;""),0),0),COUNTA(B$996:B1181))),"")</f>
        <v/>
      </c>
      <c r="L1181" s="27"/>
    </row>
    <row r="1182" customFormat="false" ht="13.8" hidden="false" customHeight="false" outlineLevel="0" collapsed="false">
      <c r="A1182" s="16"/>
      <c r="B1182" s="16"/>
      <c r="C1182" s="26"/>
      <c r="D1182" s="26"/>
      <c r="E1182" s="16"/>
      <c r="F1182" s="18"/>
      <c r="G1182" s="19" t="str">
        <f aca="true">IF(F1182="", "", DATEDIF(F1182, TODAY(), "Y"))</f>
        <v/>
      </c>
      <c r="H1182" s="18"/>
      <c r="I1182" s="18"/>
      <c r="J1182" s="24" t="str">
        <f aca="true">IF(ISBLANK(H1182), "", I1182-TODAY())</f>
        <v/>
      </c>
      <c r="K1182" s="24" t="str">
        <f aca="false" t="array" ref="K1182:K1182">IF(A1182&lt;&gt;"",IF(COUNTIF(A$996:A1183,"&lt;&gt;")=0,COUNTA(B$996:B1182),IFERROR(MATCH(TRUE(),INDEX((A$996:A1183&lt;&gt;""),0),0),COUNTA(B$996:B1182))),"")</f>
        <v/>
      </c>
      <c r="L1182" s="27"/>
    </row>
    <row r="1183" customFormat="false" ht="13.8" hidden="false" customHeight="false" outlineLevel="0" collapsed="false">
      <c r="A1183" s="16"/>
      <c r="B1183" s="16"/>
      <c r="C1183" s="26"/>
      <c r="D1183" s="26"/>
      <c r="E1183" s="16"/>
      <c r="F1183" s="18"/>
      <c r="G1183" s="19" t="str">
        <f aca="true">IF(F1183="", "", DATEDIF(F1183, TODAY(), "Y"))</f>
        <v/>
      </c>
      <c r="H1183" s="18"/>
      <c r="I1183" s="18"/>
      <c r="J1183" s="24" t="str">
        <f aca="true">IF(ISBLANK(H1183), "", I1183-TODAY())</f>
        <v/>
      </c>
      <c r="K1183" s="24" t="str">
        <f aca="false" t="array" ref="K1183:K1183">IF(A1183&lt;&gt;"",IF(COUNTIF(A$996:A1184,"&lt;&gt;")=0,COUNTA(B$996:B1183),IFERROR(MATCH(TRUE(),INDEX((A$996:A1184&lt;&gt;""),0),0),COUNTA(B$996:B1183))),"")</f>
        <v/>
      </c>
      <c r="L1183" s="27"/>
    </row>
    <row r="1184" customFormat="false" ht="13.8" hidden="false" customHeight="false" outlineLevel="0" collapsed="false">
      <c r="A1184" s="16"/>
      <c r="B1184" s="16"/>
      <c r="C1184" s="26"/>
      <c r="D1184" s="26"/>
      <c r="E1184" s="16"/>
      <c r="F1184" s="18"/>
      <c r="G1184" s="19" t="str">
        <f aca="true">IF(F1184="", "", DATEDIF(F1184, TODAY(), "Y"))</f>
        <v/>
      </c>
      <c r="H1184" s="18"/>
      <c r="I1184" s="18"/>
      <c r="J1184" s="24" t="str">
        <f aca="true">IF(ISBLANK(H1184), "", I1184-TODAY())</f>
        <v/>
      </c>
      <c r="K1184" s="24" t="str">
        <f aca="false" t="array" ref="K1184:K1184">IF(A1184&lt;&gt;"",IF(COUNTIF(A$996:A1185,"&lt;&gt;")=0,COUNTA(B$996:B1184),IFERROR(MATCH(TRUE(),INDEX((A$996:A1185&lt;&gt;""),0),0),COUNTA(B$996:B1184))),"")</f>
        <v/>
      </c>
      <c r="L1184" s="27"/>
    </row>
    <row r="1185" customFormat="false" ht="13.8" hidden="false" customHeight="false" outlineLevel="0" collapsed="false">
      <c r="A1185" s="16"/>
      <c r="B1185" s="16"/>
      <c r="C1185" s="26"/>
      <c r="D1185" s="26"/>
      <c r="E1185" s="16"/>
      <c r="F1185" s="18"/>
      <c r="G1185" s="19" t="str">
        <f aca="true">IF(F1185="", "", DATEDIF(F1185, TODAY(), "Y"))</f>
        <v/>
      </c>
      <c r="H1185" s="18"/>
      <c r="I1185" s="18"/>
      <c r="J1185" s="24" t="str">
        <f aca="true">IF(ISBLANK(H1185), "", I1185-TODAY())</f>
        <v/>
      </c>
      <c r="K1185" s="24" t="str">
        <f aca="false" t="array" ref="K1185:K1185">IF(A1185&lt;&gt;"",IF(COUNTIF(A$996:A1186,"&lt;&gt;")=0,COUNTA(B$996:B1185),IFERROR(MATCH(TRUE(),INDEX((A$996:A1186&lt;&gt;""),0),0),COUNTA(B$996:B1185))),"")</f>
        <v/>
      </c>
      <c r="L1185" s="27"/>
    </row>
    <row r="1186" customFormat="false" ht="13.8" hidden="false" customHeight="false" outlineLevel="0" collapsed="false">
      <c r="A1186" s="16"/>
      <c r="B1186" s="16"/>
      <c r="C1186" s="26"/>
      <c r="D1186" s="26"/>
      <c r="E1186" s="16"/>
      <c r="F1186" s="18"/>
      <c r="G1186" s="19" t="str">
        <f aca="true">IF(F1186="", "", DATEDIF(F1186, TODAY(), "Y"))</f>
        <v/>
      </c>
      <c r="H1186" s="18"/>
      <c r="I1186" s="18"/>
      <c r="J1186" s="24" t="str">
        <f aca="true">IF(ISBLANK(H1186), "", I1186-TODAY())</f>
        <v/>
      </c>
      <c r="K1186" s="24" t="str">
        <f aca="false" t="array" ref="K1186:K1186">IF(A1186&lt;&gt;"",IF(COUNTIF(A$996:A1187,"&lt;&gt;")=0,COUNTA(B$996:B1186),IFERROR(MATCH(TRUE(),INDEX((A$996:A1187&lt;&gt;""),0),0),COUNTA(B$996:B1186))),"")</f>
        <v/>
      </c>
      <c r="L1186" s="27"/>
    </row>
    <row r="1187" customFormat="false" ht="13.8" hidden="false" customHeight="false" outlineLevel="0" collapsed="false">
      <c r="A1187" s="16"/>
      <c r="B1187" s="16"/>
      <c r="C1187" s="26"/>
      <c r="D1187" s="26"/>
      <c r="E1187" s="16"/>
      <c r="F1187" s="18"/>
      <c r="G1187" s="19" t="str">
        <f aca="true">IF(F1187="", "", DATEDIF(F1187, TODAY(), "Y"))</f>
        <v/>
      </c>
      <c r="H1187" s="18"/>
      <c r="I1187" s="18"/>
      <c r="J1187" s="24" t="str">
        <f aca="true">IF(ISBLANK(H1187), "", I1187-TODAY())</f>
        <v/>
      </c>
      <c r="K1187" s="24" t="str">
        <f aca="false" t="array" ref="K1187:K1187">IF(A1187&lt;&gt;"",IF(COUNTIF(A$996:A1188,"&lt;&gt;")=0,COUNTA(B$996:B1187),IFERROR(MATCH(TRUE(),INDEX((A$996:A1188&lt;&gt;""),0),0),COUNTA(B$996:B1187))),"")</f>
        <v/>
      </c>
      <c r="L1187" s="27"/>
    </row>
    <row r="1188" customFormat="false" ht="13.8" hidden="false" customHeight="false" outlineLevel="0" collapsed="false">
      <c r="A1188" s="16"/>
      <c r="B1188" s="16"/>
      <c r="C1188" s="26"/>
      <c r="D1188" s="26"/>
      <c r="E1188" s="16"/>
      <c r="F1188" s="18"/>
      <c r="G1188" s="19" t="str">
        <f aca="true">IF(F1188="", "", DATEDIF(F1188, TODAY(), "Y"))</f>
        <v/>
      </c>
      <c r="H1188" s="18"/>
      <c r="I1188" s="18"/>
      <c r="J1188" s="24" t="str">
        <f aca="true">IF(ISBLANK(H1188), "", I1188-TODAY())</f>
        <v/>
      </c>
      <c r="K1188" s="24" t="str">
        <f aca="false" t="array" ref="K1188:K1188">IF(A1188&lt;&gt;"",IF(COUNTIF(A$996:A1189,"&lt;&gt;")=0,COUNTA(B$996:B1188),IFERROR(MATCH(TRUE(),INDEX((A$996:A1189&lt;&gt;""),0),0),COUNTA(B$996:B1188))),"")</f>
        <v/>
      </c>
      <c r="L1188" s="27"/>
    </row>
    <row r="1189" customFormat="false" ht="13.8" hidden="false" customHeight="false" outlineLevel="0" collapsed="false">
      <c r="A1189" s="16"/>
      <c r="B1189" s="16"/>
      <c r="C1189" s="26"/>
      <c r="D1189" s="26"/>
      <c r="E1189" s="16"/>
      <c r="F1189" s="18"/>
      <c r="G1189" s="19" t="str">
        <f aca="true">IF(F1189="", "", DATEDIF(F1189, TODAY(), "Y"))</f>
        <v/>
      </c>
      <c r="H1189" s="18"/>
      <c r="I1189" s="18"/>
      <c r="J1189" s="24" t="str">
        <f aca="true">IF(ISBLANK(H1189), "", I1189-TODAY())</f>
        <v/>
      </c>
      <c r="K1189" s="24" t="str">
        <f aca="false" t="array" ref="K1189:K1189">IF(A1189&lt;&gt;"",IF(COUNTIF(A$996:A1190,"&lt;&gt;")=0,COUNTA(B$996:B1189),IFERROR(MATCH(TRUE(),INDEX((A$996:A1190&lt;&gt;""),0),0),COUNTA(B$996:B1189))),"")</f>
        <v/>
      </c>
      <c r="L1189" s="27"/>
    </row>
    <row r="1190" customFormat="false" ht="13.8" hidden="false" customHeight="false" outlineLevel="0" collapsed="false">
      <c r="A1190" s="16"/>
      <c r="B1190" s="16"/>
      <c r="C1190" s="26"/>
      <c r="D1190" s="26"/>
      <c r="E1190" s="16"/>
      <c r="F1190" s="18"/>
      <c r="G1190" s="19" t="str">
        <f aca="true">IF(F1190="", "", DATEDIF(F1190, TODAY(), "Y"))</f>
        <v/>
      </c>
      <c r="H1190" s="18"/>
      <c r="I1190" s="18"/>
      <c r="J1190" s="24" t="str">
        <f aca="true">IF(ISBLANK(H1190), "", I1190-TODAY())</f>
        <v/>
      </c>
      <c r="K1190" s="24" t="str">
        <f aca="false" t="array" ref="K1190:K1190">IF(A1190&lt;&gt;"",IF(COUNTIF(A$996:A1191,"&lt;&gt;")=0,COUNTA(B$996:B1190),IFERROR(MATCH(TRUE(),INDEX((A$996:A1191&lt;&gt;""),0),0),COUNTA(B$996:B1190))),"")</f>
        <v/>
      </c>
      <c r="L1190" s="27"/>
    </row>
    <row r="1191" customFormat="false" ht="13.8" hidden="false" customHeight="false" outlineLevel="0" collapsed="false">
      <c r="A1191" s="16"/>
      <c r="B1191" s="16"/>
      <c r="C1191" s="26"/>
      <c r="D1191" s="26"/>
      <c r="E1191" s="16"/>
      <c r="F1191" s="18"/>
      <c r="G1191" s="19" t="str">
        <f aca="true">IF(F1191="", "", DATEDIF(F1191, TODAY(), "Y"))</f>
        <v/>
      </c>
      <c r="H1191" s="18"/>
      <c r="I1191" s="18"/>
      <c r="J1191" s="24" t="str">
        <f aca="true">IF(ISBLANK(H1191), "", I1191-TODAY())</f>
        <v/>
      </c>
      <c r="K1191" s="24" t="str">
        <f aca="false" t="array" ref="K1191:K1191">IF(A1191&lt;&gt;"",IF(COUNTIF(A$996:A1192,"&lt;&gt;")=0,COUNTA(B$996:B1191),IFERROR(MATCH(TRUE(),INDEX((A$996:A1192&lt;&gt;""),0),0),COUNTA(B$996:B1191))),"")</f>
        <v/>
      </c>
      <c r="L1191" s="27"/>
    </row>
    <row r="1192" customFormat="false" ht="13.8" hidden="false" customHeight="false" outlineLevel="0" collapsed="false">
      <c r="A1192" s="16"/>
      <c r="B1192" s="16"/>
      <c r="C1192" s="26"/>
      <c r="D1192" s="26"/>
      <c r="E1192" s="16"/>
      <c r="F1192" s="18"/>
      <c r="G1192" s="19" t="str">
        <f aca="true">IF(F1192="", "", DATEDIF(F1192, TODAY(), "Y"))</f>
        <v/>
      </c>
      <c r="H1192" s="18"/>
      <c r="I1192" s="18"/>
      <c r="J1192" s="24" t="str">
        <f aca="true">IF(ISBLANK(H1192), "", I1192-TODAY())</f>
        <v/>
      </c>
      <c r="K1192" s="24" t="str">
        <f aca="false" t="array" ref="K1192:K1192">IF(A1192&lt;&gt;"",IF(COUNTIF(A$996:A1193,"&lt;&gt;")=0,COUNTA(B$996:B1192),IFERROR(MATCH(TRUE(),INDEX((A$996:A1193&lt;&gt;""),0),0),COUNTA(B$996:B1192))),"")</f>
        <v/>
      </c>
      <c r="L1192" s="27"/>
    </row>
    <row r="1193" customFormat="false" ht="13.8" hidden="false" customHeight="false" outlineLevel="0" collapsed="false">
      <c r="A1193" s="16"/>
      <c r="B1193" s="16"/>
      <c r="C1193" s="26"/>
      <c r="D1193" s="26"/>
      <c r="E1193" s="16"/>
      <c r="F1193" s="18"/>
      <c r="G1193" s="19" t="str">
        <f aca="true">IF(F1193="", "", DATEDIF(F1193, TODAY(), "Y"))</f>
        <v/>
      </c>
      <c r="H1193" s="18"/>
      <c r="I1193" s="18"/>
      <c r="J1193" s="24" t="str">
        <f aca="true">IF(ISBLANK(H1193), "", I1193-TODAY())</f>
        <v/>
      </c>
      <c r="K1193" s="24" t="str">
        <f aca="false" t="array" ref="K1193:K1193">IF(A1193&lt;&gt;"",IF(COUNTIF(A$996:A1194,"&lt;&gt;")=0,COUNTA(B$996:B1193),IFERROR(MATCH(TRUE(),INDEX((A$996:A1194&lt;&gt;""),0),0),COUNTA(B$996:B1193))),"")</f>
        <v/>
      </c>
      <c r="L1193" s="27"/>
    </row>
    <row r="1194" customFormat="false" ht="13.8" hidden="false" customHeight="false" outlineLevel="0" collapsed="false">
      <c r="A1194" s="16"/>
      <c r="B1194" s="16"/>
      <c r="C1194" s="26"/>
      <c r="D1194" s="26"/>
      <c r="E1194" s="16"/>
      <c r="F1194" s="18"/>
      <c r="G1194" s="19" t="str">
        <f aca="true">IF(F1194="", "", DATEDIF(F1194, TODAY(), "Y"))</f>
        <v/>
      </c>
      <c r="H1194" s="18"/>
      <c r="I1194" s="18"/>
      <c r="J1194" s="24" t="str">
        <f aca="true">IF(ISBLANK(H1194), "", I1194-TODAY())</f>
        <v/>
      </c>
      <c r="K1194" s="24" t="str">
        <f aca="false" t="array" ref="K1194:K1194">IF(A1194&lt;&gt;"",IF(COUNTIF(A$996:A1195,"&lt;&gt;")=0,COUNTA(B$996:B1194),IFERROR(MATCH(TRUE(),INDEX((A$996:A1195&lt;&gt;""),0),0),COUNTA(B$996:B1194))),"")</f>
        <v/>
      </c>
      <c r="L1194" s="27"/>
    </row>
    <row r="1195" customFormat="false" ht="13.8" hidden="false" customHeight="false" outlineLevel="0" collapsed="false">
      <c r="A1195" s="16"/>
      <c r="B1195" s="16"/>
      <c r="C1195" s="26"/>
      <c r="D1195" s="26"/>
      <c r="E1195" s="16"/>
      <c r="F1195" s="18"/>
      <c r="G1195" s="19" t="str">
        <f aca="true">IF(F1195="", "", DATEDIF(F1195, TODAY(), "Y"))</f>
        <v/>
      </c>
      <c r="H1195" s="18"/>
      <c r="I1195" s="18"/>
      <c r="J1195" s="24" t="str">
        <f aca="true">IF(ISBLANK(H1195), "", I1195-TODAY())</f>
        <v/>
      </c>
      <c r="K1195" s="24" t="str">
        <f aca="false" t="array" ref="K1195:K1195">IF(A1195&lt;&gt;"",IF(COUNTIF(A$996:A1196,"&lt;&gt;")=0,COUNTA(B$996:B1195),IFERROR(MATCH(TRUE(),INDEX((A$996:A1196&lt;&gt;""),0),0),COUNTA(B$996:B1195))),"")</f>
        <v/>
      </c>
      <c r="L1195" s="27"/>
    </row>
    <row r="1196" customFormat="false" ht="13.8" hidden="false" customHeight="false" outlineLevel="0" collapsed="false">
      <c r="A1196" s="16"/>
      <c r="B1196" s="16"/>
      <c r="C1196" s="26"/>
      <c r="D1196" s="26"/>
      <c r="E1196" s="16"/>
      <c r="F1196" s="18"/>
      <c r="G1196" s="19" t="str">
        <f aca="true">IF(F1196="", "", DATEDIF(F1196, TODAY(), "Y"))</f>
        <v/>
      </c>
      <c r="H1196" s="18"/>
      <c r="I1196" s="18"/>
      <c r="J1196" s="24" t="str">
        <f aca="true">IF(ISBLANK(H1196), "", I1196-TODAY())</f>
        <v/>
      </c>
      <c r="K1196" s="24" t="str">
        <f aca="false" t="array" ref="K1196:K1196">IF(A1196&lt;&gt;"",IF(COUNTIF(A$996:A1197,"&lt;&gt;")=0,COUNTA(B$996:B1196),IFERROR(MATCH(TRUE(),INDEX((A$996:A1197&lt;&gt;""),0),0),COUNTA(B$996:B1196))),"")</f>
        <v/>
      </c>
      <c r="L1196" s="27"/>
    </row>
    <row r="1197" customFormat="false" ht="13.8" hidden="false" customHeight="false" outlineLevel="0" collapsed="false">
      <c r="A1197" s="16"/>
      <c r="B1197" s="16"/>
      <c r="C1197" s="26"/>
      <c r="D1197" s="26"/>
      <c r="E1197" s="16"/>
      <c r="F1197" s="18"/>
      <c r="G1197" s="19" t="str">
        <f aca="true">IF(F1197="", "", DATEDIF(F1197, TODAY(), "Y"))</f>
        <v/>
      </c>
      <c r="H1197" s="18"/>
      <c r="I1197" s="18"/>
      <c r="J1197" s="24" t="str">
        <f aca="true">IF(ISBLANK(H1197), "", I1197-TODAY())</f>
        <v/>
      </c>
      <c r="K1197" s="24" t="str">
        <f aca="false" t="array" ref="K1197:K1197">IF(A1197&lt;&gt;"",IF(COUNTIF(A$996:A1198,"&lt;&gt;")=0,COUNTA(B$996:B1197),IFERROR(MATCH(TRUE(),INDEX((A$996:A1198&lt;&gt;""),0),0),COUNTA(B$996:B1197))),"")</f>
        <v/>
      </c>
      <c r="L1197" s="27"/>
    </row>
    <row r="1198" customFormat="false" ht="13.8" hidden="false" customHeight="false" outlineLevel="0" collapsed="false">
      <c r="A1198" s="16"/>
      <c r="B1198" s="16"/>
      <c r="C1198" s="26"/>
      <c r="D1198" s="26"/>
      <c r="E1198" s="16"/>
      <c r="F1198" s="18"/>
      <c r="G1198" s="19" t="str">
        <f aca="true">IF(F1198="", "", DATEDIF(F1198, TODAY(), "Y"))</f>
        <v/>
      </c>
      <c r="H1198" s="18"/>
      <c r="I1198" s="18"/>
      <c r="J1198" s="24" t="str">
        <f aca="true">IF(ISBLANK(H1198), "", I1198-TODAY())</f>
        <v/>
      </c>
      <c r="K1198" s="24" t="str">
        <f aca="false" t="array" ref="K1198:K1198">IF(A1198&lt;&gt;"",IF(COUNTIF(A$996:A1199,"&lt;&gt;")=0,COUNTA(B$996:B1198),IFERROR(MATCH(TRUE(),INDEX((A$996:A1199&lt;&gt;""),0),0),COUNTA(B$996:B1198))),"")</f>
        <v/>
      </c>
      <c r="L1198" s="27"/>
    </row>
    <row r="1199" customFormat="false" ht="13.8" hidden="false" customHeight="false" outlineLevel="0" collapsed="false">
      <c r="A1199" s="16"/>
      <c r="B1199" s="16"/>
      <c r="C1199" s="26"/>
      <c r="D1199" s="26"/>
      <c r="E1199" s="16"/>
      <c r="F1199" s="18"/>
      <c r="G1199" s="19" t="str">
        <f aca="true">IF(F1199="", "", DATEDIF(F1199, TODAY(), "Y"))</f>
        <v/>
      </c>
      <c r="H1199" s="18"/>
      <c r="I1199" s="18"/>
      <c r="J1199" s="24" t="str">
        <f aca="true">IF(ISBLANK(H1199), "", I1199-TODAY())</f>
        <v/>
      </c>
      <c r="K1199" s="24" t="str">
        <f aca="false" t="array" ref="K1199:K1199">IF(A1199&lt;&gt;"",IF(COUNTIF(A$996:A1200,"&lt;&gt;")=0,COUNTA(B$996:B1199),IFERROR(MATCH(TRUE(),INDEX((A$996:A1200&lt;&gt;""),0),0),COUNTA(B$996:B1199))),"")</f>
        <v/>
      </c>
      <c r="L1199" s="27"/>
    </row>
    <row r="1200" customFormat="false" ht="13.8" hidden="false" customHeight="false" outlineLevel="0" collapsed="false">
      <c r="A1200" s="16"/>
      <c r="B1200" s="16"/>
      <c r="C1200" s="26"/>
      <c r="D1200" s="26"/>
      <c r="E1200" s="16"/>
      <c r="F1200" s="18"/>
      <c r="G1200" s="19" t="str">
        <f aca="true">IF(F1200="", "", DATEDIF(F1200, TODAY(), "Y"))</f>
        <v/>
      </c>
      <c r="H1200" s="18"/>
      <c r="I1200" s="18"/>
      <c r="J1200" s="24" t="str">
        <f aca="true">IF(ISBLANK(H1200), "", I1200-TODAY())</f>
        <v/>
      </c>
      <c r="K1200" s="24" t="str">
        <f aca="false" t="array" ref="K1200:K1200">IF(A1200&lt;&gt;"",IF(COUNTIF(A$996:A1201,"&lt;&gt;")=0,COUNTA(B$996:B1200),IFERROR(MATCH(TRUE(),INDEX((A$996:A1201&lt;&gt;""),0),0),COUNTA(B$996:B1200))),"")</f>
        <v/>
      </c>
      <c r="L1200" s="27"/>
    </row>
    <row r="1201" customFormat="false" ht="13.8" hidden="false" customHeight="false" outlineLevel="0" collapsed="false">
      <c r="A1201" s="16"/>
      <c r="B1201" s="16"/>
      <c r="C1201" s="26"/>
      <c r="D1201" s="26"/>
      <c r="E1201" s="16"/>
      <c r="F1201" s="18"/>
      <c r="G1201" s="19" t="str">
        <f aca="true">IF(F1201="", "", DATEDIF(F1201, TODAY(), "Y"))</f>
        <v/>
      </c>
      <c r="H1201" s="18"/>
      <c r="I1201" s="18"/>
      <c r="J1201" s="24" t="str">
        <f aca="true">IF(ISBLANK(H1201), "", I1201-TODAY())</f>
        <v/>
      </c>
      <c r="K1201" s="24" t="str">
        <f aca="false" t="array" ref="K1201:K1201">IF(A1201&lt;&gt;"",IF(COUNTIF(A$996:A1202,"&lt;&gt;")=0,COUNTA(B$996:B1201),IFERROR(MATCH(TRUE(),INDEX((A$996:A1202&lt;&gt;""),0),0),COUNTA(B$996:B1201))),"")</f>
        <v/>
      </c>
      <c r="L1201" s="27"/>
    </row>
    <row r="1202" customFormat="false" ht="13.8" hidden="false" customHeight="false" outlineLevel="0" collapsed="false">
      <c r="A1202" s="16"/>
      <c r="B1202" s="16"/>
      <c r="C1202" s="26"/>
      <c r="D1202" s="26"/>
      <c r="E1202" s="16"/>
      <c r="F1202" s="18"/>
      <c r="G1202" s="19" t="str">
        <f aca="true">IF(F1202="", "", DATEDIF(F1202, TODAY(), "Y"))</f>
        <v/>
      </c>
      <c r="H1202" s="18"/>
      <c r="I1202" s="18"/>
      <c r="J1202" s="24" t="str">
        <f aca="true">IF(ISBLANK(H1202), "", I1202-TODAY())</f>
        <v/>
      </c>
      <c r="K1202" s="24" t="str">
        <f aca="false" t="array" ref="K1202:K1202">IF(A1202&lt;&gt;"",IF(COUNTIF(A$996:A1203,"&lt;&gt;")=0,COUNTA(B$996:B1202),IFERROR(MATCH(TRUE(),INDEX((A$996:A1203&lt;&gt;""),0),0),COUNTA(B$996:B1202))),"")</f>
        <v/>
      </c>
      <c r="L1202" s="27"/>
    </row>
    <row r="1203" customFormat="false" ht="13.8" hidden="false" customHeight="false" outlineLevel="0" collapsed="false">
      <c r="A1203" s="16"/>
      <c r="B1203" s="16"/>
      <c r="C1203" s="26"/>
      <c r="D1203" s="26"/>
      <c r="E1203" s="16"/>
      <c r="F1203" s="18"/>
      <c r="G1203" s="19" t="str">
        <f aca="true">IF(F1203="", "", DATEDIF(F1203, TODAY(), "Y"))</f>
        <v/>
      </c>
      <c r="H1203" s="18"/>
      <c r="I1203" s="18"/>
      <c r="J1203" s="24" t="str">
        <f aca="true">IF(ISBLANK(H1203), "", I1203-TODAY())</f>
        <v/>
      </c>
      <c r="K1203" s="24" t="str">
        <f aca="false" t="array" ref="K1203:K1203">IF(A1203&lt;&gt;"",IF(COUNTIF(A$996:A1204,"&lt;&gt;")=0,COUNTA(B$996:B1203),IFERROR(MATCH(TRUE(),INDEX((A$996:A1204&lt;&gt;""),0),0),COUNTA(B$996:B1203))),"")</f>
        <v/>
      </c>
      <c r="L1203" s="27"/>
    </row>
    <row r="1204" customFormat="false" ht="13.8" hidden="false" customHeight="false" outlineLevel="0" collapsed="false">
      <c r="A1204" s="16"/>
      <c r="B1204" s="16"/>
      <c r="C1204" s="26"/>
      <c r="D1204" s="26"/>
      <c r="E1204" s="16"/>
      <c r="F1204" s="18"/>
      <c r="G1204" s="19" t="str">
        <f aca="true">IF(F1204="", "", DATEDIF(F1204, TODAY(), "Y"))</f>
        <v/>
      </c>
      <c r="H1204" s="18"/>
      <c r="I1204" s="18"/>
      <c r="J1204" s="24" t="str">
        <f aca="true">IF(ISBLANK(H1204), "", I1204-TODAY())</f>
        <v/>
      </c>
      <c r="K1204" s="24" t="str">
        <f aca="false" t="array" ref="K1204:K1204">IF(A1204&lt;&gt;"",IF(COUNTIF(A$996:A1205,"&lt;&gt;")=0,COUNTA(B$996:B1204),IFERROR(MATCH(TRUE(),INDEX((A$996:A1205&lt;&gt;""),0),0),COUNTA(B$996:B1204))),"")</f>
        <v/>
      </c>
      <c r="L1204" s="27"/>
    </row>
    <row r="1205" customFormat="false" ht="13.8" hidden="false" customHeight="false" outlineLevel="0" collapsed="false">
      <c r="A1205" s="16"/>
      <c r="B1205" s="16"/>
      <c r="C1205" s="26"/>
      <c r="D1205" s="26"/>
      <c r="E1205" s="16"/>
      <c r="F1205" s="18"/>
      <c r="G1205" s="19" t="str">
        <f aca="true">IF(F1205="", "", DATEDIF(F1205, TODAY(), "Y"))</f>
        <v/>
      </c>
      <c r="H1205" s="18"/>
      <c r="I1205" s="18"/>
      <c r="J1205" s="24" t="str">
        <f aca="true">IF(ISBLANK(H1205), "", I1205-TODAY())</f>
        <v/>
      </c>
      <c r="K1205" s="24" t="str">
        <f aca="false" t="array" ref="K1205:K1205">IF(A1205&lt;&gt;"",IF(COUNTIF(A$996:A1206,"&lt;&gt;")=0,COUNTA(B$996:B1205),IFERROR(MATCH(TRUE(),INDEX((A$996:A1206&lt;&gt;""),0),0),COUNTA(B$996:B1205))),"")</f>
        <v/>
      </c>
      <c r="L1205" s="27"/>
    </row>
    <row r="1206" customFormat="false" ht="13.8" hidden="false" customHeight="false" outlineLevel="0" collapsed="false">
      <c r="A1206" s="16"/>
      <c r="B1206" s="16"/>
      <c r="C1206" s="26"/>
      <c r="D1206" s="26"/>
      <c r="E1206" s="16"/>
      <c r="F1206" s="18"/>
      <c r="G1206" s="19" t="str">
        <f aca="true">IF(F1206="", "", DATEDIF(F1206, TODAY(), "Y"))</f>
        <v/>
      </c>
      <c r="H1206" s="18"/>
      <c r="I1206" s="18"/>
      <c r="J1206" s="24" t="str">
        <f aca="true">IF(ISBLANK(H1206), "", I1206-TODAY())</f>
        <v/>
      </c>
      <c r="K1206" s="24" t="str">
        <f aca="false" t="array" ref="K1206:K1206">IF(A1206&lt;&gt;"",IF(COUNTIF(A$996:A1207,"&lt;&gt;")=0,COUNTA(B$996:B1206),IFERROR(MATCH(TRUE(),INDEX((A$996:A1207&lt;&gt;""),0),0),COUNTA(B$996:B1206))),"")</f>
        <v/>
      </c>
      <c r="L1206" s="27"/>
    </row>
    <row r="1207" customFormat="false" ht="13.8" hidden="false" customHeight="false" outlineLevel="0" collapsed="false">
      <c r="A1207" s="16"/>
      <c r="B1207" s="16"/>
      <c r="C1207" s="26"/>
      <c r="D1207" s="26"/>
      <c r="E1207" s="16"/>
      <c r="F1207" s="18"/>
      <c r="G1207" s="19" t="str">
        <f aca="true">IF(F1207="", "", DATEDIF(F1207, TODAY(), "Y"))</f>
        <v/>
      </c>
      <c r="H1207" s="18"/>
      <c r="I1207" s="18"/>
      <c r="J1207" s="24" t="str">
        <f aca="true">IF(ISBLANK(H1207), "", I1207-TODAY())</f>
        <v/>
      </c>
      <c r="K1207" s="24" t="str">
        <f aca="false" t="array" ref="K1207:K1207">IF(A1207&lt;&gt;"",IF(COUNTIF(A$996:A1208,"&lt;&gt;")=0,COUNTA(B$996:B1207),IFERROR(MATCH(TRUE(),INDEX((A$996:A1208&lt;&gt;""),0),0),COUNTA(B$996:B1207))),"")</f>
        <v/>
      </c>
      <c r="L1207" s="27"/>
    </row>
    <row r="1208" customFormat="false" ht="13.8" hidden="false" customHeight="false" outlineLevel="0" collapsed="false">
      <c r="A1208" s="16"/>
      <c r="B1208" s="16"/>
      <c r="C1208" s="26"/>
      <c r="D1208" s="26"/>
      <c r="E1208" s="16"/>
      <c r="F1208" s="18"/>
      <c r="G1208" s="19" t="str">
        <f aca="true">IF(F1208="", "", DATEDIF(F1208, TODAY(), "Y"))</f>
        <v/>
      </c>
      <c r="H1208" s="18"/>
      <c r="I1208" s="18"/>
      <c r="J1208" s="24" t="str">
        <f aca="true">IF(ISBLANK(H1208), "", I1208-TODAY())</f>
        <v/>
      </c>
      <c r="K1208" s="24" t="str">
        <f aca="false" t="array" ref="K1208:K1208">IF(A1208&lt;&gt;"",IF(COUNTIF(A$996:A1209,"&lt;&gt;")=0,COUNTA(B$996:B1208),IFERROR(MATCH(TRUE(),INDEX((A$996:A1209&lt;&gt;""),0),0),COUNTA(B$996:B1208))),"")</f>
        <v/>
      </c>
      <c r="L1208" s="27"/>
    </row>
    <row r="1209" customFormat="false" ht="13.8" hidden="false" customHeight="false" outlineLevel="0" collapsed="false">
      <c r="A1209" s="16"/>
      <c r="B1209" s="16"/>
      <c r="C1209" s="26"/>
      <c r="D1209" s="26"/>
      <c r="E1209" s="16"/>
      <c r="F1209" s="18"/>
      <c r="G1209" s="19" t="str">
        <f aca="true">IF(F1209="", "", DATEDIF(F1209, TODAY(), "Y"))</f>
        <v/>
      </c>
      <c r="H1209" s="18"/>
      <c r="I1209" s="18"/>
      <c r="J1209" s="24" t="str">
        <f aca="true">IF(ISBLANK(H1209), "", I1209-TODAY())</f>
        <v/>
      </c>
      <c r="K1209" s="24" t="str">
        <f aca="false" t="array" ref="K1209:K1209">IF(A1209&lt;&gt;"",IF(COUNTIF(A$996:A1210,"&lt;&gt;")=0,COUNTA(B$996:B1209),IFERROR(MATCH(TRUE(),INDEX((A$996:A1210&lt;&gt;""),0),0),COUNTA(B$996:B1209))),"")</f>
        <v/>
      </c>
      <c r="L1209" s="27"/>
    </row>
    <row r="1210" customFormat="false" ht="13.8" hidden="false" customHeight="false" outlineLevel="0" collapsed="false">
      <c r="A1210" s="16"/>
      <c r="B1210" s="16"/>
      <c r="C1210" s="26"/>
      <c r="D1210" s="26"/>
      <c r="E1210" s="16"/>
      <c r="F1210" s="18"/>
      <c r="G1210" s="19" t="str">
        <f aca="true">IF(F1210="", "", DATEDIF(F1210, TODAY(), "Y"))</f>
        <v/>
      </c>
      <c r="H1210" s="18"/>
      <c r="I1210" s="18"/>
      <c r="J1210" s="24" t="str">
        <f aca="true">IF(ISBLANK(H1210), "", I1210-TODAY())</f>
        <v/>
      </c>
      <c r="K1210" s="24" t="str">
        <f aca="false" t="array" ref="K1210:K1210">IF(A1210&lt;&gt;"",IF(COUNTIF(A$996:A1211,"&lt;&gt;")=0,COUNTA(B$996:B1210),IFERROR(MATCH(TRUE(),INDEX((A$996:A1211&lt;&gt;""),0),0),COUNTA(B$996:B1210))),"")</f>
        <v/>
      </c>
      <c r="L1210" s="27"/>
    </row>
    <row r="1211" customFormat="false" ht="13.8" hidden="false" customHeight="false" outlineLevel="0" collapsed="false">
      <c r="A1211" s="16"/>
      <c r="B1211" s="16"/>
      <c r="C1211" s="26"/>
      <c r="D1211" s="26"/>
      <c r="E1211" s="16"/>
      <c r="F1211" s="18"/>
      <c r="G1211" s="19" t="str">
        <f aca="true">IF(F1211="", "", DATEDIF(F1211, TODAY(), "Y"))</f>
        <v/>
      </c>
      <c r="H1211" s="18"/>
      <c r="I1211" s="18"/>
      <c r="J1211" s="24" t="str">
        <f aca="true">IF(ISBLANK(H1211), "", I1211-TODAY())</f>
        <v/>
      </c>
      <c r="K1211" s="24" t="str">
        <f aca="false" t="array" ref="K1211:K1211">IF(A1211&lt;&gt;"",IF(COUNTIF(A$996:A1212,"&lt;&gt;")=0,COUNTA(B$996:B1211),IFERROR(MATCH(TRUE(),INDEX((A$996:A1212&lt;&gt;""),0),0),COUNTA(B$996:B1211))),"")</f>
        <v/>
      </c>
      <c r="L1211" s="27"/>
    </row>
    <row r="1212" customFormat="false" ht="13.8" hidden="false" customHeight="false" outlineLevel="0" collapsed="false">
      <c r="A1212" s="16"/>
      <c r="B1212" s="16"/>
      <c r="C1212" s="26"/>
      <c r="D1212" s="26"/>
      <c r="E1212" s="16"/>
      <c r="F1212" s="18"/>
      <c r="G1212" s="19" t="str">
        <f aca="true">IF(F1212="", "", DATEDIF(F1212, TODAY(), "Y"))</f>
        <v/>
      </c>
      <c r="H1212" s="18"/>
      <c r="I1212" s="18"/>
      <c r="J1212" s="24" t="str">
        <f aca="true">IF(ISBLANK(H1212), "", I1212-TODAY())</f>
        <v/>
      </c>
      <c r="K1212" s="24" t="str">
        <f aca="false" t="array" ref="K1212:K1212">IF(A1212&lt;&gt;"",IF(COUNTIF(A$996:A1213,"&lt;&gt;")=0,COUNTA(B$996:B1212),IFERROR(MATCH(TRUE(),INDEX((A$996:A1213&lt;&gt;""),0),0),COUNTA(B$996:B1212))),"")</f>
        <v/>
      </c>
      <c r="L1212" s="27"/>
    </row>
    <row r="1213" customFormat="false" ht="13.8" hidden="false" customHeight="false" outlineLevel="0" collapsed="false">
      <c r="A1213" s="16"/>
      <c r="B1213" s="16"/>
      <c r="C1213" s="26"/>
      <c r="D1213" s="26"/>
      <c r="E1213" s="16"/>
      <c r="F1213" s="18"/>
      <c r="G1213" s="19" t="str">
        <f aca="true">IF(F1213="", "", DATEDIF(F1213, TODAY(), "Y"))</f>
        <v/>
      </c>
      <c r="H1213" s="18"/>
      <c r="I1213" s="18"/>
      <c r="J1213" s="24" t="str">
        <f aca="true">IF(ISBLANK(H1213), "", I1213-TODAY())</f>
        <v/>
      </c>
      <c r="K1213" s="24" t="str">
        <f aca="false" t="array" ref="K1213:K1213">IF(A1213&lt;&gt;"",IF(COUNTIF(A$996:A1214,"&lt;&gt;")=0,COUNTA(B$996:B1213),IFERROR(MATCH(TRUE(),INDEX((A$996:A1214&lt;&gt;""),0),0),COUNTA(B$996:B1213))),"")</f>
        <v/>
      </c>
      <c r="L1213" s="27"/>
    </row>
    <row r="1214" customFormat="false" ht="13.8" hidden="false" customHeight="false" outlineLevel="0" collapsed="false">
      <c r="A1214" s="16"/>
      <c r="B1214" s="16"/>
      <c r="C1214" s="26"/>
      <c r="D1214" s="26"/>
      <c r="E1214" s="16"/>
      <c r="F1214" s="18"/>
      <c r="G1214" s="19" t="str">
        <f aca="true">IF(F1214="", "", DATEDIF(F1214, TODAY(), "Y"))</f>
        <v/>
      </c>
      <c r="H1214" s="18"/>
      <c r="I1214" s="18"/>
      <c r="J1214" s="24" t="str">
        <f aca="true">IF(ISBLANK(H1214), "", I1214-TODAY())</f>
        <v/>
      </c>
      <c r="K1214" s="24" t="str">
        <f aca="false" t="array" ref="K1214:K1214">IF(A1214&lt;&gt;"",IF(COUNTIF(A$996:A1215,"&lt;&gt;")=0,COUNTA(B$996:B1214),IFERROR(MATCH(TRUE(),INDEX((A$996:A1215&lt;&gt;""),0),0),COUNTA(B$996:B1214))),"")</f>
        <v/>
      </c>
      <c r="L1214" s="27"/>
    </row>
    <row r="1215" customFormat="false" ht="13.8" hidden="false" customHeight="false" outlineLevel="0" collapsed="false">
      <c r="A1215" s="16"/>
      <c r="B1215" s="16"/>
      <c r="C1215" s="26"/>
      <c r="D1215" s="26"/>
      <c r="E1215" s="16"/>
      <c r="F1215" s="18"/>
      <c r="G1215" s="19" t="str">
        <f aca="true">IF(F1215="", "", DATEDIF(F1215, TODAY(), "Y"))</f>
        <v/>
      </c>
      <c r="H1215" s="18"/>
      <c r="I1215" s="18"/>
      <c r="J1215" s="24" t="str">
        <f aca="true">IF(ISBLANK(H1215), "", I1215-TODAY())</f>
        <v/>
      </c>
      <c r="K1215" s="24" t="str">
        <f aca="false" t="array" ref="K1215:K1215">IF(A1215&lt;&gt;"",IF(COUNTIF(A$996:A1216,"&lt;&gt;")=0,COUNTA(B$996:B1215),IFERROR(MATCH(TRUE(),INDEX((A$996:A1216&lt;&gt;""),0),0),COUNTA(B$996:B1215))),"")</f>
        <v/>
      </c>
      <c r="L1215" s="27"/>
    </row>
    <row r="1216" customFormat="false" ht="13.8" hidden="false" customHeight="false" outlineLevel="0" collapsed="false">
      <c r="A1216" s="16"/>
      <c r="B1216" s="16"/>
      <c r="C1216" s="26"/>
      <c r="D1216" s="26"/>
      <c r="E1216" s="16"/>
      <c r="F1216" s="18"/>
      <c r="G1216" s="19" t="str">
        <f aca="true">IF(F1216="", "", DATEDIF(F1216, TODAY(), "Y"))</f>
        <v/>
      </c>
      <c r="H1216" s="18"/>
      <c r="I1216" s="18"/>
      <c r="J1216" s="24" t="str">
        <f aca="true">IF(ISBLANK(H1216), "", I1216-TODAY())</f>
        <v/>
      </c>
      <c r="K1216" s="24" t="str">
        <f aca="false" t="array" ref="K1216:K1216">IF(A1216&lt;&gt;"",IF(COUNTIF(A$996:A1217,"&lt;&gt;")=0,COUNTA(B$996:B1216),IFERROR(MATCH(TRUE(),INDEX((A$996:A1217&lt;&gt;""),0),0),COUNTA(B$996:B1216))),"")</f>
        <v/>
      </c>
      <c r="L1216" s="27"/>
    </row>
    <row r="1217" customFormat="false" ht="13.8" hidden="false" customHeight="false" outlineLevel="0" collapsed="false">
      <c r="A1217" s="16"/>
      <c r="B1217" s="16"/>
      <c r="C1217" s="26"/>
      <c r="D1217" s="26"/>
      <c r="E1217" s="16"/>
      <c r="F1217" s="18"/>
      <c r="G1217" s="19" t="str">
        <f aca="true">IF(F1217="", "", DATEDIF(F1217, TODAY(), "Y"))</f>
        <v/>
      </c>
      <c r="H1217" s="18"/>
      <c r="I1217" s="18"/>
      <c r="J1217" s="24" t="str">
        <f aca="true">IF(ISBLANK(H1217), "", I1217-TODAY())</f>
        <v/>
      </c>
      <c r="K1217" s="24" t="str">
        <f aca="false" t="array" ref="K1217:K1217">IF(A1217&lt;&gt;"",IF(COUNTIF(A$996:A1218,"&lt;&gt;")=0,COUNTA(B$996:B1217),IFERROR(MATCH(TRUE(),INDEX((A$996:A1218&lt;&gt;""),0),0),COUNTA(B$996:B1217))),"")</f>
        <v/>
      </c>
      <c r="L1217" s="27"/>
    </row>
    <row r="1218" customFormat="false" ht="13.8" hidden="false" customHeight="false" outlineLevel="0" collapsed="false">
      <c r="A1218" s="16"/>
      <c r="B1218" s="16"/>
      <c r="C1218" s="26"/>
      <c r="D1218" s="26"/>
      <c r="E1218" s="16"/>
      <c r="F1218" s="18"/>
      <c r="G1218" s="19" t="str">
        <f aca="true">IF(F1218="", "", DATEDIF(F1218, TODAY(), "Y"))</f>
        <v/>
      </c>
      <c r="H1218" s="18"/>
      <c r="I1218" s="18"/>
      <c r="J1218" s="24" t="str">
        <f aca="true">IF(ISBLANK(H1218), "", I1218-TODAY())</f>
        <v/>
      </c>
      <c r="K1218" s="24" t="str">
        <f aca="false" t="array" ref="K1218:K1218">IF(A1218&lt;&gt;"",IF(COUNTIF(A$996:A1219,"&lt;&gt;")=0,COUNTA(B$996:B1218),IFERROR(MATCH(TRUE(),INDEX((A$996:A1219&lt;&gt;""),0),0),COUNTA(B$996:B1218))),"")</f>
        <v/>
      </c>
      <c r="L1218" s="27"/>
    </row>
    <row r="1219" customFormat="false" ht="13.8" hidden="false" customHeight="false" outlineLevel="0" collapsed="false">
      <c r="A1219" s="16"/>
      <c r="B1219" s="16"/>
      <c r="C1219" s="26"/>
      <c r="D1219" s="26"/>
      <c r="E1219" s="16"/>
      <c r="F1219" s="18"/>
      <c r="G1219" s="19" t="str">
        <f aca="true">IF(F1219="", "", DATEDIF(F1219, TODAY(), "Y"))</f>
        <v/>
      </c>
      <c r="H1219" s="18"/>
      <c r="I1219" s="18"/>
      <c r="J1219" s="24" t="str">
        <f aca="true">IF(ISBLANK(H1219), "", I1219-TODAY())</f>
        <v/>
      </c>
      <c r="K1219" s="24" t="str">
        <f aca="false" t="array" ref="K1219:K1219">IF(A1219&lt;&gt;"",IF(COUNTIF(A$996:A1220,"&lt;&gt;")=0,COUNTA(B$996:B1219),IFERROR(MATCH(TRUE(),INDEX((A$996:A1220&lt;&gt;""),0),0),COUNTA(B$996:B1219))),"")</f>
        <v/>
      </c>
      <c r="L1219" s="27"/>
    </row>
    <row r="1220" customFormat="false" ht="13.8" hidden="false" customHeight="false" outlineLevel="0" collapsed="false">
      <c r="A1220" s="16"/>
      <c r="B1220" s="16"/>
      <c r="C1220" s="26"/>
      <c r="D1220" s="26"/>
      <c r="E1220" s="16"/>
      <c r="F1220" s="18"/>
      <c r="G1220" s="19" t="str">
        <f aca="true">IF(F1220="", "", DATEDIF(F1220, TODAY(), "Y"))</f>
        <v/>
      </c>
      <c r="H1220" s="18"/>
      <c r="I1220" s="18"/>
      <c r="J1220" s="24" t="str">
        <f aca="true">IF(ISBLANK(H1220), "", I1220-TODAY())</f>
        <v/>
      </c>
      <c r="K1220" s="24" t="str">
        <f aca="false" t="array" ref="K1220:K1220">IF(A1220&lt;&gt;"",IF(COUNTIF(A$996:A1221,"&lt;&gt;")=0,COUNTA(B$996:B1220),IFERROR(MATCH(TRUE(),INDEX((A$996:A1221&lt;&gt;""),0),0),COUNTA(B$996:B1220))),"")</f>
        <v/>
      </c>
      <c r="L1220" s="27"/>
    </row>
    <row r="1221" customFormat="false" ht="13.8" hidden="false" customHeight="false" outlineLevel="0" collapsed="false">
      <c r="A1221" s="16"/>
      <c r="B1221" s="16"/>
      <c r="C1221" s="26"/>
      <c r="D1221" s="26"/>
      <c r="E1221" s="16"/>
      <c r="F1221" s="18"/>
      <c r="G1221" s="19" t="str">
        <f aca="true">IF(F1221="", "", DATEDIF(F1221, TODAY(), "Y"))</f>
        <v/>
      </c>
      <c r="H1221" s="18"/>
      <c r="I1221" s="18"/>
      <c r="J1221" s="24" t="str">
        <f aca="true">IF(ISBLANK(H1221), "", I1221-TODAY())</f>
        <v/>
      </c>
      <c r="K1221" s="24" t="str">
        <f aca="false" t="array" ref="K1221:K1221">IF(A1221&lt;&gt;"",IF(COUNTIF(A$996:A1222,"&lt;&gt;")=0,COUNTA(B$996:B1221),IFERROR(MATCH(TRUE(),INDEX((A$996:A1222&lt;&gt;""),0),0),COUNTA(B$996:B1221))),"")</f>
        <v/>
      </c>
      <c r="L1221" s="27"/>
    </row>
    <row r="1222" customFormat="false" ht="13.8" hidden="false" customHeight="false" outlineLevel="0" collapsed="false">
      <c r="A1222" s="16"/>
      <c r="B1222" s="16"/>
      <c r="C1222" s="26"/>
      <c r="D1222" s="26"/>
      <c r="E1222" s="16"/>
      <c r="F1222" s="18"/>
      <c r="G1222" s="19" t="str">
        <f aca="true">IF(F1222="", "", DATEDIF(F1222, TODAY(), "Y"))</f>
        <v/>
      </c>
      <c r="H1222" s="18"/>
      <c r="I1222" s="18"/>
      <c r="J1222" s="24" t="str">
        <f aca="true">IF(ISBLANK(H1222), "", I1222-TODAY())</f>
        <v/>
      </c>
      <c r="K1222" s="24" t="str">
        <f aca="false" t="array" ref="K1222:K1222">IF(A1222&lt;&gt;"",IF(COUNTIF(A$996:A1223,"&lt;&gt;")=0,COUNTA(B$996:B1222),IFERROR(MATCH(TRUE(),INDEX((A$996:A1223&lt;&gt;""),0),0),COUNTA(B$996:B1222))),"")</f>
        <v/>
      </c>
      <c r="L1222" s="27"/>
    </row>
    <row r="1223" customFormat="false" ht="13.8" hidden="false" customHeight="false" outlineLevel="0" collapsed="false">
      <c r="A1223" s="16"/>
      <c r="B1223" s="16"/>
      <c r="C1223" s="26"/>
      <c r="D1223" s="26"/>
      <c r="E1223" s="16"/>
      <c r="F1223" s="18"/>
      <c r="G1223" s="19" t="str">
        <f aca="true">IF(F1223="", "", DATEDIF(F1223, TODAY(), "Y"))</f>
        <v/>
      </c>
      <c r="H1223" s="18"/>
      <c r="I1223" s="18"/>
      <c r="J1223" s="24" t="str">
        <f aca="true">IF(ISBLANK(H1223), "", I1223-TODAY())</f>
        <v/>
      </c>
      <c r="K1223" s="24" t="str">
        <f aca="false" t="array" ref="K1223:K1223">IF(A1223&lt;&gt;"",IF(COUNTIF(A$996:A1224,"&lt;&gt;")=0,COUNTA(B$996:B1223),IFERROR(MATCH(TRUE(),INDEX((A$996:A1224&lt;&gt;""),0),0),COUNTA(B$996:B1223))),"")</f>
        <v/>
      </c>
      <c r="L1223" s="27"/>
    </row>
    <row r="1224" customFormat="false" ht="13.8" hidden="false" customHeight="false" outlineLevel="0" collapsed="false">
      <c r="A1224" s="16"/>
      <c r="B1224" s="16"/>
      <c r="C1224" s="26"/>
      <c r="D1224" s="26"/>
      <c r="E1224" s="16"/>
      <c r="F1224" s="18"/>
      <c r="G1224" s="19" t="str">
        <f aca="true">IF(F1224="", "", DATEDIF(F1224, TODAY(), "Y"))</f>
        <v/>
      </c>
      <c r="H1224" s="18"/>
      <c r="I1224" s="18"/>
      <c r="J1224" s="24" t="str">
        <f aca="true">IF(ISBLANK(H1224), "", I1224-TODAY())</f>
        <v/>
      </c>
      <c r="K1224" s="24" t="str">
        <f aca="false" t="array" ref="K1224:K1224">IF(A1224&lt;&gt;"",IF(COUNTIF(A$996:A1225,"&lt;&gt;")=0,COUNTA(B$996:B1224),IFERROR(MATCH(TRUE(),INDEX((A$996:A1225&lt;&gt;""),0),0),COUNTA(B$996:B1224))),"")</f>
        <v/>
      </c>
      <c r="L1224" s="27"/>
    </row>
    <row r="1225" customFormat="false" ht="13.8" hidden="false" customHeight="false" outlineLevel="0" collapsed="false">
      <c r="A1225" s="16"/>
      <c r="B1225" s="16"/>
      <c r="C1225" s="26"/>
      <c r="D1225" s="26"/>
      <c r="E1225" s="16"/>
      <c r="F1225" s="18"/>
      <c r="G1225" s="19" t="str">
        <f aca="true">IF(F1225="", "", DATEDIF(F1225, TODAY(), "Y"))</f>
        <v/>
      </c>
      <c r="H1225" s="18"/>
      <c r="I1225" s="18"/>
      <c r="J1225" s="24" t="str">
        <f aca="true">IF(ISBLANK(H1225), "", I1225-TODAY())</f>
        <v/>
      </c>
      <c r="K1225" s="24" t="str">
        <f aca="false" t="array" ref="K1225:K1225">IF(A1225&lt;&gt;"",IF(COUNTIF(A$996:A1226,"&lt;&gt;")=0,COUNTA(B$996:B1225),IFERROR(MATCH(TRUE(),INDEX((A$996:A1226&lt;&gt;""),0),0),COUNTA(B$996:B1225))),"")</f>
        <v/>
      </c>
      <c r="L1225" s="27"/>
    </row>
    <row r="1226" customFormat="false" ht="13.8" hidden="false" customHeight="false" outlineLevel="0" collapsed="false">
      <c r="A1226" s="16"/>
      <c r="B1226" s="16"/>
      <c r="C1226" s="26"/>
      <c r="D1226" s="26"/>
      <c r="E1226" s="16"/>
      <c r="F1226" s="18"/>
      <c r="G1226" s="19" t="str">
        <f aca="true">IF(F1226="", "", DATEDIF(F1226, TODAY(), "Y"))</f>
        <v/>
      </c>
      <c r="H1226" s="18"/>
      <c r="I1226" s="18"/>
      <c r="J1226" s="24" t="str">
        <f aca="true">IF(ISBLANK(H1226), "", I1226-TODAY())</f>
        <v/>
      </c>
      <c r="K1226" s="24" t="str">
        <f aca="false" t="array" ref="K1226:K1226">IF(A1226&lt;&gt;"",IF(COUNTIF(A$996:A1227,"&lt;&gt;")=0,COUNTA(B$996:B1226),IFERROR(MATCH(TRUE(),INDEX((A$996:A1227&lt;&gt;""),0),0),COUNTA(B$996:B1226))),"")</f>
        <v/>
      </c>
      <c r="L1226" s="27"/>
    </row>
    <row r="1227" customFormat="false" ht="13.8" hidden="false" customHeight="false" outlineLevel="0" collapsed="false">
      <c r="A1227" s="16"/>
      <c r="B1227" s="16"/>
      <c r="C1227" s="26"/>
      <c r="D1227" s="26"/>
      <c r="E1227" s="16"/>
      <c r="F1227" s="18"/>
      <c r="G1227" s="19" t="str">
        <f aca="true">IF(F1227="", "", DATEDIF(F1227, TODAY(), "Y"))</f>
        <v/>
      </c>
      <c r="H1227" s="18"/>
      <c r="I1227" s="18"/>
      <c r="J1227" s="24" t="str">
        <f aca="true">IF(ISBLANK(H1227), "", I1227-TODAY())</f>
        <v/>
      </c>
      <c r="K1227" s="24" t="str">
        <f aca="false" t="array" ref="K1227:K1227">IF(A1227&lt;&gt;"",IF(COUNTIF(A$996:A1228,"&lt;&gt;")=0,COUNTA(B$996:B1227),IFERROR(MATCH(TRUE(),INDEX((A$996:A1228&lt;&gt;""),0),0),COUNTA(B$996:B1227))),"")</f>
        <v/>
      </c>
      <c r="L1227" s="27"/>
    </row>
    <row r="1228" customFormat="false" ht="13.8" hidden="false" customHeight="false" outlineLevel="0" collapsed="false">
      <c r="A1228" s="16"/>
      <c r="B1228" s="16"/>
      <c r="C1228" s="26"/>
      <c r="D1228" s="26"/>
      <c r="E1228" s="16"/>
      <c r="F1228" s="18"/>
      <c r="G1228" s="19" t="str">
        <f aca="true">IF(F1228="", "", DATEDIF(F1228, TODAY(), "Y"))</f>
        <v/>
      </c>
      <c r="H1228" s="18"/>
      <c r="I1228" s="18"/>
      <c r="J1228" s="24" t="str">
        <f aca="true">IF(ISBLANK(H1228), "", I1228-TODAY())</f>
        <v/>
      </c>
      <c r="K1228" s="24" t="str">
        <f aca="false" t="array" ref="K1228:K1228">IF(A1228&lt;&gt;"",IF(COUNTIF(A$996:A1229,"&lt;&gt;")=0,COUNTA(B$996:B1228),IFERROR(MATCH(TRUE(),INDEX((A$996:A1229&lt;&gt;""),0),0),COUNTA(B$996:B1228))),"")</f>
        <v/>
      </c>
      <c r="L1228" s="27"/>
    </row>
    <row r="1229" customFormat="false" ht="13.8" hidden="false" customHeight="false" outlineLevel="0" collapsed="false">
      <c r="A1229" s="16"/>
      <c r="B1229" s="16"/>
      <c r="C1229" s="26"/>
      <c r="D1229" s="26"/>
      <c r="E1229" s="16"/>
      <c r="F1229" s="18"/>
      <c r="G1229" s="19" t="str">
        <f aca="true">IF(F1229="", "", DATEDIF(F1229, TODAY(), "Y"))</f>
        <v/>
      </c>
      <c r="H1229" s="18"/>
      <c r="I1229" s="18"/>
      <c r="J1229" s="24" t="str">
        <f aca="true">IF(ISBLANK(H1229), "", I1229-TODAY())</f>
        <v/>
      </c>
      <c r="K1229" s="24" t="str">
        <f aca="false" t="array" ref="K1229:K1229">IF(A1229&lt;&gt;"",IF(COUNTIF(A$996:A1230,"&lt;&gt;")=0,COUNTA(B$996:B1229),IFERROR(MATCH(TRUE(),INDEX((A$996:A1230&lt;&gt;""),0),0),COUNTA(B$996:B1229))),"")</f>
        <v/>
      </c>
      <c r="L1229" s="27"/>
    </row>
    <row r="1230" customFormat="false" ht="13.8" hidden="false" customHeight="false" outlineLevel="0" collapsed="false">
      <c r="A1230" s="16"/>
      <c r="B1230" s="16"/>
      <c r="C1230" s="26"/>
      <c r="D1230" s="26"/>
      <c r="E1230" s="16"/>
      <c r="F1230" s="18"/>
      <c r="G1230" s="19" t="str">
        <f aca="true">IF(F1230="", "", DATEDIF(F1230, TODAY(), "Y"))</f>
        <v/>
      </c>
      <c r="H1230" s="18"/>
      <c r="I1230" s="18"/>
      <c r="J1230" s="24" t="str">
        <f aca="true">IF(ISBLANK(H1230), "", I1230-TODAY())</f>
        <v/>
      </c>
      <c r="K1230" s="24" t="str">
        <f aca="false" t="array" ref="K1230:K1230">IF(A1230&lt;&gt;"",IF(COUNTIF(A$996:A1231,"&lt;&gt;")=0,COUNTA(B$996:B1230),IFERROR(MATCH(TRUE(),INDEX((A$996:A1231&lt;&gt;""),0),0),COUNTA(B$996:B1230))),"")</f>
        <v/>
      </c>
      <c r="L1230" s="27"/>
    </row>
    <row r="1231" customFormat="false" ht="13.8" hidden="false" customHeight="false" outlineLevel="0" collapsed="false">
      <c r="A1231" s="16"/>
      <c r="B1231" s="16"/>
      <c r="C1231" s="26"/>
      <c r="D1231" s="26"/>
      <c r="E1231" s="16"/>
      <c r="F1231" s="18"/>
      <c r="G1231" s="19" t="str">
        <f aca="true">IF(F1231="", "", DATEDIF(F1231, TODAY(), "Y"))</f>
        <v/>
      </c>
      <c r="H1231" s="18"/>
      <c r="I1231" s="18"/>
      <c r="J1231" s="24" t="str">
        <f aca="true">IF(ISBLANK(H1231), "", I1231-TODAY())</f>
        <v/>
      </c>
      <c r="K1231" s="24" t="str">
        <f aca="false" t="array" ref="K1231:K1231">IF(A1231&lt;&gt;"",IF(COUNTIF(A$996:A1232,"&lt;&gt;")=0,COUNTA(B$996:B1231),IFERROR(MATCH(TRUE(),INDEX((A$996:A1232&lt;&gt;""),0),0),COUNTA(B$996:B1231))),"")</f>
        <v/>
      </c>
      <c r="L1231" s="27"/>
    </row>
    <row r="1232" customFormat="false" ht="13.8" hidden="false" customHeight="false" outlineLevel="0" collapsed="false">
      <c r="A1232" s="16"/>
      <c r="B1232" s="16"/>
      <c r="C1232" s="26"/>
      <c r="D1232" s="26"/>
      <c r="E1232" s="16"/>
      <c r="F1232" s="18"/>
      <c r="G1232" s="19" t="str">
        <f aca="true">IF(F1232="", "", DATEDIF(F1232, TODAY(), "Y"))</f>
        <v/>
      </c>
      <c r="H1232" s="18"/>
      <c r="I1232" s="18"/>
      <c r="J1232" s="24" t="str">
        <f aca="true">IF(ISBLANK(H1232), "", I1232-TODAY())</f>
        <v/>
      </c>
      <c r="K1232" s="24" t="str">
        <f aca="false" t="array" ref="K1232:K1232">IF(A1232&lt;&gt;"",IF(COUNTIF(A$996:A1233,"&lt;&gt;")=0,COUNTA(B$996:B1232),IFERROR(MATCH(TRUE(),INDEX((A$996:A1233&lt;&gt;""),0),0),COUNTA(B$996:B1232))),"")</f>
        <v/>
      </c>
      <c r="L1232" s="27"/>
    </row>
    <row r="1233" customFormat="false" ht="13.8" hidden="false" customHeight="false" outlineLevel="0" collapsed="false">
      <c r="A1233" s="16"/>
      <c r="B1233" s="16"/>
      <c r="C1233" s="26"/>
      <c r="D1233" s="26"/>
      <c r="E1233" s="16"/>
      <c r="F1233" s="18"/>
      <c r="G1233" s="19" t="str">
        <f aca="true">IF(F1233="", "", DATEDIF(F1233, TODAY(), "Y"))</f>
        <v/>
      </c>
      <c r="H1233" s="18"/>
      <c r="I1233" s="18"/>
      <c r="J1233" s="24" t="str">
        <f aca="true">IF(ISBLANK(H1233), "", I1233-TODAY())</f>
        <v/>
      </c>
      <c r="K1233" s="24" t="str">
        <f aca="false" t="array" ref="K1233:K1233">IF(A1233&lt;&gt;"",IF(COUNTIF(A$996:A1234,"&lt;&gt;")=0,COUNTA(B$996:B1233),IFERROR(MATCH(TRUE(),INDEX((A$996:A1234&lt;&gt;""),0),0),COUNTA(B$996:B1233))),"")</f>
        <v/>
      </c>
      <c r="L1233" s="27"/>
    </row>
    <row r="1234" customFormat="false" ht="13.8" hidden="false" customHeight="false" outlineLevel="0" collapsed="false">
      <c r="A1234" s="16"/>
      <c r="B1234" s="16"/>
      <c r="C1234" s="26"/>
      <c r="D1234" s="26"/>
      <c r="E1234" s="16"/>
      <c r="F1234" s="18"/>
      <c r="G1234" s="19" t="str">
        <f aca="true">IF(F1234="", "", DATEDIF(F1234, TODAY(), "Y"))</f>
        <v/>
      </c>
      <c r="H1234" s="18"/>
      <c r="I1234" s="18"/>
      <c r="J1234" s="24" t="str">
        <f aca="true">IF(ISBLANK(H1234), "", I1234-TODAY())</f>
        <v/>
      </c>
      <c r="K1234" s="24" t="str">
        <f aca="false" t="array" ref="K1234:K1234">IF(A1234&lt;&gt;"",IF(COUNTIF(A$996:A1235,"&lt;&gt;")=0,COUNTA(B$996:B1234),IFERROR(MATCH(TRUE(),INDEX((A$996:A1235&lt;&gt;""),0),0),COUNTA(B$996:B1234))),"")</f>
        <v/>
      </c>
      <c r="L1234" s="27"/>
    </row>
    <row r="1235" customFormat="false" ht="13.8" hidden="false" customHeight="false" outlineLevel="0" collapsed="false">
      <c r="A1235" s="16"/>
      <c r="B1235" s="16"/>
      <c r="C1235" s="26"/>
      <c r="D1235" s="26"/>
      <c r="E1235" s="16"/>
      <c r="F1235" s="18"/>
      <c r="G1235" s="19" t="str">
        <f aca="true">IF(F1235="", "", DATEDIF(F1235, TODAY(), "Y"))</f>
        <v/>
      </c>
      <c r="H1235" s="18"/>
      <c r="I1235" s="18"/>
      <c r="J1235" s="24" t="str">
        <f aca="true">IF(ISBLANK(H1235), "", I1235-TODAY())</f>
        <v/>
      </c>
      <c r="K1235" s="24" t="str">
        <f aca="false" t="array" ref="K1235:K1235">IF(A1235&lt;&gt;"",IF(COUNTIF(A$996:A1236,"&lt;&gt;")=0,COUNTA(B$996:B1235),IFERROR(MATCH(TRUE(),INDEX((A$996:A1236&lt;&gt;""),0),0),COUNTA(B$996:B1235))),"")</f>
        <v/>
      </c>
      <c r="L1235" s="27"/>
    </row>
    <row r="1236" customFormat="false" ht="13.8" hidden="false" customHeight="false" outlineLevel="0" collapsed="false">
      <c r="A1236" s="16"/>
      <c r="B1236" s="16"/>
      <c r="C1236" s="26"/>
      <c r="D1236" s="26"/>
      <c r="E1236" s="16"/>
      <c r="F1236" s="18"/>
      <c r="G1236" s="19" t="str">
        <f aca="true">IF(F1236="", "", DATEDIF(F1236, TODAY(), "Y"))</f>
        <v/>
      </c>
      <c r="H1236" s="18"/>
      <c r="I1236" s="18"/>
      <c r="J1236" s="24" t="str">
        <f aca="true">IF(ISBLANK(H1236), "", I1236-TODAY())</f>
        <v/>
      </c>
      <c r="K1236" s="24" t="str">
        <f aca="false" t="array" ref="K1236:K1236">IF(A1236&lt;&gt;"",IF(COUNTIF(A$996:A1237,"&lt;&gt;")=0,COUNTA(B$996:B1236),IFERROR(MATCH(TRUE(),INDEX((A$996:A1237&lt;&gt;""),0),0),COUNTA(B$996:B1236))),"")</f>
        <v/>
      </c>
      <c r="L1236" s="27"/>
    </row>
    <row r="1237" customFormat="false" ht="13.8" hidden="false" customHeight="false" outlineLevel="0" collapsed="false">
      <c r="A1237" s="16"/>
      <c r="B1237" s="16"/>
      <c r="C1237" s="26"/>
      <c r="D1237" s="26"/>
      <c r="E1237" s="16"/>
      <c r="F1237" s="18"/>
      <c r="G1237" s="19" t="str">
        <f aca="true">IF(F1237="", "", DATEDIF(F1237, TODAY(), "Y"))</f>
        <v/>
      </c>
      <c r="H1237" s="18"/>
      <c r="I1237" s="18"/>
      <c r="J1237" s="24" t="str">
        <f aca="true">IF(ISBLANK(H1237), "", I1237-TODAY())</f>
        <v/>
      </c>
      <c r="K1237" s="24" t="str">
        <f aca="false" t="array" ref="K1237:K1237">IF(A1237&lt;&gt;"",IF(COUNTIF(A$996:A1238,"&lt;&gt;")=0,COUNTA(B$996:B1237),IFERROR(MATCH(TRUE(),INDEX((A$996:A1238&lt;&gt;""),0),0),COUNTA(B$996:B1237))),"")</f>
        <v/>
      </c>
      <c r="L1237" s="27"/>
    </row>
    <row r="1238" customFormat="false" ht="13.8" hidden="false" customHeight="false" outlineLevel="0" collapsed="false">
      <c r="A1238" s="16"/>
      <c r="B1238" s="16"/>
      <c r="C1238" s="26"/>
      <c r="D1238" s="26"/>
      <c r="E1238" s="16"/>
      <c r="F1238" s="18"/>
      <c r="G1238" s="19" t="str">
        <f aca="true">IF(F1238="", "", DATEDIF(F1238, TODAY(), "Y"))</f>
        <v/>
      </c>
      <c r="H1238" s="18"/>
      <c r="I1238" s="18"/>
      <c r="J1238" s="24" t="str">
        <f aca="true">IF(ISBLANK(H1238), "", I1238-TODAY())</f>
        <v/>
      </c>
      <c r="K1238" s="24" t="str">
        <f aca="false" t="array" ref="K1238:K1238">IF(A1238&lt;&gt;"",IF(COUNTIF(A$996:A1239,"&lt;&gt;")=0,COUNTA(B$996:B1238),IFERROR(MATCH(TRUE(),INDEX((A$996:A1239&lt;&gt;""),0),0),COUNTA(B$996:B1238))),"")</f>
        <v/>
      </c>
      <c r="L1238" s="27"/>
    </row>
    <row r="1239" customFormat="false" ht="13.8" hidden="false" customHeight="false" outlineLevel="0" collapsed="false">
      <c r="A1239" s="16"/>
      <c r="B1239" s="16"/>
      <c r="C1239" s="26"/>
      <c r="D1239" s="26"/>
      <c r="E1239" s="16"/>
      <c r="F1239" s="18"/>
      <c r="G1239" s="19" t="str">
        <f aca="true">IF(F1239="", "", DATEDIF(F1239, TODAY(), "Y"))</f>
        <v/>
      </c>
      <c r="H1239" s="18"/>
      <c r="I1239" s="18"/>
      <c r="J1239" s="24" t="str">
        <f aca="true">IF(ISBLANK(H1239), "", I1239-TODAY())</f>
        <v/>
      </c>
      <c r="K1239" s="24" t="str">
        <f aca="false" t="array" ref="K1239:K1239">IF(A1239&lt;&gt;"",IF(COUNTIF(A$996:A1240,"&lt;&gt;")=0,COUNTA(B$996:B1239),IFERROR(MATCH(TRUE(),INDEX((A$996:A1240&lt;&gt;""),0),0),COUNTA(B$996:B1239))),"")</f>
        <v/>
      </c>
      <c r="L1239" s="27"/>
    </row>
    <row r="1240" customFormat="false" ht="13.8" hidden="false" customHeight="false" outlineLevel="0" collapsed="false">
      <c r="A1240" s="16"/>
      <c r="B1240" s="16"/>
      <c r="C1240" s="26"/>
      <c r="D1240" s="26"/>
      <c r="E1240" s="16"/>
      <c r="F1240" s="18"/>
      <c r="G1240" s="19" t="str">
        <f aca="true">IF(F1240="", "", DATEDIF(F1240, TODAY(), "Y"))</f>
        <v/>
      </c>
      <c r="H1240" s="18"/>
      <c r="I1240" s="18"/>
      <c r="J1240" s="24" t="str">
        <f aca="true">IF(ISBLANK(H1240), "", I1240-TODAY())</f>
        <v/>
      </c>
      <c r="K1240" s="24" t="str">
        <f aca="false" t="array" ref="K1240:K1240">IF(A1240&lt;&gt;"",IF(COUNTIF(A$996:A1241,"&lt;&gt;")=0,COUNTA(B$996:B1240),IFERROR(MATCH(TRUE(),INDEX((A$996:A1241&lt;&gt;""),0),0),COUNTA(B$996:B1240))),"")</f>
        <v/>
      </c>
      <c r="L1240" s="27"/>
    </row>
    <row r="1241" customFormat="false" ht="13.8" hidden="false" customHeight="false" outlineLevel="0" collapsed="false">
      <c r="A1241" s="16"/>
      <c r="B1241" s="16"/>
      <c r="C1241" s="26"/>
      <c r="D1241" s="26"/>
      <c r="E1241" s="16"/>
      <c r="F1241" s="18"/>
      <c r="G1241" s="19" t="str">
        <f aca="true">IF(F1241="", "", DATEDIF(F1241, TODAY(), "Y"))</f>
        <v/>
      </c>
      <c r="H1241" s="18"/>
      <c r="I1241" s="18"/>
      <c r="J1241" s="24" t="str">
        <f aca="true">IF(ISBLANK(H1241), "", I1241-TODAY())</f>
        <v/>
      </c>
      <c r="K1241" s="24" t="str">
        <f aca="false" t="array" ref="K1241:K1241">IF(A1241&lt;&gt;"",IF(COUNTIF(A$996:A1242,"&lt;&gt;")=0,COUNTA(B$996:B1241),IFERROR(MATCH(TRUE(),INDEX((A$996:A1242&lt;&gt;""),0),0),COUNTA(B$996:B1241))),"")</f>
        <v/>
      </c>
      <c r="L1241" s="27"/>
    </row>
    <row r="1242" customFormat="false" ht="13.8" hidden="false" customHeight="false" outlineLevel="0" collapsed="false">
      <c r="A1242" s="16"/>
      <c r="B1242" s="16"/>
      <c r="C1242" s="26"/>
      <c r="D1242" s="26"/>
      <c r="E1242" s="16"/>
      <c r="F1242" s="18"/>
      <c r="G1242" s="19" t="str">
        <f aca="true">IF(F1242="", "", DATEDIF(F1242, TODAY(), "Y"))</f>
        <v/>
      </c>
      <c r="H1242" s="18"/>
      <c r="I1242" s="18"/>
      <c r="J1242" s="24" t="str">
        <f aca="true">IF(ISBLANK(H1242), "", I1242-TODAY())</f>
        <v/>
      </c>
      <c r="K1242" s="24" t="str">
        <f aca="false" t="array" ref="K1242:K1242">IF(A1242&lt;&gt;"",IF(COUNTIF(A$996:A1243,"&lt;&gt;")=0,COUNTA(B$996:B1242),IFERROR(MATCH(TRUE(),INDEX((A$996:A1243&lt;&gt;""),0),0),COUNTA(B$996:B1242))),"")</f>
        <v/>
      </c>
      <c r="L1242" s="27"/>
    </row>
    <row r="1243" customFormat="false" ht="13.8" hidden="false" customHeight="false" outlineLevel="0" collapsed="false">
      <c r="A1243" s="16"/>
      <c r="B1243" s="16"/>
      <c r="C1243" s="26"/>
      <c r="D1243" s="26"/>
      <c r="E1243" s="16"/>
      <c r="F1243" s="18"/>
      <c r="G1243" s="19" t="str">
        <f aca="true">IF(F1243="", "", DATEDIF(F1243, TODAY(), "Y"))</f>
        <v/>
      </c>
      <c r="H1243" s="18"/>
      <c r="I1243" s="18"/>
      <c r="J1243" s="24" t="str">
        <f aca="true">IF(ISBLANK(H1243), "", I1243-TODAY())</f>
        <v/>
      </c>
      <c r="K1243" s="24" t="str">
        <f aca="false" t="array" ref="K1243:K1243">IF(A1243&lt;&gt;"",IF(COUNTIF(A$996:A1244,"&lt;&gt;")=0,COUNTA(B$996:B1243),IFERROR(MATCH(TRUE(),INDEX((A$996:A1244&lt;&gt;""),0),0),COUNTA(B$996:B1243))),"")</f>
        <v/>
      </c>
      <c r="L1243" s="27"/>
    </row>
    <row r="1244" customFormat="false" ht="13.8" hidden="false" customHeight="false" outlineLevel="0" collapsed="false">
      <c r="A1244" s="16"/>
      <c r="B1244" s="16"/>
      <c r="C1244" s="26"/>
      <c r="D1244" s="26"/>
      <c r="E1244" s="16"/>
      <c r="F1244" s="18"/>
      <c r="G1244" s="19" t="str">
        <f aca="true">IF(F1244="", "", DATEDIF(F1244, TODAY(), "Y"))</f>
        <v/>
      </c>
      <c r="H1244" s="18"/>
      <c r="I1244" s="18"/>
      <c r="J1244" s="24" t="str">
        <f aca="true">IF(ISBLANK(H1244), "", I1244-TODAY())</f>
        <v/>
      </c>
      <c r="K1244" s="24" t="str">
        <f aca="false" t="array" ref="K1244:K1244">IF(A1244&lt;&gt;"",IF(COUNTIF(A$996:A1245,"&lt;&gt;")=0,COUNTA(B$996:B1244),IFERROR(MATCH(TRUE(),INDEX((A$996:A1245&lt;&gt;""),0),0),COUNTA(B$996:B1244))),"")</f>
        <v/>
      </c>
      <c r="L1244" s="27"/>
    </row>
    <row r="1245" customFormat="false" ht="13.8" hidden="false" customHeight="false" outlineLevel="0" collapsed="false">
      <c r="A1245" s="16"/>
      <c r="B1245" s="16"/>
      <c r="C1245" s="26"/>
      <c r="D1245" s="26"/>
      <c r="E1245" s="16"/>
      <c r="F1245" s="18"/>
      <c r="G1245" s="19" t="str">
        <f aca="true">IF(F1245="", "", DATEDIF(F1245, TODAY(), "Y"))</f>
        <v/>
      </c>
      <c r="H1245" s="18"/>
      <c r="I1245" s="18"/>
      <c r="J1245" s="24" t="str">
        <f aca="true">IF(ISBLANK(H1245), "", I1245-TODAY())</f>
        <v/>
      </c>
      <c r="K1245" s="24" t="str">
        <f aca="false" t="array" ref="K1245:K1245">IF(A1245&lt;&gt;"",IF(COUNTIF(A$996:A1246,"&lt;&gt;")=0,COUNTA(B$996:B1245),IFERROR(MATCH(TRUE(),INDEX((A$996:A1246&lt;&gt;""),0),0),COUNTA(B$996:B1245))),"")</f>
        <v/>
      </c>
      <c r="L1245" s="27"/>
    </row>
    <row r="1246" customFormat="false" ht="13.8" hidden="false" customHeight="false" outlineLevel="0" collapsed="false">
      <c r="A1246" s="16"/>
      <c r="B1246" s="16"/>
      <c r="C1246" s="26"/>
      <c r="D1246" s="26"/>
      <c r="E1246" s="16"/>
      <c r="F1246" s="18"/>
      <c r="G1246" s="19" t="str">
        <f aca="true">IF(F1246="", "", DATEDIF(F1246, TODAY(), "Y"))</f>
        <v/>
      </c>
      <c r="H1246" s="18"/>
      <c r="I1246" s="18"/>
      <c r="J1246" s="24" t="str">
        <f aca="true">IF(ISBLANK(H1246), "", I1246-TODAY())</f>
        <v/>
      </c>
      <c r="K1246" s="24" t="str">
        <f aca="false" t="array" ref="K1246:K1246">IF(A1246&lt;&gt;"",IF(COUNTIF(A$996:A1247,"&lt;&gt;")=0,COUNTA(B$996:B1246),IFERROR(MATCH(TRUE(),INDEX((A$996:A1247&lt;&gt;""),0),0),COUNTA(B$996:B1246))),"")</f>
        <v/>
      </c>
      <c r="L1246" s="27"/>
    </row>
    <row r="1247" customFormat="false" ht="13.8" hidden="false" customHeight="false" outlineLevel="0" collapsed="false">
      <c r="A1247" s="16"/>
      <c r="B1247" s="16"/>
      <c r="C1247" s="26"/>
      <c r="D1247" s="26"/>
      <c r="E1247" s="16"/>
      <c r="F1247" s="18"/>
      <c r="G1247" s="19" t="str">
        <f aca="true">IF(F1247="", "", DATEDIF(F1247, TODAY(), "Y"))</f>
        <v/>
      </c>
      <c r="H1247" s="18"/>
      <c r="I1247" s="18"/>
      <c r="J1247" s="24" t="str">
        <f aca="true">IF(ISBLANK(H1247), "", I1247-TODAY())</f>
        <v/>
      </c>
      <c r="K1247" s="24" t="str">
        <f aca="false" t="array" ref="K1247:K1247">IF(A1247&lt;&gt;"",IF(COUNTIF(A$996:A1248,"&lt;&gt;")=0,COUNTA(B$996:B1247),IFERROR(MATCH(TRUE(),INDEX((A$996:A1248&lt;&gt;""),0),0),COUNTA(B$996:B1247))),"")</f>
        <v/>
      </c>
      <c r="L1247" s="27"/>
    </row>
    <row r="1248" customFormat="false" ht="13.8" hidden="false" customHeight="false" outlineLevel="0" collapsed="false">
      <c r="A1248" s="16"/>
      <c r="B1248" s="16"/>
      <c r="C1248" s="26"/>
      <c r="D1248" s="26"/>
      <c r="E1248" s="16"/>
      <c r="F1248" s="18"/>
      <c r="G1248" s="19" t="str">
        <f aca="true">IF(F1248="", "", DATEDIF(F1248, TODAY(), "Y"))</f>
        <v/>
      </c>
      <c r="H1248" s="18"/>
      <c r="I1248" s="18"/>
      <c r="J1248" s="24" t="str">
        <f aca="true">IF(ISBLANK(H1248), "", I1248-TODAY())</f>
        <v/>
      </c>
      <c r="K1248" s="24" t="str">
        <f aca="false" t="array" ref="K1248:K1248">IF(A1248&lt;&gt;"",IF(COUNTIF(A$996:A1249,"&lt;&gt;")=0,COUNTA(B$996:B1248),IFERROR(MATCH(TRUE(),INDEX((A$996:A1249&lt;&gt;""),0),0),COUNTA(B$996:B1248))),"")</f>
        <v/>
      </c>
      <c r="L1248" s="27"/>
    </row>
    <row r="1249" customFormat="false" ht="13.8" hidden="false" customHeight="false" outlineLevel="0" collapsed="false">
      <c r="A1249" s="16"/>
      <c r="B1249" s="16"/>
      <c r="C1249" s="26"/>
      <c r="D1249" s="26"/>
      <c r="E1249" s="16"/>
      <c r="F1249" s="18"/>
      <c r="G1249" s="19" t="str">
        <f aca="true">IF(F1249="", "", DATEDIF(F1249, TODAY(), "Y"))</f>
        <v/>
      </c>
      <c r="H1249" s="18"/>
      <c r="I1249" s="18"/>
      <c r="J1249" s="24" t="str">
        <f aca="true">IF(ISBLANK(H1249), "", I1249-TODAY())</f>
        <v/>
      </c>
      <c r="K1249" s="24" t="str">
        <f aca="false" t="array" ref="K1249:K1249">IF(A1249&lt;&gt;"",IF(COUNTIF(A$996:A1250,"&lt;&gt;")=0,COUNTA(B$996:B1249),IFERROR(MATCH(TRUE(),INDEX((A$996:A1250&lt;&gt;""),0),0),COUNTA(B$996:B1249))),"")</f>
        <v/>
      </c>
      <c r="L1249" s="27"/>
    </row>
    <row r="1250" customFormat="false" ht="13.8" hidden="false" customHeight="false" outlineLevel="0" collapsed="false">
      <c r="A1250" s="16"/>
      <c r="B1250" s="16"/>
      <c r="C1250" s="26"/>
      <c r="D1250" s="26"/>
      <c r="E1250" s="16"/>
      <c r="F1250" s="18"/>
      <c r="G1250" s="19" t="str">
        <f aca="true">IF(F1250="", "", DATEDIF(F1250, TODAY(), "Y"))</f>
        <v/>
      </c>
      <c r="H1250" s="18"/>
      <c r="I1250" s="18"/>
      <c r="J1250" s="24" t="str">
        <f aca="true">IF(ISBLANK(H1250), "", I1250-TODAY())</f>
        <v/>
      </c>
      <c r="K1250" s="24" t="str">
        <f aca="false" t="array" ref="K1250:K1250">IF(A1250&lt;&gt;"",IF(COUNTIF(A$996:A1251,"&lt;&gt;")=0,COUNTA(B$996:B1250),IFERROR(MATCH(TRUE(),INDEX((A$996:A1251&lt;&gt;""),0),0),COUNTA(B$996:B1250))),"")</f>
        <v/>
      </c>
      <c r="L1250" s="27"/>
    </row>
    <row r="1251" customFormat="false" ht="13.8" hidden="false" customHeight="false" outlineLevel="0" collapsed="false">
      <c r="A1251" s="16"/>
      <c r="B1251" s="16"/>
      <c r="C1251" s="26"/>
      <c r="D1251" s="26"/>
      <c r="E1251" s="16"/>
      <c r="F1251" s="18"/>
      <c r="G1251" s="19" t="str">
        <f aca="true">IF(F1251="", "", DATEDIF(F1251, TODAY(), "Y"))</f>
        <v/>
      </c>
      <c r="H1251" s="18"/>
      <c r="I1251" s="18"/>
      <c r="J1251" s="24" t="str">
        <f aca="true">IF(ISBLANK(H1251), "", I1251-TODAY())</f>
        <v/>
      </c>
      <c r="K1251" s="24" t="str">
        <f aca="false" t="array" ref="K1251:K1251">IF(A1251&lt;&gt;"",IF(COUNTIF(A$996:A1252,"&lt;&gt;")=0,COUNTA(B$996:B1251),IFERROR(MATCH(TRUE(),INDEX((A$996:A1252&lt;&gt;""),0),0),COUNTA(B$996:B1251))),"")</f>
        <v/>
      </c>
      <c r="L1251" s="27"/>
    </row>
    <row r="1252" customFormat="false" ht="13.8" hidden="false" customHeight="false" outlineLevel="0" collapsed="false">
      <c r="A1252" s="16"/>
      <c r="B1252" s="16"/>
      <c r="C1252" s="26"/>
      <c r="D1252" s="26"/>
      <c r="E1252" s="16"/>
      <c r="F1252" s="18"/>
      <c r="G1252" s="19" t="str">
        <f aca="true">IF(F1252="", "", DATEDIF(F1252, TODAY(), "Y"))</f>
        <v/>
      </c>
      <c r="H1252" s="18"/>
      <c r="I1252" s="18"/>
      <c r="J1252" s="24" t="str">
        <f aca="true">IF(ISBLANK(H1252), "", I1252-TODAY())</f>
        <v/>
      </c>
      <c r="K1252" s="24" t="str">
        <f aca="false" t="array" ref="K1252:K1252">IF(A1252&lt;&gt;"",IF(COUNTIF(A$996:A1253,"&lt;&gt;")=0,COUNTA(B$996:B1252),IFERROR(MATCH(TRUE(),INDEX((A$996:A1253&lt;&gt;""),0),0),COUNTA(B$996:B1252))),"")</f>
        <v/>
      </c>
      <c r="L1252" s="27"/>
    </row>
    <row r="1253" customFormat="false" ht="13.8" hidden="false" customHeight="false" outlineLevel="0" collapsed="false">
      <c r="A1253" s="16"/>
      <c r="B1253" s="16"/>
      <c r="C1253" s="26"/>
      <c r="D1253" s="26"/>
      <c r="E1253" s="16"/>
      <c r="F1253" s="18"/>
      <c r="G1253" s="19" t="str">
        <f aca="true">IF(F1253="", "", DATEDIF(F1253, TODAY(), "Y"))</f>
        <v/>
      </c>
      <c r="H1253" s="18"/>
      <c r="I1253" s="18"/>
      <c r="J1253" s="24" t="str">
        <f aca="true">IF(ISBLANK(H1253), "", I1253-TODAY())</f>
        <v/>
      </c>
      <c r="K1253" s="24" t="str">
        <f aca="false" t="array" ref="K1253:K1253">IF(A1253&lt;&gt;"",IF(COUNTIF(A$996:A1254,"&lt;&gt;")=0,COUNTA(B$996:B1253),IFERROR(MATCH(TRUE(),INDEX((A$996:A1254&lt;&gt;""),0),0),COUNTA(B$996:B1253))),"")</f>
        <v/>
      </c>
      <c r="L1253" s="27"/>
    </row>
    <row r="1254" customFormat="false" ht="13.8" hidden="false" customHeight="false" outlineLevel="0" collapsed="false">
      <c r="A1254" s="16"/>
      <c r="B1254" s="16"/>
      <c r="C1254" s="26"/>
      <c r="D1254" s="26"/>
      <c r="E1254" s="16"/>
      <c r="F1254" s="18"/>
      <c r="G1254" s="19" t="str">
        <f aca="true">IF(F1254="", "", DATEDIF(F1254, TODAY(), "Y"))</f>
        <v/>
      </c>
      <c r="H1254" s="18"/>
      <c r="I1254" s="18"/>
      <c r="J1254" s="24" t="str">
        <f aca="true">IF(ISBLANK(H1254), "", I1254-TODAY())</f>
        <v/>
      </c>
      <c r="K1254" s="24" t="str">
        <f aca="false" t="array" ref="K1254:K1254">IF(A1254&lt;&gt;"",IF(COUNTIF(A$996:A1255,"&lt;&gt;")=0,COUNTA(B$996:B1254),IFERROR(MATCH(TRUE(),INDEX((A$996:A1255&lt;&gt;""),0),0),COUNTA(B$996:B1254))),"")</f>
        <v/>
      </c>
      <c r="L1254" s="27"/>
    </row>
    <row r="1255" customFormat="false" ht="13.8" hidden="false" customHeight="false" outlineLevel="0" collapsed="false">
      <c r="A1255" s="16"/>
      <c r="B1255" s="16"/>
      <c r="C1255" s="26"/>
      <c r="D1255" s="26"/>
      <c r="E1255" s="16"/>
      <c r="F1255" s="18"/>
      <c r="G1255" s="19" t="str">
        <f aca="true">IF(F1255="", "", DATEDIF(F1255, TODAY(), "Y"))</f>
        <v/>
      </c>
      <c r="H1255" s="18"/>
      <c r="I1255" s="18"/>
      <c r="J1255" s="24" t="str">
        <f aca="true">IF(ISBLANK(H1255), "", I1255-TODAY())</f>
        <v/>
      </c>
      <c r="K1255" s="24" t="str">
        <f aca="false" t="array" ref="K1255:K1255">IF(A1255&lt;&gt;"",IF(COUNTIF(A$996:A1256,"&lt;&gt;")=0,COUNTA(B$996:B1255),IFERROR(MATCH(TRUE(),INDEX((A$996:A1256&lt;&gt;""),0),0),COUNTA(B$996:B1255))),"")</f>
        <v/>
      </c>
      <c r="L1255" s="27"/>
    </row>
    <row r="1256" customFormat="false" ht="13.8" hidden="false" customHeight="false" outlineLevel="0" collapsed="false">
      <c r="A1256" s="16"/>
      <c r="B1256" s="16"/>
      <c r="C1256" s="26"/>
      <c r="D1256" s="26"/>
      <c r="E1256" s="16"/>
      <c r="F1256" s="18"/>
      <c r="G1256" s="19" t="str">
        <f aca="true">IF(F1256="", "", DATEDIF(F1256, TODAY(), "Y"))</f>
        <v/>
      </c>
      <c r="H1256" s="18"/>
      <c r="I1256" s="18"/>
      <c r="J1256" s="24" t="str">
        <f aca="true">IF(ISBLANK(H1256), "", I1256-TODAY())</f>
        <v/>
      </c>
      <c r="K1256" s="24" t="str">
        <f aca="false" t="array" ref="K1256:K1256">IF(A1256&lt;&gt;"",IF(COUNTIF(A$996:A1257,"&lt;&gt;")=0,COUNTA(B$996:B1256),IFERROR(MATCH(TRUE(),INDEX((A$996:A1257&lt;&gt;""),0),0),COUNTA(B$996:B1256))),"")</f>
        <v/>
      </c>
      <c r="L1256" s="27"/>
    </row>
    <row r="1257" customFormat="false" ht="13.8" hidden="false" customHeight="false" outlineLevel="0" collapsed="false">
      <c r="A1257" s="16"/>
      <c r="B1257" s="16"/>
      <c r="C1257" s="26"/>
      <c r="D1257" s="26"/>
      <c r="E1257" s="16"/>
      <c r="F1257" s="18"/>
      <c r="G1257" s="19" t="str">
        <f aca="true">IF(F1257="", "", DATEDIF(F1257, TODAY(), "Y"))</f>
        <v/>
      </c>
      <c r="H1257" s="18"/>
      <c r="I1257" s="18"/>
      <c r="J1257" s="24" t="str">
        <f aca="true">IF(ISBLANK(H1257), "", I1257-TODAY())</f>
        <v/>
      </c>
      <c r="K1257" s="24" t="str">
        <f aca="false" t="array" ref="K1257:K1257">IF(A1257&lt;&gt;"",IF(COUNTIF(A$996:A1258,"&lt;&gt;")=0,COUNTA(B$996:B1257),IFERROR(MATCH(TRUE(),INDEX((A$996:A1258&lt;&gt;""),0),0),COUNTA(B$996:B1257))),"")</f>
        <v/>
      </c>
      <c r="L1257" s="27"/>
    </row>
    <row r="1258" customFormat="false" ht="13.8" hidden="false" customHeight="false" outlineLevel="0" collapsed="false">
      <c r="A1258" s="16"/>
      <c r="B1258" s="16"/>
      <c r="C1258" s="26"/>
      <c r="D1258" s="26"/>
      <c r="E1258" s="16"/>
      <c r="F1258" s="18"/>
      <c r="G1258" s="19" t="str">
        <f aca="true">IF(F1258="", "", DATEDIF(F1258, TODAY(), "Y"))</f>
        <v/>
      </c>
      <c r="H1258" s="18"/>
      <c r="I1258" s="18"/>
      <c r="J1258" s="24" t="str">
        <f aca="true">IF(ISBLANK(H1258), "", I1258-TODAY())</f>
        <v/>
      </c>
      <c r="K1258" s="24" t="str">
        <f aca="false" t="array" ref="K1258:K1258">IF(A1258&lt;&gt;"",IF(COUNTIF(A$996:A1259,"&lt;&gt;")=0,COUNTA(B$996:B1258),IFERROR(MATCH(TRUE(),INDEX((A$996:A1259&lt;&gt;""),0),0),COUNTA(B$996:B1258))),"")</f>
        <v/>
      </c>
      <c r="L1258" s="27"/>
    </row>
    <row r="1259" customFormat="false" ht="13.8" hidden="false" customHeight="false" outlineLevel="0" collapsed="false">
      <c r="A1259" s="16"/>
      <c r="B1259" s="16"/>
      <c r="C1259" s="26"/>
      <c r="D1259" s="26"/>
      <c r="E1259" s="16"/>
      <c r="F1259" s="18"/>
      <c r="G1259" s="19" t="str">
        <f aca="true">IF(F1259="", "", DATEDIF(F1259, TODAY(), "Y"))</f>
        <v/>
      </c>
      <c r="H1259" s="18"/>
      <c r="I1259" s="18"/>
      <c r="J1259" s="24" t="str">
        <f aca="true">IF(ISBLANK(H1259), "", I1259-TODAY())</f>
        <v/>
      </c>
      <c r="K1259" s="24" t="str">
        <f aca="false" t="array" ref="K1259:K1259">IF(A1259&lt;&gt;"",IF(COUNTIF(A$996:A1260,"&lt;&gt;")=0,COUNTA(B$996:B1259),IFERROR(MATCH(TRUE(),INDEX((A$996:A1260&lt;&gt;""),0),0),COUNTA(B$996:B1259))),"")</f>
        <v/>
      </c>
      <c r="L1259" s="27"/>
    </row>
    <row r="1260" customFormat="false" ht="13.8" hidden="false" customHeight="false" outlineLevel="0" collapsed="false">
      <c r="A1260" s="16"/>
      <c r="B1260" s="16"/>
      <c r="C1260" s="26"/>
      <c r="D1260" s="26"/>
      <c r="E1260" s="16"/>
      <c r="F1260" s="18"/>
      <c r="G1260" s="19" t="str">
        <f aca="true">IF(F1260="", "", DATEDIF(F1260, TODAY(), "Y"))</f>
        <v/>
      </c>
      <c r="H1260" s="18"/>
      <c r="I1260" s="18"/>
      <c r="J1260" s="24" t="str">
        <f aca="true">IF(ISBLANK(H1260), "", I1260-TODAY())</f>
        <v/>
      </c>
      <c r="K1260" s="24" t="str">
        <f aca="false" t="array" ref="K1260:K1260">IF(A1260&lt;&gt;"",IF(COUNTIF(A$996:A1261,"&lt;&gt;")=0,COUNTA(B$996:B1260),IFERROR(MATCH(TRUE(),INDEX((A$996:A1261&lt;&gt;""),0),0),COUNTA(B$996:B1260))),"")</f>
        <v/>
      </c>
      <c r="L1260" s="27"/>
    </row>
    <row r="1261" customFormat="false" ht="13.8" hidden="false" customHeight="false" outlineLevel="0" collapsed="false">
      <c r="A1261" s="16"/>
      <c r="B1261" s="16"/>
      <c r="C1261" s="26"/>
      <c r="D1261" s="26"/>
      <c r="E1261" s="16"/>
      <c r="F1261" s="18"/>
      <c r="G1261" s="19" t="str">
        <f aca="true">IF(F1261="", "", DATEDIF(F1261, TODAY(), "Y"))</f>
        <v/>
      </c>
      <c r="H1261" s="18"/>
      <c r="I1261" s="18"/>
      <c r="J1261" s="24" t="str">
        <f aca="true">IF(ISBLANK(H1261), "", I1261-TODAY())</f>
        <v/>
      </c>
      <c r="K1261" s="24" t="str">
        <f aca="false" t="array" ref="K1261:K1261">IF(A1261&lt;&gt;"",IF(COUNTIF(A$996:A1262,"&lt;&gt;")=0,COUNTA(B$996:B1261),IFERROR(MATCH(TRUE(),INDEX((A$996:A1262&lt;&gt;""),0),0),COUNTA(B$996:B1261))),"")</f>
        <v/>
      </c>
      <c r="L1261" s="27"/>
    </row>
    <row r="1262" customFormat="false" ht="13.8" hidden="false" customHeight="false" outlineLevel="0" collapsed="false">
      <c r="A1262" s="16"/>
      <c r="B1262" s="16"/>
      <c r="C1262" s="26"/>
      <c r="D1262" s="26"/>
      <c r="E1262" s="16"/>
      <c r="F1262" s="18"/>
      <c r="G1262" s="19" t="str">
        <f aca="true">IF(F1262="", "", DATEDIF(F1262, TODAY(), "Y"))</f>
        <v/>
      </c>
      <c r="H1262" s="18"/>
      <c r="I1262" s="18"/>
      <c r="J1262" s="24" t="str">
        <f aca="true">IF(ISBLANK(H1262), "", I1262-TODAY())</f>
        <v/>
      </c>
      <c r="K1262" s="24" t="str">
        <f aca="false" t="array" ref="K1262:K1262">IF(A1262&lt;&gt;"",IF(COUNTIF(A$996:A1263,"&lt;&gt;")=0,COUNTA(B$996:B1262),IFERROR(MATCH(TRUE(),INDEX((A$996:A1263&lt;&gt;""),0),0),COUNTA(B$996:B1262))),"")</f>
        <v/>
      </c>
      <c r="L1262" s="27"/>
    </row>
    <row r="1263" customFormat="false" ht="13.8" hidden="false" customHeight="false" outlineLevel="0" collapsed="false">
      <c r="A1263" s="16"/>
      <c r="B1263" s="16"/>
      <c r="C1263" s="26"/>
      <c r="D1263" s="26"/>
      <c r="E1263" s="16"/>
      <c r="F1263" s="18"/>
      <c r="G1263" s="19" t="str">
        <f aca="true">IF(F1263="", "", DATEDIF(F1263, TODAY(), "Y"))</f>
        <v/>
      </c>
      <c r="H1263" s="18"/>
      <c r="I1263" s="18"/>
      <c r="J1263" s="24" t="str">
        <f aca="true">IF(ISBLANK(H1263), "", I1263-TODAY())</f>
        <v/>
      </c>
      <c r="K1263" s="24" t="str">
        <f aca="false" t="array" ref="K1263:K1263">IF(A1263&lt;&gt;"",IF(COUNTIF(A$996:A1264,"&lt;&gt;")=0,COUNTA(B$996:B1263),IFERROR(MATCH(TRUE(),INDEX((A$996:A1264&lt;&gt;""),0),0),COUNTA(B$996:B1263))),"")</f>
        <v/>
      </c>
      <c r="L1263" s="27"/>
    </row>
    <row r="1264" customFormat="false" ht="13.8" hidden="false" customHeight="false" outlineLevel="0" collapsed="false">
      <c r="A1264" s="16"/>
      <c r="B1264" s="16"/>
      <c r="C1264" s="26"/>
      <c r="D1264" s="26"/>
      <c r="E1264" s="16"/>
      <c r="F1264" s="18"/>
      <c r="G1264" s="19" t="str">
        <f aca="true">IF(F1264="", "", DATEDIF(F1264, TODAY(), "Y"))</f>
        <v/>
      </c>
      <c r="H1264" s="18"/>
      <c r="I1264" s="18"/>
      <c r="J1264" s="24" t="str">
        <f aca="true">IF(ISBLANK(H1264), "", I1264-TODAY())</f>
        <v/>
      </c>
      <c r="K1264" s="24" t="str">
        <f aca="false" t="array" ref="K1264:K1264">IF(A1264&lt;&gt;"",IF(COUNTIF(A$996:A1265,"&lt;&gt;")=0,COUNTA(B$996:B1264),IFERROR(MATCH(TRUE(),INDEX((A$996:A1265&lt;&gt;""),0),0),COUNTA(B$996:B1264))),"")</f>
        <v/>
      </c>
      <c r="L1264" s="27"/>
    </row>
    <row r="1265" customFormat="false" ht="13.8" hidden="false" customHeight="false" outlineLevel="0" collapsed="false">
      <c r="A1265" s="16"/>
      <c r="B1265" s="16"/>
      <c r="C1265" s="26"/>
      <c r="D1265" s="26"/>
      <c r="E1265" s="16"/>
      <c r="F1265" s="18"/>
      <c r="G1265" s="19" t="str">
        <f aca="true">IF(F1265="", "", DATEDIF(F1265, TODAY(), "Y"))</f>
        <v/>
      </c>
      <c r="H1265" s="18"/>
      <c r="I1265" s="18"/>
      <c r="J1265" s="24" t="str">
        <f aca="true">IF(ISBLANK(H1265), "", I1265-TODAY())</f>
        <v/>
      </c>
      <c r="K1265" s="24" t="str">
        <f aca="false" t="array" ref="K1265:K1265">IF(A1265&lt;&gt;"",IF(COUNTIF(A$996:A1266,"&lt;&gt;")=0,COUNTA(B$996:B1265),IFERROR(MATCH(TRUE(),INDEX((A$996:A1266&lt;&gt;""),0),0),COUNTA(B$996:B1265))),"")</f>
        <v/>
      </c>
      <c r="L1265" s="27"/>
    </row>
    <row r="1266" customFormat="false" ht="13.8" hidden="false" customHeight="false" outlineLevel="0" collapsed="false">
      <c r="A1266" s="16"/>
      <c r="B1266" s="16"/>
      <c r="C1266" s="26"/>
      <c r="D1266" s="26"/>
      <c r="E1266" s="16"/>
      <c r="F1266" s="18"/>
      <c r="G1266" s="19" t="str">
        <f aca="true">IF(F1266="", "", DATEDIF(F1266, TODAY(), "Y"))</f>
        <v/>
      </c>
      <c r="H1266" s="18"/>
      <c r="I1266" s="18"/>
      <c r="J1266" s="24" t="str">
        <f aca="true">IF(ISBLANK(H1266), "", I1266-TODAY())</f>
        <v/>
      </c>
      <c r="K1266" s="24" t="str">
        <f aca="false" t="array" ref="K1266:K1266">IF(A1266&lt;&gt;"",IF(COUNTIF(A$996:A1267,"&lt;&gt;")=0,COUNTA(B$996:B1266),IFERROR(MATCH(TRUE(),INDEX((A$996:A1267&lt;&gt;""),0),0),COUNTA(B$996:B1266))),"")</f>
        <v/>
      </c>
      <c r="L1266" s="27"/>
    </row>
    <row r="1267" customFormat="false" ht="13.8" hidden="false" customHeight="false" outlineLevel="0" collapsed="false">
      <c r="A1267" s="16"/>
      <c r="B1267" s="16"/>
      <c r="C1267" s="26"/>
      <c r="D1267" s="26"/>
      <c r="E1267" s="16"/>
      <c r="F1267" s="18"/>
      <c r="G1267" s="19" t="str">
        <f aca="true">IF(F1267="", "", DATEDIF(F1267, TODAY(), "Y"))</f>
        <v/>
      </c>
      <c r="H1267" s="18"/>
      <c r="I1267" s="18"/>
      <c r="J1267" s="24" t="str">
        <f aca="true">IF(ISBLANK(H1267), "", I1267-TODAY())</f>
        <v/>
      </c>
      <c r="K1267" s="24" t="str">
        <f aca="false" t="array" ref="K1267:K1267">IF(A1267&lt;&gt;"",IF(COUNTIF(A$996:A1268,"&lt;&gt;")=0,COUNTA(B$996:B1267),IFERROR(MATCH(TRUE(),INDEX((A$996:A1268&lt;&gt;""),0),0),COUNTA(B$996:B1267))),"")</f>
        <v/>
      </c>
      <c r="L1267" s="27"/>
    </row>
    <row r="1268" customFormat="false" ht="13.8" hidden="false" customHeight="false" outlineLevel="0" collapsed="false">
      <c r="A1268" s="16"/>
      <c r="B1268" s="16"/>
      <c r="C1268" s="26"/>
      <c r="D1268" s="26"/>
      <c r="E1268" s="16"/>
      <c r="F1268" s="18"/>
      <c r="G1268" s="19" t="str">
        <f aca="true">IF(F1268="", "", DATEDIF(F1268, TODAY(), "Y"))</f>
        <v/>
      </c>
      <c r="H1268" s="18"/>
      <c r="I1268" s="18"/>
      <c r="J1268" s="24" t="str">
        <f aca="true">IF(ISBLANK(H1268), "", I1268-TODAY())</f>
        <v/>
      </c>
      <c r="K1268" s="24" t="str">
        <f aca="false" t="array" ref="K1268:K1268">IF(A1268&lt;&gt;"",IF(COUNTIF(A$996:A1269,"&lt;&gt;")=0,COUNTA(B$996:B1268),IFERROR(MATCH(TRUE(),INDEX((A$996:A1269&lt;&gt;""),0),0),COUNTA(B$996:B1268))),"")</f>
        <v/>
      </c>
      <c r="L1268" s="27"/>
    </row>
    <row r="1269" customFormat="false" ht="13.8" hidden="false" customHeight="false" outlineLevel="0" collapsed="false">
      <c r="A1269" s="16"/>
      <c r="B1269" s="16"/>
      <c r="C1269" s="26"/>
      <c r="D1269" s="26"/>
      <c r="E1269" s="16"/>
      <c r="F1269" s="18"/>
      <c r="G1269" s="19" t="str">
        <f aca="true">IF(F1269="", "", DATEDIF(F1269, TODAY(), "Y"))</f>
        <v/>
      </c>
      <c r="H1269" s="18"/>
      <c r="I1269" s="18"/>
      <c r="J1269" s="24" t="str">
        <f aca="true">IF(ISBLANK(H1269), "", I1269-TODAY())</f>
        <v/>
      </c>
      <c r="K1269" s="24" t="str">
        <f aca="false" t="array" ref="K1269:K1269">IF(A1269&lt;&gt;"",IF(COUNTIF(A$996:A1270,"&lt;&gt;")=0,COUNTA(B$996:B1269),IFERROR(MATCH(TRUE(),INDEX((A$996:A1270&lt;&gt;""),0),0),COUNTA(B$996:B1269))),"")</f>
        <v/>
      </c>
      <c r="L1269" s="27"/>
    </row>
    <row r="1270" customFormat="false" ht="13.8" hidden="false" customHeight="false" outlineLevel="0" collapsed="false">
      <c r="A1270" s="16"/>
      <c r="B1270" s="16"/>
      <c r="C1270" s="26"/>
      <c r="D1270" s="26"/>
      <c r="E1270" s="16"/>
      <c r="F1270" s="18"/>
      <c r="G1270" s="19" t="str">
        <f aca="true">IF(F1270="", "", DATEDIF(F1270, TODAY(), "Y"))</f>
        <v/>
      </c>
      <c r="H1270" s="18"/>
      <c r="I1270" s="18"/>
      <c r="J1270" s="24" t="str">
        <f aca="true">IF(ISBLANK(H1270), "", I1270-TODAY())</f>
        <v/>
      </c>
      <c r="K1270" s="24" t="str">
        <f aca="false" t="array" ref="K1270:K1270">IF(A1270&lt;&gt;"",IF(COUNTIF(A$996:A1271,"&lt;&gt;")=0,COUNTA(B$996:B1270),IFERROR(MATCH(TRUE(),INDEX((A$996:A1271&lt;&gt;""),0),0),COUNTA(B$996:B1270))),"")</f>
        <v/>
      </c>
      <c r="L1270" s="27"/>
    </row>
    <row r="1271" customFormat="false" ht="13.8" hidden="false" customHeight="false" outlineLevel="0" collapsed="false">
      <c r="A1271" s="16"/>
      <c r="B1271" s="16"/>
      <c r="C1271" s="26"/>
      <c r="D1271" s="26"/>
      <c r="E1271" s="16"/>
      <c r="F1271" s="18"/>
      <c r="G1271" s="19" t="str">
        <f aca="true">IF(F1271="", "", DATEDIF(F1271, TODAY(), "Y"))</f>
        <v/>
      </c>
      <c r="H1271" s="18"/>
      <c r="I1271" s="18"/>
      <c r="J1271" s="24" t="str">
        <f aca="true">IF(ISBLANK(H1271), "", I1271-TODAY())</f>
        <v/>
      </c>
      <c r="K1271" s="24" t="str">
        <f aca="false" t="array" ref="K1271:K1271">IF(A1271&lt;&gt;"",IF(COUNTIF(A$996:A1272,"&lt;&gt;")=0,COUNTA(B$996:B1271),IFERROR(MATCH(TRUE(),INDEX((A$996:A1272&lt;&gt;""),0),0),COUNTA(B$996:B1271))),"")</f>
        <v/>
      </c>
      <c r="L1271" s="27"/>
    </row>
    <row r="1272" customFormat="false" ht="13.8" hidden="false" customHeight="false" outlineLevel="0" collapsed="false">
      <c r="A1272" s="16"/>
      <c r="B1272" s="16"/>
      <c r="C1272" s="26"/>
      <c r="D1272" s="26"/>
      <c r="E1272" s="16"/>
      <c r="F1272" s="18"/>
      <c r="G1272" s="19" t="str">
        <f aca="true">IF(F1272="", "", DATEDIF(F1272, TODAY(), "Y"))</f>
        <v/>
      </c>
      <c r="H1272" s="18"/>
      <c r="I1272" s="18"/>
      <c r="J1272" s="24" t="str">
        <f aca="true">IF(ISBLANK(H1272), "", I1272-TODAY())</f>
        <v/>
      </c>
      <c r="K1272" s="24" t="str">
        <f aca="false" t="array" ref="K1272:K1272">IF(A1272&lt;&gt;"",IF(COUNTIF(A$996:A1273,"&lt;&gt;")=0,COUNTA(B$996:B1272),IFERROR(MATCH(TRUE(),INDEX((A$996:A1273&lt;&gt;""),0),0),COUNTA(B$996:B1272))),"")</f>
        <v/>
      </c>
      <c r="L1272" s="27"/>
    </row>
    <row r="1273" customFormat="false" ht="13.8" hidden="false" customHeight="false" outlineLevel="0" collapsed="false">
      <c r="A1273" s="16"/>
      <c r="B1273" s="16"/>
      <c r="C1273" s="26"/>
      <c r="D1273" s="26"/>
      <c r="E1273" s="16"/>
      <c r="F1273" s="18"/>
      <c r="G1273" s="19" t="str">
        <f aca="true">IF(F1273="", "", DATEDIF(F1273, TODAY(), "Y"))</f>
        <v/>
      </c>
      <c r="H1273" s="18"/>
      <c r="I1273" s="18"/>
      <c r="J1273" s="24" t="str">
        <f aca="true">IF(ISBLANK(H1273), "", I1273-TODAY())</f>
        <v/>
      </c>
      <c r="K1273" s="24" t="str">
        <f aca="false" t="array" ref="K1273:K1273">IF(A1273&lt;&gt;"",IF(COUNTIF(A$996:A1274,"&lt;&gt;")=0,COUNTA(B$996:B1273),IFERROR(MATCH(TRUE(),INDEX((A$996:A1274&lt;&gt;""),0),0),COUNTA(B$996:B1273))),"")</f>
        <v/>
      </c>
      <c r="L1273" s="27"/>
    </row>
    <row r="1274" customFormat="false" ht="13.8" hidden="false" customHeight="false" outlineLevel="0" collapsed="false">
      <c r="A1274" s="16"/>
      <c r="B1274" s="16"/>
      <c r="C1274" s="26"/>
      <c r="D1274" s="26"/>
      <c r="E1274" s="16"/>
      <c r="F1274" s="18"/>
      <c r="G1274" s="19" t="str">
        <f aca="true">IF(F1274="", "", DATEDIF(F1274, TODAY(), "Y"))</f>
        <v/>
      </c>
      <c r="H1274" s="18"/>
      <c r="I1274" s="18"/>
      <c r="J1274" s="24" t="str">
        <f aca="true">IF(ISBLANK(H1274), "", I1274-TODAY())</f>
        <v/>
      </c>
      <c r="K1274" s="24" t="str">
        <f aca="false" t="array" ref="K1274:K1274">IF(A1274&lt;&gt;"",IF(COUNTIF(A$996:A1275,"&lt;&gt;")=0,COUNTA(B$996:B1274),IFERROR(MATCH(TRUE(),INDEX((A$996:A1275&lt;&gt;""),0),0),COUNTA(B$996:B1274))),"")</f>
        <v/>
      </c>
      <c r="L1274" s="27"/>
    </row>
    <row r="1275" customFormat="false" ht="13.8" hidden="false" customHeight="false" outlineLevel="0" collapsed="false">
      <c r="A1275" s="16"/>
      <c r="B1275" s="16"/>
      <c r="C1275" s="26"/>
      <c r="D1275" s="26"/>
      <c r="E1275" s="16"/>
      <c r="F1275" s="18"/>
      <c r="G1275" s="19" t="str">
        <f aca="true">IF(F1275="", "", DATEDIF(F1275, TODAY(), "Y"))</f>
        <v/>
      </c>
      <c r="H1275" s="18"/>
      <c r="I1275" s="18"/>
      <c r="J1275" s="24" t="str">
        <f aca="true">IF(ISBLANK(H1275), "", I1275-TODAY())</f>
        <v/>
      </c>
      <c r="K1275" s="24" t="str">
        <f aca="false" t="array" ref="K1275:K1275">IF(A1275&lt;&gt;"",IF(COUNTIF(A$996:A1276,"&lt;&gt;")=0,COUNTA(B$996:B1275),IFERROR(MATCH(TRUE(),INDEX((A$996:A1276&lt;&gt;""),0),0),COUNTA(B$996:B1275))),"")</f>
        <v/>
      </c>
      <c r="L1275" s="27"/>
    </row>
    <row r="1276" customFormat="false" ht="13.8" hidden="false" customHeight="false" outlineLevel="0" collapsed="false">
      <c r="A1276" s="16"/>
      <c r="B1276" s="16"/>
      <c r="C1276" s="26"/>
      <c r="D1276" s="26"/>
      <c r="E1276" s="16"/>
      <c r="F1276" s="18"/>
      <c r="G1276" s="19" t="str">
        <f aca="true">IF(F1276="", "", DATEDIF(F1276, TODAY(), "Y"))</f>
        <v/>
      </c>
      <c r="H1276" s="18"/>
      <c r="I1276" s="18"/>
      <c r="J1276" s="24" t="str">
        <f aca="true">IF(ISBLANK(H1276), "", I1276-TODAY())</f>
        <v/>
      </c>
      <c r="K1276" s="24" t="str">
        <f aca="false" t="array" ref="K1276:K1276">IF(A1276&lt;&gt;"",IF(COUNTIF(A$996:A1277,"&lt;&gt;")=0,COUNTA(B$996:B1276),IFERROR(MATCH(TRUE(),INDEX((A$996:A1277&lt;&gt;""),0),0),COUNTA(B$996:B1276))),"")</f>
        <v/>
      </c>
      <c r="L1276" s="27"/>
    </row>
    <row r="1277" customFormat="false" ht="13.8" hidden="false" customHeight="false" outlineLevel="0" collapsed="false">
      <c r="A1277" s="16"/>
      <c r="B1277" s="16"/>
      <c r="C1277" s="26"/>
      <c r="D1277" s="26"/>
      <c r="E1277" s="16"/>
      <c r="F1277" s="18"/>
      <c r="G1277" s="19" t="str">
        <f aca="true">IF(F1277="", "", DATEDIF(F1277, TODAY(), "Y"))</f>
        <v/>
      </c>
      <c r="H1277" s="18"/>
      <c r="I1277" s="18"/>
      <c r="J1277" s="24" t="str">
        <f aca="true">IF(ISBLANK(H1277), "", I1277-TODAY())</f>
        <v/>
      </c>
      <c r="K1277" s="24" t="str">
        <f aca="false" t="array" ref="K1277:K1277">IF(A1277&lt;&gt;"",IF(COUNTIF(A$996:A1278,"&lt;&gt;")=0,COUNTA(B$996:B1277),IFERROR(MATCH(TRUE(),INDEX((A$996:A1278&lt;&gt;""),0),0),COUNTA(B$996:B1277))),"")</f>
        <v/>
      </c>
      <c r="L1277" s="27"/>
    </row>
    <row r="1278" customFormat="false" ht="13.8" hidden="false" customHeight="false" outlineLevel="0" collapsed="false">
      <c r="A1278" s="16"/>
      <c r="B1278" s="16"/>
      <c r="C1278" s="26"/>
      <c r="D1278" s="26"/>
      <c r="E1278" s="16"/>
      <c r="F1278" s="18"/>
      <c r="G1278" s="19" t="str">
        <f aca="true">IF(F1278="", "", DATEDIF(F1278, TODAY(), "Y"))</f>
        <v/>
      </c>
      <c r="H1278" s="18"/>
      <c r="I1278" s="18"/>
      <c r="J1278" s="24" t="str">
        <f aca="true">IF(ISBLANK(H1278), "", I1278-TODAY())</f>
        <v/>
      </c>
      <c r="K1278" s="24" t="str">
        <f aca="false" t="array" ref="K1278:K1278">IF(A1278&lt;&gt;"",IF(COUNTIF(A$996:A1279,"&lt;&gt;")=0,COUNTA(B$996:B1278),IFERROR(MATCH(TRUE(),INDEX((A$996:A1279&lt;&gt;""),0),0),COUNTA(B$996:B1278))),"")</f>
        <v/>
      </c>
      <c r="L1278" s="27"/>
    </row>
    <row r="1279" customFormat="false" ht="13.8" hidden="false" customHeight="false" outlineLevel="0" collapsed="false">
      <c r="A1279" s="16"/>
      <c r="B1279" s="16"/>
      <c r="C1279" s="26"/>
      <c r="D1279" s="26"/>
      <c r="E1279" s="16"/>
      <c r="F1279" s="18"/>
      <c r="G1279" s="19" t="str">
        <f aca="true">IF(F1279="", "", DATEDIF(F1279, TODAY(), "Y"))</f>
        <v/>
      </c>
      <c r="H1279" s="18"/>
      <c r="I1279" s="18"/>
      <c r="J1279" s="24" t="str">
        <f aca="true">IF(ISBLANK(H1279), "", I1279-TODAY())</f>
        <v/>
      </c>
      <c r="K1279" s="24" t="str">
        <f aca="false" t="array" ref="K1279:K1279">IF(A1279&lt;&gt;"",IF(COUNTIF(A$996:A1280,"&lt;&gt;")=0,COUNTA(B$996:B1279),IFERROR(MATCH(TRUE(),INDEX((A$996:A1280&lt;&gt;""),0),0),COUNTA(B$996:B1279))),"")</f>
        <v/>
      </c>
      <c r="L1279" s="27"/>
    </row>
    <row r="1280" customFormat="false" ht="13.8" hidden="false" customHeight="false" outlineLevel="0" collapsed="false">
      <c r="A1280" s="16"/>
      <c r="B1280" s="16"/>
      <c r="C1280" s="26"/>
      <c r="D1280" s="26"/>
      <c r="E1280" s="16"/>
      <c r="F1280" s="18"/>
      <c r="G1280" s="19" t="str">
        <f aca="true">IF(F1280="", "", DATEDIF(F1280, TODAY(), "Y"))</f>
        <v/>
      </c>
      <c r="H1280" s="18"/>
      <c r="I1280" s="18"/>
      <c r="J1280" s="24" t="str">
        <f aca="true">IF(ISBLANK(H1280), "", I1280-TODAY())</f>
        <v/>
      </c>
      <c r="K1280" s="24" t="str">
        <f aca="false" t="array" ref="K1280:K1280">IF(A1280&lt;&gt;"",IF(COUNTIF(A$996:A1281,"&lt;&gt;")=0,COUNTA(B$996:B1280),IFERROR(MATCH(TRUE(),INDEX((A$996:A1281&lt;&gt;""),0),0),COUNTA(B$996:B1280))),"")</f>
        <v/>
      </c>
      <c r="L1280" s="27"/>
    </row>
    <row r="1281" customFormat="false" ht="13.8" hidden="false" customHeight="false" outlineLevel="0" collapsed="false">
      <c r="A1281" s="16"/>
      <c r="B1281" s="16"/>
      <c r="C1281" s="26"/>
      <c r="D1281" s="26"/>
      <c r="E1281" s="16"/>
      <c r="F1281" s="18"/>
      <c r="G1281" s="19" t="str">
        <f aca="true">IF(F1281="", "", DATEDIF(F1281, TODAY(), "Y"))</f>
        <v/>
      </c>
      <c r="H1281" s="18"/>
      <c r="I1281" s="18"/>
      <c r="J1281" s="24" t="str">
        <f aca="true">IF(ISBLANK(H1281), "", I1281-TODAY())</f>
        <v/>
      </c>
      <c r="K1281" s="24" t="str">
        <f aca="false" t="array" ref="K1281:K1281">IF(A1281&lt;&gt;"",IF(COUNTIF(A$996:A1282,"&lt;&gt;")=0,COUNTA(B$996:B1281),IFERROR(MATCH(TRUE(),INDEX((A$996:A1282&lt;&gt;""),0),0),COUNTA(B$996:B1281))),"")</f>
        <v/>
      </c>
      <c r="L1281" s="27"/>
    </row>
    <row r="1282" customFormat="false" ht="13.8" hidden="false" customHeight="false" outlineLevel="0" collapsed="false">
      <c r="A1282" s="16"/>
      <c r="B1282" s="16"/>
      <c r="C1282" s="26"/>
      <c r="D1282" s="26"/>
      <c r="E1282" s="16"/>
      <c r="F1282" s="18"/>
      <c r="G1282" s="19" t="str">
        <f aca="true">IF(F1282="", "", DATEDIF(F1282, TODAY(), "Y"))</f>
        <v/>
      </c>
      <c r="H1282" s="18"/>
      <c r="I1282" s="18"/>
      <c r="J1282" s="24" t="str">
        <f aca="true">IF(ISBLANK(H1282), "", I1282-TODAY())</f>
        <v/>
      </c>
      <c r="K1282" s="24" t="str">
        <f aca="false" t="array" ref="K1282:K1282">IF(A1282&lt;&gt;"",IF(COUNTIF(A$996:A1283,"&lt;&gt;")=0,COUNTA(B$996:B1282),IFERROR(MATCH(TRUE(),INDEX((A$996:A1283&lt;&gt;""),0),0),COUNTA(B$996:B1282))),"")</f>
        <v/>
      </c>
      <c r="L1282" s="27"/>
    </row>
    <row r="1283" customFormat="false" ht="13.8" hidden="false" customHeight="false" outlineLevel="0" collapsed="false">
      <c r="A1283" s="16"/>
      <c r="B1283" s="16"/>
      <c r="C1283" s="26"/>
      <c r="D1283" s="26"/>
      <c r="E1283" s="16"/>
      <c r="F1283" s="18"/>
      <c r="G1283" s="19" t="str">
        <f aca="true">IF(F1283="", "", DATEDIF(F1283, TODAY(), "Y"))</f>
        <v/>
      </c>
      <c r="H1283" s="18"/>
      <c r="I1283" s="18"/>
      <c r="J1283" s="24" t="str">
        <f aca="true">IF(ISBLANK(H1283), "", I1283-TODAY())</f>
        <v/>
      </c>
      <c r="K1283" s="24" t="str">
        <f aca="false" t="array" ref="K1283:K1283">IF(A1283&lt;&gt;"",IF(COUNTIF(A$996:A1284,"&lt;&gt;")=0,COUNTA(B$996:B1283),IFERROR(MATCH(TRUE(),INDEX((A$996:A1284&lt;&gt;""),0),0),COUNTA(B$996:B1283))),"")</f>
        <v/>
      </c>
      <c r="L1283" s="27"/>
    </row>
    <row r="1284" customFormat="false" ht="13.8" hidden="false" customHeight="false" outlineLevel="0" collapsed="false">
      <c r="A1284" s="16"/>
      <c r="B1284" s="16"/>
      <c r="C1284" s="26"/>
      <c r="D1284" s="26"/>
      <c r="E1284" s="16"/>
      <c r="F1284" s="18"/>
      <c r="G1284" s="19" t="str">
        <f aca="true">IF(F1284="", "", DATEDIF(F1284, TODAY(), "Y"))</f>
        <v/>
      </c>
      <c r="H1284" s="18"/>
      <c r="I1284" s="18"/>
      <c r="J1284" s="24" t="str">
        <f aca="true">IF(ISBLANK(H1284), "", I1284-TODAY())</f>
        <v/>
      </c>
      <c r="K1284" s="24" t="str">
        <f aca="false" t="array" ref="K1284:K1284">IF(A1284&lt;&gt;"",IF(COUNTIF(A$996:A1285,"&lt;&gt;")=0,COUNTA(B$996:B1284),IFERROR(MATCH(TRUE(),INDEX((A$996:A1285&lt;&gt;""),0),0),COUNTA(B$996:B1284))),"")</f>
        <v/>
      </c>
      <c r="L1284" s="27"/>
    </row>
    <row r="1285" customFormat="false" ht="13.8" hidden="false" customHeight="false" outlineLevel="0" collapsed="false">
      <c r="A1285" s="16"/>
      <c r="B1285" s="16"/>
      <c r="C1285" s="26"/>
      <c r="D1285" s="26"/>
      <c r="E1285" s="16"/>
      <c r="F1285" s="18"/>
      <c r="G1285" s="19" t="str">
        <f aca="true">IF(F1285="", "", DATEDIF(F1285, TODAY(), "Y"))</f>
        <v/>
      </c>
      <c r="H1285" s="18"/>
      <c r="I1285" s="18"/>
      <c r="J1285" s="24" t="str">
        <f aca="true">IF(ISBLANK(H1285), "", I1285-TODAY())</f>
        <v/>
      </c>
      <c r="K1285" s="24" t="str">
        <f aca="false" t="array" ref="K1285:K1285">IF(A1285&lt;&gt;"",IF(COUNTIF(A$996:A1286,"&lt;&gt;")=0,COUNTA(B$996:B1285),IFERROR(MATCH(TRUE(),INDEX((A$996:A1286&lt;&gt;""),0),0),COUNTA(B$996:B1285))),"")</f>
        <v/>
      </c>
      <c r="L1285" s="27"/>
    </row>
    <row r="1286" customFormat="false" ht="13.8" hidden="false" customHeight="false" outlineLevel="0" collapsed="false">
      <c r="A1286" s="16"/>
      <c r="B1286" s="16"/>
      <c r="C1286" s="26"/>
      <c r="D1286" s="26"/>
      <c r="E1286" s="16"/>
      <c r="F1286" s="18"/>
      <c r="G1286" s="19" t="str">
        <f aca="true">IF(F1286="", "", DATEDIF(F1286, TODAY(), "Y"))</f>
        <v/>
      </c>
      <c r="H1286" s="18"/>
      <c r="I1286" s="18"/>
      <c r="J1286" s="24" t="str">
        <f aca="true">IF(ISBLANK(H1286), "", I1286-TODAY())</f>
        <v/>
      </c>
      <c r="K1286" s="24" t="str">
        <f aca="false" t="array" ref="K1286:K1286">IF(A1286&lt;&gt;"",IF(COUNTIF(A$996:A1287,"&lt;&gt;")=0,COUNTA(B$996:B1286),IFERROR(MATCH(TRUE(),INDEX((A$996:A1287&lt;&gt;""),0),0),COUNTA(B$996:B1286))),"")</f>
        <v/>
      </c>
      <c r="L1286" s="27"/>
    </row>
    <row r="1287" customFormat="false" ht="13.8" hidden="false" customHeight="false" outlineLevel="0" collapsed="false">
      <c r="A1287" s="16"/>
      <c r="B1287" s="16"/>
      <c r="C1287" s="26"/>
      <c r="D1287" s="26"/>
      <c r="E1287" s="16"/>
      <c r="F1287" s="18"/>
      <c r="G1287" s="19" t="str">
        <f aca="true">IF(F1287="", "", DATEDIF(F1287, TODAY(), "Y"))</f>
        <v/>
      </c>
      <c r="H1287" s="18"/>
      <c r="I1287" s="18"/>
      <c r="J1287" s="24" t="str">
        <f aca="true">IF(ISBLANK(H1287), "", I1287-TODAY())</f>
        <v/>
      </c>
      <c r="K1287" s="24" t="str">
        <f aca="false" t="array" ref="K1287:K1287">IF(A1287&lt;&gt;"",IF(COUNTIF(A$996:A1288,"&lt;&gt;")=0,COUNTA(B$996:B1287),IFERROR(MATCH(TRUE(),INDEX((A$996:A1288&lt;&gt;""),0),0),COUNTA(B$996:B1287))),"")</f>
        <v/>
      </c>
      <c r="L1287" s="27"/>
    </row>
    <row r="1288" customFormat="false" ht="13.8" hidden="false" customHeight="false" outlineLevel="0" collapsed="false">
      <c r="A1288" s="16"/>
      <c r="B1288" s="16"/>
      <c r="C1288" s="26"/>
      <c r="D1288" s="26"/>
      <c r="E1288" s="16"/>
      <c r="F1288" s="18"/>
      <c r="G1288" s="19" t="str">
        <f aca="true">IF(F1288="", "", DATEDIF(F1288, TODAY(), "Y"))</f>
        <v/>
      </c>
      <c r="H1288" s="18"/>
      <c r="I1288" s="18"/>
      <c r="J1288" s="24" t="str">
        <f aca="true">IF(ISBLANK(H1288), "", I1288-TODAY())</f>
        <v/>
      </c>
      <c r="K1288" s="24" t="str">
        <f aca="false" t="array" ref="K1288:K1288">IF(A1288&lt;&gt;"",IF(COUNTIF(A$996:A1289,"&lt;&gt;")=0,COUNTA(B$996:B1288),IFERROR(MATCH(TRUE(),INDEX((A$996:A1289&lt;&gt;""),0),0),COUNTA(B$996:B1288))),"")</f>
        <v/>
      </c>
      <c r="L1288" s="27"/>
    </row>
    <row r="1289" customFormat="false" ht="13.8" hidden="false" customHeight="false" outlineLevel="0" collapsed="false">
      <c r="A1289" s="16"/>
      <c r="B1289" s="16"/>
      <c r="C1289" s="26"/>
      <c r="D1289" s="26"/>
      <c r="E1289" s="16"/>
      <c r="F1289" s="18"/>
      <c r="G1289" s="19" t="str">
        <f aca="true">IF(F1289="", "", DATEDIF(F1289, TODAY(), "Y"))</f>
        <v/>
      </c>
      <c r="H1289" s="18"/>
      <c r="I1289" s="18"/>
      <c r="J1289" s="24" t="str">
        <f aca="true">IF(ISBLANK(H1289), "", I1289-TODAY())</f>
        <v/>
      </c>
      <c r="K1289" s="24" t="str">
        <f aca="false" t="array" ref="K1289:K1289">IF(A1289&lt;&gt;"",IF(COUNTIF(A$996:A1290,"&lt;&gt;")=0,COUNTA(B$996:B1289),IFERROR(MATCH(TRUE(),INDEX((A$996:A1290&lt;&gt;""),0),0),COUNTA(B$996:B1289))),"")</f>
        <v/>
      </c>
      <c r="L1289" s="27"/>
    </row>
    <row r="1290" customFormat="false" ht="13.8" hidden="false" customHeight="false" outlineLevel="0" collapsed="false">
      <c r="A1290" s="16"/>
      <c r="B1290" s="16"/>
      <c r="C1290" s="26"/>
      <c r="D1290" s="26"/>
      <c r="E1290" s="16"/>
      <c r="F1290" s="18"/>
      <c r="G1290" s="19" t="str">
        <f aca="true">IF(F1290="", "", DATEDIF(F1290, TODAY(), "Y"))</f>
        <v/>
      </c>
      <c r="H1290" s="18"/>
      <c r="I1290" s="18"/>
      <c r="J1290" s="24" t="str">
        <f aca="true">IF(ISBLANK(H1290), "", I1290-TODAY())</f>
        <v/>
      </c>
      <c r="K1290" s="24" t="str">
        <f aca="false" t="array" ref="K1290:K1290">IF(A1290&lt;&gt;"",IF(COUNTIF(A$996:A1291,"&lt;&gt;")=0,COUNTA(B$996:B1290),IFERROR(MATCH(TRUE(),INDEX((A$996:A1291&lt;&gt;""),0),0),COUNTA(B$996:B1290))),"")</f>
        <v/>
      </c>
      <c r="L1290" s="27"/>
    </row>
    <row r="1291" customFormat="false" ht="13.8" hidden="false" customHeight="false" outlineLevel="0" collapsed="false">
      <c r="A1291" s="16"/>
      <c r="B1291" s="16"/>
      <c r="C1291" s="26"/>
      <c r="D1291" s="26"/>
      <c r="E1291" s="16"/>
      <c r="F1291" s="18"/>
      <c r="G1291" s="19" t="str">
        <f aca="true">IF(F1291="", "", DATEDIF(F1291, TODAY(), "Y"))</f>
        <v/>
      </c>
      <c r="H1291" s="18"/>
      <c r="I1291" s="18"/>
      <c r="J1291" s="24" t="str">
        <f aca="true">IF(ISBLANK(H1291), "", I1291-TODAY())</f>
        <v/>
      </c>
      <c r="K1291" s="24" t="str">
        <f aca="false" t="array" ref="K1291:K1291">IF(A1291&lt;&gt;"",IF(COUNTIF(A$996:A1292,"&lt;&gt;")=0,COUNTA(B$996:B1291),IFERROR(MATCH(TRUE(),INDEX((A$996:A1292&lt;&gt;""),0),0),COUNTA(B$996:B1291))),"")</f>
        <v/>
      </c>
      <c r="L1291" s="27"/>
    </row>
    <row r="1292" customFormat="false" ht="13.8" hidden="false" customHeight="false" outlineLevel="0" collapsed="false">
      <c r="A1292" s="16"/>
      <c r="B1292" s="16"/>
      <c r="C1292" s="26"/>
      <c r="D1292" s="26"/>
      <c r="E1292" s="16"/>
      <c r="F1292" s="18"/>
      <c r="G1292" s="19" t="str">
        <f aca="true">IF(F1292="", "", DATEDIF(F1292, TODAY(), "Y"))</f>
        <v/>
      </c>
      <c r="H1292" s="18"/>
      <c r="I1292" s="18"/>
      <c r="J1292" s="24" t="str">
        <f aca="true">IF(ISBLANK(H1292), "", I1292-TODAY())</f>
        <v/>
      </c>
      <c r="K1292" s="24" t="str">
        <f aca="false" t="array" ref="K1292:K1292">IF(A1292&lt;&gt;"",IF(COUNTIF(A$996:A1293,"&lt;&gt;")=0,COUNTA(B$996:B1292),IFERROR(MATCH(TRUE(),INDEX((A$996:A1293&lt;&gt;""),0),0),COUNTA(B$996:B1292))),"")</f>
        <v/>
      </c>
      <c r="L1292" s="27"/>
    </row>
    <row r="1293" customFormat="false" ht="13.8" hidden="false" customHeight="false" outlineLevel="0" collapsed="false">
      <c r="A1293" s="16"/>
      <c r="B1293" s="16"/>
      <c r="C1293" s="26"/>
      <c r="D1293" s="26"/>
      <c r="E1293" s="16"/>
      <c r="F1293" s="18"/>
      <c r="G1293" s="19" t="str">
        <f aca="true">IF(F1293="", "", DATEDIF(F1293, TODAY(), "Y"))</f>
        <v/>
      </c>
      <c r="H1293" s="18"/>
      <c r="I1293" s="18"/>
      <c r="J1293" s="24" t="str">
        <f aca="true">IF(ISBLANK(H1293), "", I1293-TODAY())</f>
        <v/>
      </c>
      <c r="K1293" s="24" t="str">
        <f aca="false" t="array" ref="K1293:K1293">IF(A1293&lt;&gt;"",IF(COUNTIF(A$996:A1294,"&lt;&gt;")=0,COUNTA(B$996:B1293),IFERROR(MATCH(TRUE(),INDEX((A$996:A1294&lt;&gt;""),0),0),COUNTA(B$996:B1293))),"")</f>
        <v/>
      </c>
      <c r="L1293" s="27"/>
    </row>
    <row r="1294" customFormat="false" ht="13.8" hidden="false" customHeight="false" outlineLevel="0" collapsed="false">
      <c r="A1294" s="16"/>
      <c r="B1294" s="16"/>
      <c r="C1294" s="26"/>
      <c r="D1294" s="26"/>
      <c r="E1294" s="16"/>
      <c r="F1294" s="18"/>
      <c r="G1294" s="19" t="str">
        <f aca="true">IF(F1294="", "", DATEDIF(F1294, TODAY(), "Y"))</f>
        <v/>
      </c>
      <c r="H1294" s="18"/>
      <c r="I1294" s="18"/>
      <c r="J1294" s="24" t="str">
        <f aca="true">IF(ISBLANK(H1294), "", I1294-TODAY())</f>
        <v/>
      </c>
      <c r="K1294" s="24" t="str">
        <f aca="false" t="array" ref="K1294:K1294">IF(A1294&lt;&gt;"",IF(COUNTIF(A$996:A1295,"&lt;&gt;")=0,COUNTA(B$996:B1294),IFERROR(MATCH(TRUE(),INDEX((A$996:A1295&lt;&gt;""),0),0),COUNTA(B$996:B1294))),"")</f>
        <v/>
      </c>
      <c r="L1294" s="27"/>
    </row>
    <row r="1295" customFormat="false" ht="13.8" hidden="false" customHeight="false" outlineLevel="0" collapsed="false">
      <c r="A1295" s="16"/>
      <c r="B1295" s="16"/>
      <c r="C1295" s="26"/>
      <c r="D1295" s="26"/>
      <c r="E1295" s="16"/>
      <c r="F1295" s="18"/>
      <c r="G1295" s="19" t="str">
        <f aca="true">IF(F1295="", "", DATEDIF(F1295, TODAY(), "Y"))</f>
        <v/>
      </c>
      <c r="H1295" s="18"/>
      <c r="I1295" s="18"/>
      <c r="J1295" s="24" t="str">
        <f aca="true">IF(ISBLANK(H1295), "", I1295-TODAY())</f>
        <v/>
      </c>
      <c r="K1295" s="24" t="str">
        <f aca="false" t="array" ref="K1295:K1295">IF(A1295&lt;&gt;"",IF(COUNTIF(A$996:A1296,"&lt;&gt;")=0,COUNTA(B$996:B1295),IFERROR(MATCH(TRUE(),INDEX((A$996:A1296&lt;&gt;""),0),0),COUNTA(B$996:B1295))),"")</f>
        <v/>
      </c>
      <c r="L1295" s="27"/>
    </row>
    <row r="1296" customFormat="false" ht="13.8" hidden="false" customHeight="false" outlineLevel="0" collapsed="false">
      <c r="A1296" s="16"/>
      <c r="B1296" s="16"/>
      <c r="C1296" s="26"/>
      <c r="D1296" s="26"/>
      <c r="E1296" s="16"/>
      <c r="F1296" s="18"/>
      <c r="G1296" s="19" t="str">
        <f aca="true">IF(F1296="", "", DATEDIF(F1296, TODAY(), "Y"))</f>
        <v/>
      </c>
      <c r="H1296" s="18"/>
      <c r="I1296" s="18"/>
      <c r="J1296" s="24" t="str">
        <f aca="true">IF(ISBLANK(H1296), "", I1296-TODAY())</f>
        <v/>
      </c>
      <c r="K1296" s="24" t="str">
        <f aca="false" t="array" ref="K1296:K1296">IF(A1296&lt;&gt;"",IF(COUNTIF(A$996:A1297,"&lt;&gt;")=0,COUNTA(B$996:B1296),IFERROR(MATCH(TRUE(),INDEX((A$996:A1297&lt;&gt;""),0),0),COUNTA(B$996:B1296))),"")</f>
        <v/>
      </c>
      <c r="L1296" s="27"/>
    </row>
    <row r="1297" customFormat="false" ht="13.8" hidden="false" customHeight="false" outlineLevel="0" collapsed="false">
      <c r="A1297" s="16"/>
      <c r="B1297" s="16"/>
      <c r="C1297" s="26"/>
      <c r="D1297" s="26"/>
      <c r="E1297" s="16"/>
      <c r="F1297" s="18"/>
      <c r="G1297" s="19" t="str">
        <f aca="true">IF(F1297="", "", DATEDIF(F1297, TODAY(), "Y"))</f>
        <v/>
      </c>
      <c r="H1297" s="18"/>
      <c r="I1297" s="18"/>
      <c r="J1297" s="24" t="str">
        <f aca="true">IF(ISBLANK(H1297), "", I1297-TODAY())</f>
        <v/>
      </c>
      <c r="K1297" s="24" t="str">
        <f aca="false" t="array" ref="K1297:K1297">IF(A1297&lt;&gt;"",IF(COUNTIF(A$996:A1298,"&lt;&gt;")=0,COUNTA(B$996:B1297),IFERROR(MATCH(TRUE(),INDEX((A$996:A1298&lt;&gt;""),0),0),COUNTA(B$996:B1297))),"")</f>
        <v/>
      </c>
      <c r="L1297" s="27"/>
    </row>
    <row r="1298" customFormat="false" ht="13.8" hidden="false" customHeight="false" outlineLevel="0" collapsed="false">
      <c r="A1298" s="16"/>
      <c r="B1298" s="16"/>
      <c r="C1298" s="26"/>
      <c r="D1298" s="26"/>
      <c r="E1298" s="16"/>
      <c r="F1298" s="18"/>
      <c r="G1298" s="19" t="str">
        <f aca="true">IF(F1298="", "", DATEDIF(F1298, TODAY(), "Y"))</f>
        <v/>
      </c>
      <c r="H1298" s="18"/>
      <c r="I1298" s="18"/>
      <c r="J1298" s="24" t="str">
        <f aca="true">IF(ISBLANK(H1298), "", I1298-TODAY())</f>
        <v/>
      </c>
      <c r="K1298" s="24" t="str">
        <f aca="false" t="array" ref="K1298:K1298">IF(A1298&lt;&gt;"",IF(COUNTIF(A$996:A1299,"&lt;&gt;")=0,COUNTA(B$996:B1298),IFERROR(MATCH(TRUE(),INDEX((A$996:A1299&lt;&gt;""),0),0),COUNTA(B$996:B1298))),"")</f>
        <v/>
      </c>
      <c r="L1298" s="27"/>
    </row>
    <row r="1299" customFormat="false" ht="13.8" hidden="false" customHeight="false" outlineLevel="0" collapsed="false">
      <c r="A1299" s="16"/>
      <c r="B1299" s="16"/>
      <c r="C1299" s="26"/>
      <c r="D1299" s="26"/>
      <c r="E1299" s="16"/>
      <c r="F1299" s="18"/>
      <c r="G1299" s="19" t="str">
        <f aca="true">IF(F1299="", "", DATEDIF(F1299, TODAY(), "Y"))</f>
        <v/>
      </c>
      <c r="H1299" s="18"/>
      <c r="I1299" s="18"/>
      <c r="J1299" s="24" t="str">
        <f aca="true">IF(ISBLANK(H1299), "", I1299-TODAY())</f>
        <v/>
      </c>
      <c r="K1299" s="24" t="str">
        <f aca="false" t="array" ref="K1299:K1299">IF(A1299&lt;&gt;"",IF(COUNTIF(A$996:A1300,"&lt;&gt;")=0,COUNTA(B$996:B1299),IFERROR(MATCH(TRUE(),INDEX((A$996:A1300&lt;&gt;""),0),0),COUNTA(B$996:B1299))),"")</f>
        <v/>
      </c>
      <c r="L1299" s="27"/>
    </row>
    <row r="1300" customFormat="false" ht="13.8" hidden="false" customHeight="false" outlineLevel="0" collapsed="false">
      <c r="A1300" s="16"/>
      <c r="B1300" s="16"/>
      <c r="C1300" s="26"/>
      <c r="D1300" s="26"/>
      <c r="E1300" s="16"/>
      <c r="F1300" s="18"/>
      <c r="G1300" s="19" t="str">
        <f aca="true">IF(F1300="", "", DATEDIF(F1300, TODAY(), "Y"))</f>
        <v/>
      </c>
      <c r="H1300" s="18"/>
      <c r="I1300" s="18"/>
      <c r="J1300" s="24" t="str">
        <f aca="true">IF(ISBLANK(H1300), "", I1300-TODAY())</f>
        <v/>
      </c>
      <c r="K1300" s="24" t="str">
        <f aca="false" t="array" ref="K1300:K1300">IF(A1300&lt;&gt;"",IF(COUNTIF(A$996:A1301,"&lt;&gt;")=0,COUNTA(B$996:B1300),IFERROR(MATCH(TRUE(),INDEX((A$996:A1301&lt;&gt;""),0),0),COUNTA(B$996:B1300))),"")</f>
        <v/>
      </c>
      <c r="L1300" s="27"/>
    </row>
    <row r="1301" customFormat="false" ht="13.8" hidden="false" customHeight="false" outlineLevel="0" collapsed="false">
      <c r="A1301" s="16"/>
      <c r="B1301" s="16"/>
      <c r="C1301" s="26"/>
      <c r="D1301" s="26"/>
      <c r="E1301" s="16"/>
      <c r="F1301" s="18"/>
      <c r="G1301" s="19" t="str">
        <f aca="true">IF(F1301="", "", DATEDIF(F1301, TODAY(), "Y"))</f>
        <v/>
      </c>
      <c r="H1301" s="18"/>
      <c r="I1301" s="18"/>
      <c r="J1301" s="24" t="str">
        <f aca="true">IF(ISBLANK(H1301), "", I1301-TODAY())</f>
        <v/>
      </c>
      <c r="K1301" s="24" t="str">
        <f aca="false" t="array" ref="K1301:K1301">IF(A1301&lt;&gt;"",IF(COUNTIF(A$996:A1302,"&lt;&gt;")=0,COUNTA(B$996:B1301),IFERROR(MATCH(TRUE(),INDEX((A$996:A1302&lt;&gt;""),0),0),COUNTA(B$996:B1301))),"")</f>
        <v/>
      </c>
      <c r="L1301" s="27"/>
    </row>
    <row r="1302" customFormat="false" ht="13.8" hidden="false" customHeight="false" outlineLevel="0" collapsed="false">
      <c r="A1302" s="16"/>
      <c r="B1302" s="16"/>
      <c r="C1302" s="26"/>
      <c r="D1302" s="26"/>
      <c r="E1302" s="16"/>
      <c r="F1302" s="18"/>
      <c r="G1302" s="19" t="str">
        <f aca="true">IF(F1302="", "", DATEDIF(F1302, TODAY(), "Y"))</f>
        <v/>
      </c>
      <c r="H1302" s="18"/>
      <c r="I1302" s="18"/>
      <c r="J1302" s="24" t="str">
        <f aca="true">IF(ISBLANK(H1302), "", I1302-TODAY())</f>
        <v/>
      </c>
      <c r="K1302" s="24" t="str">
        <f aca="false" t="array" ref="K1302:K1302">IF(A1302&lt;&gt;"",IF(COUNTIF(A$996:A1303,"&lt;&gt;")=0,COUNTA(B$996:B1302),IFERROR(MATCH(TRUE(),INDEX((A$996:A1303&lt;&gt;""),0),0),COUNTA(B$996:B1302))),"")</f>
        <v/>
      </c>
      <c r="L1302" s="27"/>
    </row>
    <row r="1303" customFormat="false" ht="13.8" hidden="false" customHeight="false" outlineLevel="0" collapsed="false">
      <c r="A1303" s="16"/>
      <c r="B1303" s="16"/>
      <c r="C1303" s="26"/>
      <c r="D1303" s="26"/>
      <c r="E1303" s="16"/>
      <c r="F1303" s="18"/>
      <c r="G1303" s="19" t="str">
        <f aca="true">IF(F1303="", "", DATEDIF(F1303, TODAY(), "Y"))</f>
        <v/>
      </c>
      <c r="H1303" s="18"/>
      <c r="I1303" s="18"/>
      <c r="J1303" s="24" t="str">
        <f aca="true">IF(ISBLANK(H1303), "", I1303-TODAY())</f>
        <v/>
      </c>
      <c r="K1303" s="24" t="str">
        <f aca="false" t="array" ref="K1303:K1303">IF(A1303&lt;&gt;"",IF(COUNTIF(A$996:A1304,"&lt;&gt;")=0,COUNTA(B$996:B1303),IFERROR(MATCH(TRUE(),INDEX((A$996:A1304&lt;&gt;""),0),0),COUNTA(B$996:B1303))),"")</f>
        <v/>
      </c>
      <c r="L1303" s="27"/>
    </row>
    <row r="1304" customFormat="false" ht="13.8" hidden="false" customHeight="false" outlineLevel="0" collapsed="false">
      <c r="A1304" s="16"/>
      <c r="B1304" s="16"/>
      <c r="C1304" s="26"/>
      <c r="D1304" s="26"/>
      <c r="E1304" s="16"/>
      <c r="F1304" s="18"/>
      <c r="G1304" s="19" t="str">
        <f aca="true">IF(F1304="", "", DATEDIF(F1304, TODAY(), "Y"))</f>
        <v/>
      </c>
      <c r="H1304" s="18"/>
      <c r="I1304" s="18"/>
      <c r="J1304" s="24" t="str">
        <f aca="true">IF(ISBLANK(H1304), "", I1304-TODAY())</f>
        <v/>
      </c>
      <c r="K1304" s="24" t="str">
        <f aca="false" t="array" ref="K1304:K1304">IF(A1304&lt;&gt;"",IF(COUNTIF(A$996:A1305,"&lt;&gt;")=0,COUNTA(B$996:B1304),IFERROR(MATCH(TRUE(),INDEX((A$996:A1305&lt;&gt;""),0),0),COUNTA(B$996:B1304))),"")</f>
        <v/>
      </c>
      <c r="L1304" s="27"/>
    </row>
    <row r="1305" customFormat="false" ht="13.8" hidden="false" customHeight="false" outlineLevel="0" collapsed="false">
      <c r="A1305" s="16"/>
      <c r="B1305" s="16"/>
      <c r="C1305" s="26"/>
      <c r="D1305" s="26"/>
      <c r="E1305" s="16"/>
      <c r="F1305" s="18"/>
      <c r="G1305" s="19" t="str">
        <f aca="true">IF(F1305="", "", DATEDIF(F1305, TODAY(), "Y"))</f>
        <v/>
      </c>
      <c r="H1305" s="18"/>
      <c r="I1305" s="18"/>
      <c r="J1305" s="24" t="str">
        <f aca="true">IF(ISBLANK(H1305), "", I1305-TODAY())</f>
        <v/>
      </c>
      <c r="K1305" s="24" t="str">
        <f aca="false" t="array" ref="K1305:K1305">IF(A1305&lt;&gt;"",IF(COUNTIF(A$996:A1306,"&lt;&gt;")=0,COUNTA(B$996:B1305),IFERROR(MATCH(TRUE(),INDEX((A$996:A1306&lt;&gt;""),0),0),COUNTA(B$996:B1305))),"")</f>
        <v/>
      </c>
      <c r="L1305" s="27"/>
    </row>
    <row r="1306" customFormat="false" ht="13.8" hidden="false" customHeight="false" outlineLevel="0" collapsed="false">
      <c r="A1306" s="16"/>
      <c r="B1306" s="16"/>
      <c r="C1306" s="26"/>
      <c r="D1306" s="26"/>
      <c r="E1306" s="16"/>
      <c r="F1306" s="18"/>
      <c r="G1306" s="19" t="str">
        <f aca="true">IF(F1306="", "", DATEDIF(F1306, TODAY(), "Y"))</f>
        <v/>
      </c>
      <c r="H1306" s="18"/>
      <c r="I1306" s="18"/>
      <c r="J1306" s="24" t="str">
        <f aca="true">IF(ISBLANK(H1306), "", I1306-TODAY())</f>
        <v/>
      </c>
      <c r="K1306" s="24" t="str">
        <f aca="false" t="array" ref="K1306:K1306">IF(A1306&lt;&gt;"",IF(COUNTIF(A$996:A1307,"&lt;&gt;")=0,COUNTA(B$996:B1306),IFERROR(MATCH(TRUE(),INDEX((A$996:A1307&lt;&gt;""),0),0),COUNTA(B$996:B1306))),"")</f>
        <v/>
      </c>
      <c r="L1306" s="27"/>
    </row>
    <row r="1307" customFormat="false" ht="13.8" hidden="false" customHeight="false" outlineLevel="0" collapsed="false">
      <c r="A1307" s="16"/>
      <c r="B1307" s="16"/>
      <c r="C1307" s="26"/>
      <c r="D1307" s="26"/>
      <c r="E1307" s="16"/>
      <c r="F1307" s="18"/>
      <c r="G1307" s="19" t="str">
        <f aca="true">IF(F1307="", "", DATEDIF(F1307, TODAY(), "Y"))</f>
        <v/>
      </c>
      <c r="H1307" s="18"/>
      <c r="I1307" s="18"/>
      <c r="J1307" s="24" t="str">
        <f aca="true">IF(ISBLANK(H1307), "", I1307-TODAY())</f>
        <v/>
      </c>
      <c r="K1307" s="24" t="str">
        <f aca="false" t="array" ref="K1307:K1307">IF(A1307&lt;&gt;"",IF(COUNTIF(A$996:A1308,"&lt;&gt;")=0,COUNTA(B$996:B1307),IFERROR(MATCH(TRUE(),INDEX((A$996:A1308&lt;&gt;""),0),0),COUNTA(B$996:B1307))),"")</f>
        <v/>
      </c>
      <c r="L1307" s="27"/>
    </row>
    <row r="1308" customFormat="false" ht="13.8" hidden="false" customHeight="false" outlineLevel="0" collapsed="false">
      <c r="A1308" s="16"/>
      <c r="B1308" s="16"/>
      <c r="C1308" s="26"/>
      <c r="D1308" s="26"/>
      <c r="E1308" s="16"/>
      <c r="F1308" s="18"/>
      <c r="G1308" s="19" t="str">
        <f aca="true">IF(F1308="", "", DATEDIF(F1308, TODAY(), "Y"))</f>
        <v/>
      </c>
      <c r="H1308" s="18"/>
      <c r="I1308" s="18"/>
      <c r="J1308" s="24" t="str">
        <f aca="true">IF(ISBLANK(H1308), "", I1308-TODAY())</f>
        <v/>
      </c>
      <c r="K1308" s="24" t="str">
        <f aca="false" t="array" ref="K1308:K1308">IF(A1308&lt;&gt;"",IF(COUNTIF(A$996:A1309,"&lt;&gt;")=0,COUNTA(B$996:B1308),IFERROR(MATCH(TRUE(),INDEX((A$996:A1309&lt;&gt;""),0),0),COUNTA(B$996:B1308))),"")</f>
        <v/>
      </c>
      <c r="L1308" s="27"/>
    </row>
    <row r="1309" customFormat="false" ht="13.8" hidden="false" customHeight="false" outlineLevel="0" collapsed="false">
      <c r="A1309" s="16"/>
      <c r="B1309" s="16"/>
      <c r="C1309" s="26"/>
      <c r="D1309" s="26"/>
      <c r="E1309" s="16"/>
      <c r="F1309" s="18"/>
      <c r="G1309" s="19" t="str">
        <f aca="true">IF(F1309="", "", DATEDIF(F1309, TODAY(), "Y"))</f>
        <v/>
      </c>
      <c r="H1309" s="18"/>
      <c r="I1309" s="18"/>
      <c r="J1309" s="24" t="str">
        <f aca="true">IF(ISBLANK(H1309), "", I1309-TODAY())</f>
        <v/>
      </c>
      <c r="K1309" s="24" t="str">
        <f aca="false" t="array" ref="K1309:K1309">IF(A1309&lt;&gt;"",IF(COUNTIF(A$996:A1310,"&lt;&gt;")=0,COUNTA(B$996:B1309),IFERROR(MATCH(TRUE(),INDEX((A$996:A1310&lt;&gt;""),0),0),COUNTA(B$996:B1309))),"")</f>
        <v/>
      </c>
      <c r="L1309" s="27"/>
    </row>
    <row r="1310" customFormat="false" ht="13.8" hidden="false" customHeight="false" outlineLevel="0" collapsed="false">
      <c r="A1310" s="16"/>
      <c r="B1310" s="16"/>
      <c r="C1310" s="26"/>
      <c r="D1310" s="26"/>
      <c r="E1310" s="16"/>
      <c r="F1310" s="18"/>
      <c r="G1310" s="19" t="str">
        <f aca="true">IF(F1310="", "", DATEDIF(F1310, TODAY(), "Y"))</f>
        <v/>
      </c>
      <c r="H1310" s="18"/>
      <c r="I1310" s="18"/>
      <c r="J1310" s="24" t="str">
        <f aca="true">IF(ISBLANK(H1310), "", I1310-TODAY())</f>
        <v/>
      </c>
      <c r="K1310" s="24" t="str">
        <f aca="false" t="array" ref="K1310:K1310">IF(A1310&lt;&gt;"",IF(COUNTIF(A$996:A1311,"&lt;&gt;")=0,COUNTA(B$996:B1310),IFERROR(MATCH(TRUE(),INDEX((A$996:A1311&lt;&gt;""),0),0),COUNTA(B$996:B1310))),"")</f>
        <v/>
      </c>
      <c r="L1310" s="27"/>
    </row>
    <row r="1311" customFormat="false" ht="13.8" hidden="false" customHeight="false" outlineLevel="0" collapsed="false">
      <c r="A1311" s="16"/>
      <c r="B1311" s="16"/>
      <c r="C1311" s="26"/>
      <c r="D1311" s="26"/>
      <c r="E1311" s="16"/>
      <c r="F1311" s="18"/>
      <c r="G1311" s="19" t="str">
        <f aca="true">IF(F1311="", "", DATEDIF(F1311, TODAY(), "Y"))</f>
        <v/>
      </c>
      <c r="H1311" s="18"/>
      <c r="I1311" s="18"/>
      <c r="J1311" s="24" t="str">
        <f aca="true">IF(ISBLANK(H1311), "", I1311-TODAY())</f>
        <v/>
      </c>
      <c r="K1311" s="24" t="str">
        <f aca="false" t="array" ref="K1311:K1311">IF(A1311&lt;&gt;"",IF(COUNTIF(A$996:A1312,"&lt;&gt;")=0,COUNTA(B$996:B1311),IFERROR(MATCH(TRUE(),INDEX((A$996:A1312&lt;&gt;""),0),0),COUNTA(B$996:B1311))),"")</f>
        <v/>
      </c>
      <c r="L1311" s="27"/>
    </row>
    <row r="1312" customFormat="false" ht="13.8" hidden="false" customHeight="false" outlineLevel="0" collapsed="false">
      <c r="A1312" s="16"/>
      <c r="B1312" s="16"/>
      <c r="C1312" s="26"/>
      <c r="D1312" s="26"/>
      <c r="E1312" s="16"/>
      <c r="F1312" s="18"/>
      <c r="G1312" s="19" t="str">
        <f aca="true">IF(F1312="", "", DATEDIF(F1312, TODAY(), "Y"))</f>
        <v/>
      </c>
      <c r="H1312" s="18"/>
      <c r="I1312" s="18"/>
      <c r="J1312" s="24" t="str">
        <f aca="true">IF(ISBLANK(H1312), "", I1312-TODAY())</f>
        <v/>
      </c>
      <c r="K1312" s="24" t="str">
        <f aca="false" t="array" ref="K1312:K1312">IF(A1312&lt;&gt;"",IF(COUNTIF(A$996:A1313,"&lt;&gt;")=0,COUNTA(B$996:B1312),IFERROR(MATCH(TRUE(),INDEX((A$996:A1313&lt;&gt;""),0),0),COUNTA(B$996:B1312))),"")</f>
        <v/>
      </c>
      <c r="L1312" s="27"/>
    </row>
    <row r="1313" customFormat="false" ht="13.8" hidden="false" customHeight="false" outlineLevel="0" collapsed="false">
      <c r="A1313" s="16"/>
      <c r="B1313" s="16"/>
      <c r="C1313" s="26"/>
      <c r="D1313" s="26"/>
      <c r="E1313" s="16"/>
      <c r="F1313" s="18"/>
      <c r="G1313" s="19" t="str">
        <f aca="true">IF(F1313="", "", DATEDIF(F1313, TODAY(), "Y"))</f>
        <v/>
      </c>
      <c r="H1313" s="18"/>
      <c r="I1313" s="18"/>
      <c r="J1313" s="24" t="str">
        <f aca="true">IF(ISBLANK(H1313), "", I1313-TODAY())</f>
        <v/>
      </c>
      <c r="K1313" s="24" t="str">
        <f aca="false" t="array" ref="K1313:K1313">IF(A1313&lt;&gt;"",IF(COUNTIF(A$996:A1314,"&lt;&gt;")=0,COUNTA(B$996:B1313),IFERROR(MATCH(TRUE(),INDEX((A$996:A1314&lt;&gt;""),0),0),COUNTA(B$996:B1313))),"")</f>
        <v/>
      </c>
      <c r="L1313" s="27"/>
    </row>
    <row r="1314" customFormat="false" ht="13.8" hidden="false" customHeight="false" outlineLevel="0" collapsed="false">
      <c r="A1314" s="16"/>
      <c r="B1314" s="16"/>
      <c r="C1314" s="26"/>
      <c r="D1314" s="26"/>
      <c r="E1314" s="16"/>
      <c r="F1314" s="18"/>
      <c r="G1314" s="19" t="str">
        <f aca="true">IF(F1314="", "", DATEDIF(F1314, TODAY(), "Y"))</f>
        <v/>
      </c>
      <c r="H1314" s="18"/>
      <c r="I1314" s="18"/>
      <c r="J1314" s="24" t="str">
        <f aca="true">IF(ISBLANK(H1314), "", I1314-TODAY())</f>
        <v/>
      </c>
      <c r="K1314" s="24" t="str">
        <f aca="false" t="array" ref="K1314:K1314">IF(A1314&lt;&gt;"",IF(COUNTIF(A$996:A1315,"&lt;&gt;")=0,COUNTA(B$996:B1314),IFERROR(MATCH(TRUE(),INDEX((A$996:A1315&lt;&gt;""),0),0),COUNTA(B$996:B1314))),"")</f>
        <v/>
      </c>
      <c r="L1314" s="27"/>
    </row>
    <row r="1315" customFormat="false" ht="13.8" hidden="false" customHeight="false" outlineLevel="0" collapsed="false">
      <c r="A1315" s="16"/>
      <c r="B1315" s="16"/>
      <c r="C1315" s="26"/>
      <c r="D1315" s="26"/>
      <c r="E1315" s="16"/>
      <c r="F1315" s="18"/>
      <c r="G1315" s="19" t="str">
        <f aca="true">IF(F1315="", "", DATEDIF(F1315, TODAY(), "Y"))</f>
        <v/>
      </c>
      <c r="H1315" s="18"/>
      <c r="I1315" s="18"/>
      <c r="J1315" s="24" t="str">
        <f aca="true">IF(ISBLANK(H1315), "", I1315-TODAY())</f>
        <v/>
      </c>
      <c r="K1315" s="24" t="str">
        <f aca="false" t="array" ref="K1315:K1315">IF(A1315&lt;&gt;"",IF(COUNTIF(A$996:A1316,"&lt;&gt;")=0,COUNTA(B$996:B1315),IFERROR(MATCH(TRUE(),INDEX((A$996:A1316&lt;&gt;""),0),0),COUNTA(B$996:B1315))),"")</f>
        <v/>
      </c>
      <c r="L1315" s="27"/>
    </row>
    <row r="1316" customFormat="false" ht="13.8" hidden="false" customHeight="false" outlineLevel="0" collapsed="false">
      <c r="A1316" s="16"/>
      <c r="B1316" s="16"/>
      <c r="C1316" s="26"/>
      <c r="D1316" s="26"/>
      <c r="E1316" s="16"/>
      <c r="F1316" s="18"/>
      <c r="G1316" s="19" t="str">
        <f aca="true">IF(F1316="", "", DATEDIF(F1316, TODAY(), "Y"))</f>
        <v/>
      </c>
      <c r="H1316" s="18"/>
      <c r="I1316" s="18"/>
      <c r="J1316" s="24" t="str">
        <f aca="true">IF(ISBLANK(H1316), "", I1316-TODAY())</f>
        <v/>
      </c>
      <c r="K1316" s="24" t="str">
        <f aca="false" t="array" ref="K1316:K1316">IF(A1316&lt;&gt;"",IF(COUNTIF(A$996:A1317,"&lt;&gt;")=0,COUNTA(B$996:B1316),IFERROR(MATCH(TRUE(),INDEX((A$996:A1317&lt;&gt;""),0),0),COUNTA(B$996:B1316))),"")</f>
        <v/>
      </c>
      <c r="L1316" s="27"/>
    </row>
    <row r="1317" customFormat="false" ht="13.8" hidden="false" customHeight="false" outlineLevel="0" collapsed="false">
      <c r="A1317" s="16"/>
      <c r="B1317" s="16"/>
      <c r="C1317" s="26"/>
      <c r="D1317" s="26"/>
      <c r="E1317" s="16"/>
      <c r="F1317" s="18"/>
      <c r="G1317" s="19" t="str">
        <f aca="true">IF(F1317="", "", DATEDIF(F1317, TODAY(), "Y"))</f>
        <v/>
      </c>
      <c r="H1317" s="18"/>
      <c r="I1317" s="18"/>
      <c r="J1317" s="24" t="str">
        <f aca="true">IF(ISBLANK(H1317), "", I1317-TODAY())</f>
        <v/>
      </c>
      <c r="K1317" s="24" t="str">
        <f aca="false" t="array" ref="K1317:K1317">IF(A1317&lt;&gt;"",IF(COUNTIF(A$996:A1318,"&lt;&gt;")=0,COUNTA(B$996:B1317),IFERROR(MATCH(TRUE(),INDEX((A$996:A1318&lt;&gt;""),0),0),COUNTA(B$996:B1317))),"")</f>
        <v/>
      </c>
      <c r="L1317" s="27"/>
    </row>
    <row r="1318" customFormat="false" ht="13.8" hidden="false" customHeight="false" outlineLevel="0" collapsed="false">
      <c r="A1318" s="16"/>
      <c r="B1318" s="16"/>
      <c r="C1318" s="26"/>
      <c r="D1318" s="26"/>
      <c r="E1318" s="16"/>
      <c r="F1318" s="18"/>
      <c r="G1318" s="19" t="str">
        <f aca="true">IF(F1318="", "", DATEDIF(F1318, TODAY(), "Y"))</f>
        <v/>
      </c>
      <c r="H1318" s="18"/>
      <c r="I1318" s="18"/>
      <c r="J1318" s="24" t="str">
        <f aca="true">IF(ISBLANK(H1318), "", I1318-TODAY())</f>
        <v/>
      </c>
      <c r="K1318" s="24" t="str">
        <f aca="false" t="array" ref="K1318:K1318">IF(A1318&lt;&gt;"",IF(COUNTIF(A$996:A1319,"&lt;&gt;")=0,COUNTA(B$996:B1318),IFERROR(MATCH(TRUE(),INDEX((A$996:A1319&lt;&gt;""),0),0),COUNTA(B$996:B1318))),"")</f>
        <v/>
      </c>
      <c r="L1318" s="27"/>
    </row>
    <row r="1319" customFormat="false" ht="13.8" hidden="false" customHeight="false" outlineLevel="0" collapsed="false">
      <c r="A1319" s="16"/>
      <c r="B1319" s="16"/>
      <c r="C1319" s="26"/>
      <c r="D1319" s="26"/>
      <c r="E1319" s="16"/>
      <c r="F1319" s="18"/>
      <c r="G1319" s="19" t="str">
        <f aca="true">IF(F1319="", "", DATEDIF(F1319, TODAY(), "Y"))</f>
        <v/>
      </c>
      <c r="H1319" s="18"/>
      <c r="I1319" s="18"/>
      <c r="J1319" s="24" t="str">
        <f aca="true">IF(ISBLANK(H1319), "", I1319-TODAY())</f>
        <v/>
      </c>
      <c r="K1319" s="24" t="str">
        <f aca="false" t="array" ref="K1319:K1319">IF(A1319&lt;&gt;"",IF(COUNTIF(A$996:A1320,"&lt;&gt;")=0,COUNTA(B$996:B1319),IFERROR(MATCH(TRUE(),INDEX((A$996:A1320&lt;&gt;""),0),0),COUNTA(B$996:B1319))),"")</f>
        <v/>
      </c>
      <c r="L1319" s="27"/>
    </row>
    <row r="1320" customFormat="false" ht="13.8" hidden="false" customHeight="false" outlineLevel="0" collapsed="false">
      <c r="A1320" s="16"/>
      <c r="B1320" s="16"/>
      <c r="C1320" s="26"/>
      <c r="D1320" s="26"/>
      <c r="E1320" s="16"/>
      <c r="F1320" s="18"/>
      <c r="G1320" s="19" t="str">
        <f aca="true">IF(F1320="", "", DATEDIF(F1320, TODAY(), "Y"))</f>
        <v/>
      </c>
      <c r="H1320" s="18"/>
      <c r="I1320" s="18"/>
      <c r="J1320" s="24" t="str">
        <f aca="true">IF(ISBLANK(H1320), "", I1320-TODAY())</f>
        <v/>
      </c>
      <c r="K1320" s="24" t="str">
        <f aca="false" t="array" ref="K1320:K1320">IF(A1320&lt;&gt;"",IF(COUNTIF(A$996:A1321,"&lt;&gt;")=0,COUNTA(B$996:B1320),IFERROR(MATCH(TRUE(),INDEX((A$996:A1321&lt;&gt;""),0),0),COUNTA(B$996:B1320))),"")</f>
        <v/>
      </c>
      <c r="L1320" s="27"/>
    </row>
    <row r="1321" customFormat="false" ht="13.8" hidden="false" customHeight="false" outlineLevel="0" collapsed="false">
      <c r="A1321" s="16"/>
      <c r="B1321" s="16"/>
      <c r="C1321" s="26"/>
      <c r="D1321" s="26"/>
      <c r="E1321" s="16"/>
      <c r="F1321" s="18"/>
      <c r="G1321" s="19" t="str">
        <f aca="true">IF(F1321="", "", DATEDIF(F1321, TODAY(), "Y"))</f>
        <v/>
      </c>
      <c r="H1321" s="18"/>
      <c r="I1321" s="18"/>
      <c r="J1321" s="24" t="str">
        <f aca="true">IF(ISBLANK(H1321), "", I1321-TODAY())</f>
        <v/>
      </c>
      <c r="K1321" s="24" t="str">
        <f aca="false" t="array" ref="K1321:K1321">IF(A1321&lt;&gt;"",IF(COUNTIF(A$996:A1322,"&lt;&gt;")=0,COUNTA(B$996:B1321),IFERROR(MATCH(TRUE(),INDEX((A$996:A1322&lt;&gt;""),0),0),COUNTA(B$996:B1321))),"")</f>
        <v/>
      </c>
      <c r="L1321" s="27"/>
    </row>
    <row r="1322" customFormat="false" ht="13.8" hidden="false" customHeight="false" outlineLevel="0" collapsed="false">
      <c r="A1322" s="16"/>
      <c r="B1322" s="16"/>
      <c r="C1322" s="26"/>
      <c r="D1322" s="26"/>
      <c r="E1322" s="16"/>
      <c r="F1322" s="18"/>
      <c r="G1322" s="19" t="str">
        <f aca="true">IF(F1322="", "", DATEDIF(F1322, TODAY(), "Y"))</f>
        <v/>
      </c>
      <c r="H1322" s="18"/>
      <c r="I1322" s="18"/>
      <c r="J1322" s="24" t="str">
        <f aca="true">IF(ISBLANK(H1322), "", I1322-TODAY())</f>
        <v/>
      </c>
      <c r="K1322" s="24" t="str">
        <f aca="false" t="array" ref="K1322:K1322">IF(A1322&lt;&gt;"",IF(COUNTIF(A$996:A1323,"&lt;&gt;")=0,COUNTA(B$996:B1322),IFERROR(MATCH(TRUE(),INDEX((A$996:A1323&lt;&gt;""),0),0),COUNTA(B$996:B1322))),"")</f>
        <v/>
      </c>
      <c r="L1322" s="27"/>
    </row>
    <row r="1323" customFormat="false" ht="13.8" hidden="false" customHeight="false" outlineLevel="0" collapsed="false">
      <c r="A1323" s="16"/>
      <c r="B1323" s="16"/>
      <c r="C1323" s="26"/>
      <c r="D1323" s="26"/>
      <c r="E1323" s="16"/>
      <c r="F1323" s="18"/>
      <c r="G1323" s="19" t="str">
        <f aca="true">IF(F1323="", "", DATEDIF(F1323, TODAY(), "Y"))</f>
        <v/>
      </c>
      <c r="H1323" s="18"/>
      <c r="I1323" s="18"/>
      <c r="J1323" s="24" t="str">
        <f aca="true">IF(ISBLANK(H1323), "", I1323-TODAY())</f>
        <v/>
      </c>
      <c r="K1323" s="24" t="str">
        <f aca="false" t="array" ref="K1323:K1323">IF(A1323&lt;&gt;"",IF(COUNTIF(A$996:A1324,"&lt;&gt;")=0,COUNTA(B$996:B1323),IFERROR(MATCH(TRUE(),INDEX((A$996:A1324&lt;&gt;""),0),0),COUNTA(B$996:B1323))),"")</f>
        <v/>
      </c>
      <c r="L1323" s="27"/>
    </row>
    <row r="1324" customFormat="false" ht="13.8" hidden="false" customHeight="false" outlineLevel="0" collapsed="false">
      <c r="A1324" s="16"/>
      <c r="B1324" s="16"/>
      <c r="C1324" s="26"/>
      <c r="D1324" s="26"/>
      <c r="E1324" s="16"/>
      <c r="F1324" s="18"/>
      <c r="G1324" s="19" t="str">
        <f aca="true">IF(F1324="", "", DATEDIF(F1324, TODAY(), "Y"))</f>
        <v/>
      </c>
      <c r="H1324" s="18"/>
      <c r="I1324" s="18"/>
      <c r="J1324" s="24" t="str">
        <f aca="true">IF(ISBLANK(H1324), "", I1324-TODAY())</f>
        <v/>
      </c>
      <c r="K1324" s="24" t="str">
        <f aca="false" t="array" ref="K1324:K1324">IF(A1324&lt;&gt;"",IF(COUNTIF(A$996:A1325,"&lt;&gt;")=0,COUNTA(B$996:B1324),IFERROR(MATCH(TRUE(),INDEX((A$996:A1325&lt;&gt;""),0),0),COUNTA(B$996:B1324))),"")</f>
        <v/>
      </c>
      <c r="L1324" s="27"/>
    </row>
    <row r="1325" customFormat="false" ht="13.8" hidden="false" customHeight="false" outlineLevel="0" collapsed="false">
      <c r="A1325" s="16"/>
      <c r="B1325" s="16"/>
      <c r="C1325" s="26"/>
      <c r="D1325" s="26"/>
      <c r="E1325" s="16"/>
      <c r="F1325" s="18"/>
      <c r="G1325" s="19" t="str">
        <f aca="true">IF(F1325="", "", DATEDIF(F1325, TODAY(), "Y"))</f>
        <v/>
      </c>
      <c r="H1325" s="18"/>
      <c r="I1325" s="18"/>
      <c r="J1325" s="24" t="str">
        <f aca="true">IF(ISBLANK(H1325), "", I1325-TODAY())</f>
        <v/>
      </c>
      <c r="K1325" s="24" t="str">
        <f aca="false" t="array" ref="K1325:K1325">IF(A1325&lt;&gt;"",IF(COUNTIF(A$996:A1326,"&lt;&gt;")=0,COUNTA(B$996:B1325),IFERROR(MATCH(TRUE(),INDEX((A$996:A1326&lt;&gt;""),0),0),COUNTA(B$996:B1325))),"")</f>
        <v/>
      </c>
      <c r="L1325" s="27"/>
    </row>
    <row r="1326" customFormat="false" ht="13.8" hidden="false" customHeight="false" outlineLevel="0" collapsed="false">
      <c r="A1326" s="16"/>
      <c r="B1326" s="16"/>
      <c r="C1326" s="26"/>
      <c r="D1326" s="26"/>
      <c r="E1326" s="16"/>
      <c r="F1326" s="18"/>
      <c r="G1326" s="19" t="str">
        <f aca="true">IF(F1326="", "", DATEDIF(F1326, TODAY(), "Y"))</f>
        <v/>
      </c>
      <c r="H1326" s="18"/>
      <c r="I1326" s="18"/>
      <c r="J1326" s="24" t="str">
        <f aca="true">IF(ISBLANK(H1326), "", I1326-TODAY())</f>
        <v/>
      </c>
      <c r="K1326" s="24" t="str">
        <f aca="false" t="array" ref="K1326:K1326">IF(A1326&lt;&gt;"",IF(COUNTIF(A$996:A1327,"&lt;&gt;")=0,COUNTA(B$996:B1326),IFERROR(MATCH(TRUE(),INDEX((A$996:A1327&lt;&gt;""),0),0),COUNTA(B$996:B1326))),"")</f>
        <v/>
      </c>
      <c r="L1326" s="27"/>
    </row>
    <row r="1327" customFormat="false" ht="13.8" hidden="false" customHeight="false" outlineLevel="0" collapsed="false">
      <c r="A1327" s="16"/>
      <c r="B1327" s="16"/>
      <c r="C1327" s="26"/>
      <c r="D1327" s="26"/>
      <c r="E1327" s="16"/>
      <c r="F1327" s="18"/>
      <c r="G1327" s="19" t="str">
        <f aca="true">IF(F1327="", "", DATEDIF(F1327, TODAY(), "Y"))</f>
        <v/>
      </c>
      <c r="H1327" s="18"/>
      <c r="I1327" s="18"/>
      <c r="J1327" s="24" t="str">
        <f aca="true">IF(ISBLANK(H1327), "", I1327-TODAY())</f>
        <v/>
      </c>
      <c r="K1327" s="24" t="str">
        <f aca="false" t="array" ref="K1327:K1327">IF(A1327&lt;&gt;"",IF(COUNTIF(A$996:A1328,"&lt;&gt;")=0,COUNTA(B$996:B1327),IFERROR(MATCH(TRUE(),INDEX((A$996:A1328&lt;&gt;""),0),0),COUNTA(B$996:B1327))),"")</f>
        <v/>
      </c>
      <c r="L1327" s="27"/>
    </row>
    <row r="1328" customFormat="false" ht="13.8" hidden="false" customHeight="false" outlineLevel="0" collapsed="false">
      <c r="A1328" s="16"/>
      <c r="B1328" s="16"/>
      <c r="C1328" s="26"/>
      <c r="D1328" s="26"/>
      <c r="E1328" s="16"/>
      <c r="F1328" s="18"/>
      <c r="G1328" s="19" t="str">
        <f aca="true">IF(F1328="", "", DATEDIF(F1328, TODAY(), "Y"))</f>
        <v/>
      </c>
      <c r="H1328" s="18"/>
      <c r="I1328" s="18"/>
      <c r="J1328" s="24" t="str">
        <f aca="true">IF(ISBLANK(H1328), "", I1328-TODAY())</f>
        <v/>
      </c>
      <c r="K1328" s="24" t="str">
        <f aca="false" t="array" ref="K1328:K1328">IF(A1328&lt;&gt;"",IF(COUNTIF(A$996:A1329,"&lt;&gt;")=0,COUNTA(B$996:B1328),IFERROR(MATCH(TRUE(),INDEX((A$996:A1329&lt;&gt;""),0),0),COUNTA(B$996:B1328))),"")</f>
        <v/>
      </c>
      <c r="L1328" s="27"/>
    </row>
    <row r="1329" customFormat="false" ht="13.8" hidden="false" customHeight="false" outlineLevel="0" collapsed="false">
      <c r="A1329" s="16"/>
      <c r="B1329" s="16"/>
      <c r="C1329" s="26"/>
      <c r="D1329" s="26"/>
      <c r="E1329" s="16"/>
      <c r="F1329" s="18"/>
      <c r="G1329" s="19" t="str">
        <f aca="true">IF(F1329="", "", DATEDIF(F1329, TODAY(), "Y"))</f>
        <v/>
      </c>
      <c r="H1329" s="18"/>
      <c r="I1329" s="18"/>
      <c r="J1329" s="24" t="str">
        <f aca="true">IF(ISBLANK(H1329), "", I1329-TODAY())</f>
        <v/>
      </c>
      <c r="K1329" s="24" t="str">
        <f aca="false" t="array" ref="K1329:K1329">IF(A1329&lt;&gt;"",IF(COUNTIF(A$996:A1330,"&lt;&gt;")=0,COUNTA(B$996:B1329),IFERROR(MATCH(TRUE(),INDEX((A$996:A1330&lt;&gt;""),0),0),COUNTA(B$996:B1329))),"")</f>
        <v/>
      </c>
      <c r="L1329" s="27"/>
    </row>
    <row r="1330" customFormat="false" ht="13.8" hidden="false" customHeight="false" outlineLevel="0" collapsed="false">
      <c r="A1330" s="16"/>
      <c r="B1330" s="16"/>
      <c r="C1330" s="26"/>
      <c r="D1330" s="26"/>
      <c r="E1330" s="16"/>
      <c r="F1330" s="18"/>
      <c r="G1330" s="19" t="str">
        <f aca="true">IF(F1330="", "", DATEDIF(F1330, TODAY(), "Y"))</f>
        <v/>
      </c>
      <c r="H1330" s="18"/>
      <c r="I1330" s="18"/>
      <c r="J1330" s="24" t="str">
        <f aca="true">IF(ISBLANK(H1330), "", I1330-TODAY())</f>
        <v/>
      </c>
      <c r="K1330" s="24" t="str">
        <f aca="false" t="array" ref="K1330:K1330">IF(A1330&lt;&gt;"",IF(COUNTIF(A$996:A1331,"&lt;&gt;")=0,COUNTA(B$996:B1330),IFERROR(MATCH(TRUE(),INDEX((A$996:A1331&lt;&gt;""),0),0),COUNTA(B$996:B1330))),"")</f>
        <v/>
      </c>
      <c r="L1330" s="27"/>
    </row>
    <row r="1331" customFormat="false" ht="13.8" hidden="false" customHeight="false" outlineLevel="0" collapsed="false">
      <c r="A1331" s="16"/>
      <c r="B1331" s="16"/>
      <c r="C1331" s="26"/>
      <c r="D1331" s="26"/>
      <c r="E1331" s="16"/>
      <c r="F1331" s="18"/>
      <c r="G1331" s="19" t="str">
        <f aca="true">IF(F1331="", "", DATEDIF(F1331, TODAY(), "Y"))</f>
        <v/>
      </c>
      <c r="H1331" s="18"/>
      <c r="I1331" s="18"/>
      <c r="J1331" s="24" t="str">
        <f aca="true">IF(ISBLANK(H1331), "", I1331-TODAY())</f>
        <v/>
      </c>
      <c r="K1331" s="24" t="str">
        <f aca="false" t="array" ref="K1331:K1331">IF(A1331&lt;&gt;"",IF(COUNTIF(A$996:A1332,"&lt;&gt;")=0,COUNTA(B$996:B1331),IFERROR(MATCH(TRUE(),INDEX((A$996:A1332&lt;&gt;""),0),0),COUNTA(B$996:B1331))),"")</f>
        <v/>
      </c>
      <c r="L1331" s="27"/>
    </row>
    <row r="1332" customFormat="false" ht="13.8" hidden="false" customHeight="false" outlineLevel="0" collapsed="false">
      <c r="A1332" s="16"/>
      <c r="B1332" s="16"/>
      <c r="C1332" s="26"/>
      <c r="D1332" s="26"/>
      <c r="E1332" s="16"/>
      <c r="F1332" s="18"/>
      <c r="G1332" s="19" t="str">
        <f aca="true">IF(F1332="", "", DATEDIF(F1332, TODAY(), "Y"))</f>
        <v/>
      </c>
      <c r="H1332" s="18"/>
      <c r="I1332" s="18"/>
      <c r="J1332" s="24" t="str">
        <f aca="true">IF(ISBLANK(H1332), "", I1332-TODAY())</f>
        <v/>
      </c>
      <c r="K1332" s="24" t="str">
        <f aca="false" t="array" ref="K1332:K1332">IF(A1332&lt;&gt;"",IF(COUNTIF(A$996:A1333,"&lt;&gt;")=0,COUNTA(B$996:B1332),IFERROR(MATCH(TRUE(),INDEX((A$996:A1333&lt;&gt;""),0),0),COUNTA(B$996:B1332))),"")</f>
        <v/>
      </c>
      <c r="L1332" s="27"/>
    </row>
    <row r="1333" customFormat="false" ht="13.8" hidden="false" customHeight="false" outlineLevel="0" collapsed="false">
      <c r="A1333" s="16"/>
      <c r="B1333" s="16"/>
      <c r="C1333" s="26"/>
      <c r="D1333" s="26"/>
      <c r="E1333" s="16"/>
      <c r="F1333" s="18"/>
      <c r="G1333" s="19" t="str">
        <f aca="true">IF(F1333="", "", DATEDIF(F1333, TODAY(), "Y"))</f>
        <v/>
      </c>
      <c r="H1333" s="18"/>
      <c r="I1333" s="18"/>
      <c r="J1333" s="24" t="str">
        <f aca="true">IF(ISBLANK(H1333), "", I1333-TODAY())</f>
        <v/>
      </c>
      <c r="K1333" s="24" t="str">
        <f aca="false" t="array" ref="K1333:K1333">IF(A1333&lt;&gt;"",IF(COUNTIF(A$996:A1334,"&lt;&gt;")=0,COUNTA(B$996:B1333),IFERROR(MATCH(TRUE(),INDEX((A$996:A1334&lt;&gt;""),0),0),COUNTA(B$996:B1333))),"")</f>
        <v/>
      </c>
      <c r="L1333" s="27"/>
    </row>
    <row r="1334" customFormat="false" ht="13.8" hidden="false" customHeight="false" outlineLevel="0" collapsed="false">
      <c r="A1334" s="16"/>
      <c r="B1334" s="16"/>
      <c r="C1334" s="26"/>
      <c r="D1334" s="26"/>
      <c r="E1334" s="16"/>
      <c r="F1334" s="18"/>
      <c r="G1334" s="19" t="str">
        <f aca="true">IF(F1334="", "", DATEDIF(F1334, TODAY(), "Y"))</f>
        <v/>
      </c>
      <c r="H1334" s="18"/>
      <c r="I1334" s="18"/>
      <c r="J1334" s="24" t="str">
        <f aca="true">IF(ISBLANK(H1334), "", I1334-TODAY())</f>
        <v/>
      </c>
      <c r="K1334" s="24" t="str">
        <f aca="false" t="array" ref="K1334:K1334">IF(A1334&lt;&gt;"",IF(COUNTIF(A$996:A1335,"&lt;&gt;")=0,COUNTA(B$996:B1334),IFERROR(MATCH(TRUE(),INDEX((A$996:A1335&lt;&gt;""),0),0),COUNTA(B$996:B1334))),"")</f>
        <v/>
      </c>
      <c r="L1334" s="27"/>
    </row>
    <row r="1335" customFormat="false" ht="13.8" hidden="false" customHeight="false" outlineLevel="0" collapsed="false">
      <c r="A1335" s="16"/>
      <c r="B1335" s="16"/>
      <c r="C1335" s="26"/>
      <c r="D1335" s="26"/>
      <c r="E1335" s="16"/>
      <c r="F1335" s="18"/>
      <c r="G1335" s="19" t="str">
        <f aca="true">IF(F1335="", "", DATEDIF(F1335, TODAY(), "Y"))</f>
        <v/>
      </c>
      <c r="H1335" s="18"/>
      <c r="I1335" s="18"/>
      <c r="J1335" s="24" t="str">
        <f aca="true">IF(ISBLANK(H1335), "", I1335-TODAY())</f>
        <v/>
      </c>
      <c r="K1335" s="24" t="str">
        <f aca="false" t="array" ref="K1335:K1335">IF(A1335&lt;&gt;"",IF(COUNTIF(A$996:A1336,"&lt;&gt;")=0,COUNTA(B$996:B1335),IFERROR(MATCH(TRUE(),INDEX((A$996:A1336&lt;&gt;""),0),0),COUNTA(B$996:B1335))),"")</f>
        <v/>
      </c>
      <c r="L1335" s="27"/>
    </row>
    <row r="1336" customFormat="false" ht="13.8" hidden="false" customHeight="false" outlineLevel="0" collapsed="false">
      <c r="A1336" s="16"/>
      <c r="B1336" s="16"/>
      <c r="C1336" s="26"/>
      <c r="D1336" s="26"/>
      <c r="E1336" s="16"/>
      <c r="F1336" s="18"/>
      <c r="G1336" s="19" t="str">
        <f aca="true">IF(F1336="", "", DATEDIF(F1336, TODAY(), "Y"))</f>
        <v/>
      </c>
      <c r="H1336" s="18"/>
      <c r="I1336" s="18"/>
      <c r="J1336" s="24" t="str">
        <f aca="true">IF(ISBLANK(H1336), "", I1336-TODAY())</f>
        <v/>
      </c>
      <c r="K1336" s="24" t="str">
        <f aca="false" t="array" ref="K1336:K1336">IF(A1336&lt;&gt;"",IF(COUNTIF(A$996:A1337,"&lt;&gt;")=0,COUNTA(B$996:B1336),IFERROR(MATCH(TRUE(),INDEX((A$996:A1337&lt;&gt;""),0),0),COUNTA(B$996:B1336))),"")</f>
        <v/>
      </c>
      <c r="L1336" s="27"/>
    </row>
    <row r="1337" customFormat="false" ht="13.8" hidden="false" customHeight="false" outlineLevel="0" collapsed="false">
      <c r="A1337" s="16"/>
      <c r="B1337" s="16"/>
      <c r="C1337" s="26"/>
      <c r="D1337" s="26"/>
      <c r="E1337" s="16"/>
      <c r="F1337" s="18"/>
      <c r="G1337" s="19" t="str">
        <f aca="true">IF(F1337="", "", DATEDIF(F1337, TODAY(), "Y"))</f>
        <v/>
      </c>
      <c r="H1337" s="18"/>
      <c r="I1337" s="18"/>
      <c r="J1337" s="24" t="str">
        <f aca="true">IF(ISBLANK(H1337), "", I1337-TODAY())</f>
        <v/>
      </c>
      <c r="K1337" s="24" t="str">
        <f aca="false" t="array" ref="K1337:K1337">IF(A1337&lt;&gt;"",IF(COUNTIF(A$996:A1338,"&lt;&gt;")=0,COUNTA(B$996:B1337),IFERROR(MATCH(TRUE(),INDEX((A$996:A1338&lt;&gt;""),0),0),COUNTA(B$996:B1337))),"")</f>
        <v/>
      </c>
      <c r="L1337" s="27"/>
    </row>
    <row r="1338" customFormat="false" ht="13.8" hidden="false" customHeight="false" outlineLevel="0" collapsed="false">
      <c r="A1338" s="16"/>
      <c r="B1338" s="16"/>
      <c r="C1338" s="26"/>
      <c r="D1338" s="26"/>
      <c r="E1338" s="16"/>
      <c r="F1338" s="18"/>
      <c r="G1338" s="19" t="str">
        <f aca="true">IF(F1338="", "", DATEDIF(F1338, TODAY(), "Y"))</f>
        <v/>
      </c>
      <c r="H1338" s="18"/>
      <c r="I1338" s="18"/>
      <c r="J1338" s="24" t="str">
        <f aca="true">IF(ISBLANK(H1338), "", I1338-TODAY())</f>
        <v/>
      </c>
      <c r="K1338" s="24" t="str">
        <f aca="false" t="array" ref="K1338:K1338">IF(A1338&lt;&gt;"",IF(COUNTIF(A$996:A1339,"&lt;&gt;")=0,COUNTA(B$996:B1338),IFERROR(MATCH(TRUE(),INDEX((A$996:A1339&lt;&gt;""),0),0),COUNTA(B$996:B1338))),"")</f>
        <v/>
      </c>
      <c r="L1338" s="27"/>
    </row>
    <row r="1339" customFormat="false" ht="13.8" hidden="false" customHeight="false" outlineLevel="0" collapsed="false">
      <c r="A1339" s="16"/>
      <c r="B1339" s="16"/>
      <c r="C1339" s="26"/>
      <c r="D1339" s="26"/>
      <c r="E1339" s="16"/>
      <c r="F1339" s="18"/>
      <c r="G1339" s="19" t="str">
        <f aca="true">IF(F1339="", "", DATEDIF(F1339, TODAY(), "Y"))</f>
        <v/>
      </c>
      <c r="H1339" s="18"/>
      <c r="I1339" s="18"/>
      <c r="J1339" s="24" t="str">
        <f aca="true">IF(ISBLANK(H1339), "", I1339-TODAY())</f>
        <v/>
      </c>
      <c r="K1339" s="24" t="str">
        <f aca="false" t="array" ref="K1339:K1339">IF(A1339&lt;&gt;"",IF(COUNTIF(A$996:A1340,"&lt;&gt;")=0,COUNTA(B$996:B1339),IFERROR(MATCH(TRUE(),INDEX((A$996:A1340&lt;&gt;""),0),0),COUNTA(B$996:B1339))),"")</f>
        <v/>
      </c>
      <c r="L1339" s="27"/>
    </row>
    <row r="1340" customFormat="false" ht="13.8" hidden="false" customHeight="false" outlineLevel="0" collapsed="false">
      <c r="A1340" s="16"/>
      <c r="B1340" s="16"/>
      <c r="C1340" s="26"/>
      <c r="D1340" s="26"/>
      <c r="E1340" s="16"/>
      <c r="F1340" s="18"/>
      <c r="G1340" s="19" t="str">
        <f aca="true">IF(F1340="", "", DATEDIF(F1340, TODAY(), "Y"))</f>
        <v/>
      </c>
      <c r="H1340" s="18"/>
      <c r="I1340" s="18"/>
      <c r="J1340" s="24" t="str">
        <f aca="true">IF(ISBLANK(H1340), "", I1340-TODAY())</f>
        <v/>
      </c>
      <c r="K1340" s="24" t="str">
        <f aca="false" t="array" ref="K1340:K1340">IF(A1340&lt;&gt;"",IF(COUNTIF(A$996:A1341,"&lt;&gt;")=0,COUNTA(B$996:B1340),IFERROR(MATCH(TRUE(),INDEX((A$996:A1341&lt;&gt;""),0),0),COUNTA(B$996:B1340))),"")</f>
        <v/>
      </c>
      <c r="L1340" s="27"/>
    </row>
    <row r="1341" customFormat="false" ht="13.8" hidden="false" customHeight="false" outlineLevel="0" collapsed="false">
      <c r="A1341" s="16"/>
      <c r="B1341" s="16"/>
      <c r="C1341" s="26"/>
      <c r="D1341" s="26"/>
      <c r="E1341" s="16"/>
      <c r="F1341" s="18"/>
      <c r="G1341" s="19" t="str">
        <f aca="true">IF(F1341="", "", DATEDIF(F1341, TODAY(), "Y"))</f>
        <v/>
      </c>
      <c r="H1341" s="18"/>
      <c r="I1341" s="18"/>
      <c r="J1341" s="24" t="str">
        <f aca="true">IF(ISBLANK(H1341), "", I1341-TODAY())</f>
        <v/>
      </c>
      <c r="K1341" s="24" t="str">
        <f aca="false" t="array" ref="K1341:K1341">IF(A1341&lt;&gt;"",IF(COUNTIF(A$996:A1342,"&lt;&gt;")=0,COUNTA(B$996:B1341),IFERROR(MATCH(TRUE(),INDEX((A$996:A1342&lt;&gt;""),0),0),COUNTA(B$996:B1341))),"")</f>
        <v/>
      </c>
      <c r="L1341" s="27"/>
    </row>
    <row r="1342" customFormat="false" ht="13.8" hidden="false" customHeight="false" outlineLevel="0" collapsed="false">
      <c r="A1342" s="16"/>
      <c r="B1342" s="16"/>
      <c r="C1342" s="26"/>
      <c r="D1342" s="26"/>
      <c r="E1342" s="16"/>
      <c r="F1342" s="18"/>
      <c r="G1342" s="19" t="str">
        <f aca="true">IF(F1342="", "", DATEDIF(F1342, TODAY(), "Y"))</f>
        <v/>
      </c>
      <c r="H1342" s="18"/>
      <c r="I1342" s="18"/>
      <c r="J1342" s="24" t="str">
        <f aca="true">IF(ISBLANK(H1342), "", I1342-TODAY())</f>
        <v/>
      </c>
      <c r="K1342" s="24" t="str">
        <f aca="false" t="array" ref="K1342:K1342">IF(A1342&lt;&gt;"",IF(COUNTIF(A$996:A1343,"&lt;&gt;")=0,COUNTA(B$996:B1342),IFERROR(MATCH(TRUE(),INDEX((A$996:A1343&lt;&gt;""),0),0),COUNTA(B$996:B1342))),"")</f>
        <v/>
      </c>
      <c r="L1342" s="27"/>
    </row>
    <row r="1343" customFormat="false" ht="13.8" hidden="false" customHeight="false" outlineLevel="0" collapsed="false">
      <c r="A1343" s="16"/>
      <c r="B1343" s="16"/>
      <c r="C1343" s="26"/>
      <c r="D1343" s="26"/>
      <c r="E1343" s="16"/>
      <c r="F1343" s="18"/>
      <c r="G1343" s="19" t="str">
        <f aca="true">IF(F1343="", "", DATEDIF(F1343, TODAY(), "Y"))</f>
        <v/>
      </c>
      <c r="H1343" s="18"/>
      <c r="I1343" s="18"/>
      <c r="J1343" s="24" t="str">
        <f aca="true">IF(ISBLANK(H1343), "", I1343-TODAY())</f>
        <v/>
      </c>
      <c r="K1343" s="24" t="str">
        <f aca="false" t="array" ref="K1343:K1343">IF(A1343&lt;&gt;"",IF(COUNTIF(A$996:A1344,"&lt;&gt;")=0,COUNTA(B$996:B1343),IFERROR(MATCH(TRUE(),INDEX((A$996:A1344&lt;&gt;""),0),0),COUNTA(B$996:B1343))),"")</f>
        <v/>
      </c>
      <c r="L1343" s="27"/>
    </row>
    <row r="1344" customFormat="false" ht="13.8" hidden="false" customHeight="false" outlineLevel="0" collapsed="false">
      <c r="A1344" s="16"/>
      <c r="B1344" s="16"/>
      <c r="C1344" s="26"/>
      <c r="D1344" s="26"/>
      <c r="E1344" s="16"/>
      <c r="F1344" s="18"/>
      <c r="G1344" s="19" t="str">
        <f aca="true">IF(F1344="", "", DATEDIF(F1344, TODAY(), "Y"))</f>
        <v/>
      </c>
      <c r="H1344" s="18"/>
      <c r="I1344" s="18"/>
      <c r="J1344" s="24" t="str">
        <f aca="true">IF(ISBLANK(H1344), "", I1344-TODAY())</f>
        <v/>
      </c>
      <c r="K1344" s="24" t="str">
        <f aca="false" t="array" ref="K1344:K1344">IF(A1344&lt;&gt;"",IF(COUNTIF(A$996:A1345,"&lt;&gt;")=0,COUNTA(B$996:B1344),IFERROR(MATCH(TRUE(),INDEX((A$996:A1345&lt;&gt;""),0),0),COUNTA(B$996:B1344))),"")</f>
        <v/>
      </c>
      <c r="L1344" s="27"/>
    </row>
    <row r="1345" customFormat="false" ht="13.8" hidden="false" customHeight="false" outlineLevel="0" collapsed="false">
      <c r="A1345" s="16"/>
      <c r="B1345" s="16"/>
      <c r="C1345" s="26"/>
      <c r="D1345" s="26"/>
      <c r="E1345" s="16"/>
      <c r="F1345" s="18"/>
      <c r="G1345" s="19" t="str">
        <f aca="true">IF(F1345="", "", DATEDIF(F1345, TODAY(), "Y"))</f>
        <v/>
      </c>
      <c r="H1345" s="18"/>
      <c r="I1345" s="18"/>
      <c r="J1345" s="24" t="str">
        <f aca="true">IF(ISBLANK(H1345), "", I1345-TODAY())</f>
        <v/>
      </c>
      <c r="K1345" s="24" t="str">
        <f aca="false" t="array" ref="K1345:K1345">IF(A1345&lt;&gt;"",IF(COUNTIF(A$996:A1346,"&lt;&gt;")=0,COUNTA(B$996:B1345),IFERROR(MATCH(TRUE(),INDEX((A$996:A1346&lt;&gt;""),0),0),COUNTA(B$996:B1345))),"")</f>
        <v/>
      </c>
      <c r="L1345" s="27"/>
    </row>
    <row r="1346" customFormat="false" ht="13.8" hidden="false" customHeight="false" outlineLevel="0" collapsed="false">
      <c r="A1346" s="16"/>
      <c r="B1346" s="16"/>
      <c r="C1346" s="26"/>
      <c r="D1346" s="26"/>
      <c r="E1346" s="16"/>
      <c r="F1346" s="18"/>
      <c r="G1346" s="19" t="str">
        <f aca="true">IF(F1346="", "", DATEDIF(F1346, TODAY(), "Y"))</f>
        <v/>
      </c>
      <c r="H1346" s="18"/>
      <c r="I1346" s="18"/>
      <c r="J1346" s="24" t="str">
        <f aca="true">IF(ISBLANK(H1346), "", I1346-TODAY())</f>
        <v/>
      </c>
      <c r="K1346" s="24" t="str">
        <f aca="false" t="array" ref="K1346:K1346">IF(A1346&lt;&gt;"",IF(COUNTIF(A$996:A1347,"&lt;&gt;")=0,COUNTA(B$996:B1346),IFERROR(MATCH(TRUE(),INDEX((A$996:A1347&lt;&gt;""),0),0),COUNTA(B$996:B1346))),"")</f>
        <v/>
      </c>
      <c r="L1346" s="27"/>
    </row>
    <row r="1347" customFormat="false" ht="13.8" hidden="false" customHeight="false" outlineLevel="0" collapsed="false">
      <c r="A1347" s="16"/>
      <c r="B1347" s="16"/>
      <c r="C1347" s="26"/>
      <c r="D1347" s="26"/>
      <c r="E1347" s="16"/>
      <c r="F1347" s="18"/>
      <c r="G1347" s="19" t="str">
        <f aca="true">IF(F1347="", "", DATEDIF(F1347, TODAY(), "Y"))</f>
        <v/>
      </c>
      <c r="H1347" s="18"/>
      <c r="I1347" s="18"/>
      <c r="J1347" s="24" t="str">
        <f aca="true">IF(ISBLANK(H1347), "", I1347-TODAY())</f>
        <v/>
      </c>
      <c r="K1347" s="24" t="str">
        <f aca="false" t="array" ref="K1347:K1347">IF(A1347&lt;&gt;"",IF(COUNTIF(A$996:A1348,"&lt;&gt;")=0,COUNTA(B$996:B1347),IFERROR(MATCH(TRUE(),INDEX((A$996:A1348&lt;&gt;""),0),0),COUNTA(B$996:B1347))),"")</f>
        <v/>
      </c>
      <c r="L1347" s="27"/>
    </row>
    <row r="1348" customFormat="false" ht="13.8" hidden="false" customHeight="false" outlineLevel="0" collapsed="false">
      <c r="A1348" s="16"/>
      <c r="B1348" s="16"/>
      <c r="C1348" s="26"/>
      <c r="D1348" s="26"/>
      <c r="E1348" s="16"/>
      <c r="F1348" s="18"/>
      <c r="G1348" s="19" t="str">
        <f aca="true">IF(F1348="", "", DATEDIF(F1348, TODAY(), "Y"))</f>
        <v/>
      </c>
      <c r="H1348" s="18"/>
      <c r="I1348" s="18"/>
      <c r="J1348" s="24" t="str">
        <f aca="true">IF(ISBLANK(H1348), "", I1348-TODAY())</f>
        <v/>
      </c>
      <c r="K1348" s="24" t="str">
        <f aca="false" t="array" ref="K1348:K1348">IF(A1348&lt;&gt;"",IF(COUNTIF(A$996:A1349,"&lt;&gt;")=0,COUNTA(B$996:B1348),IFERROR(MATCH(TRUE(),INDEX((A$996:A1349&lt;&gt;""),0),0),COUNTA(B$996:B1348))),"")</f>
        <v/>
      </c>
      <c r="L1348" s="27"/>
    </row>
    <row r="1349" customFormat="false" ht="13.8" hidden="false" customHeight="false" outlineLevel="0" collapsed="false">
      <c r="A1349" s="16"/>
      <c r="B1349" s="16"/>
      <c r="C1349" s="26"/>
      <c r="D1349" s="26"/>
      <c r="E1349" s="16"/>
      <c r="F1349" s="18"/>
      <c r="G1349" s="19" t="str">
        <f aca="true">IF(F1349="", "", DATEDIF(F1349, TODAY(), "Y"))</f>
        <v/>
      </c>
      <c r="H1349" s="18"/>
      <c r="I1349" s="18"/>
      <c r="J1349" s="24" t="str">
        <f aca="true">IF(ISBLANK(H1349), "", I1349-TODAY())</f>
        <v/>
      </c>
      <c r="K1349" s="24" t="str">
        <f aca="false" t="array" ref="K1349:K1349">IF(A1349&lt;&gt;"",IF(COUNTIF(A$996:A1350,"&lt;&gt;")=0,COUNTA(B$996:B1349),IFERROR(MATCH(TRUE(),INDEX((A$996:A1350&lt;&gt;""),0),0),COUNTA(B$996:B1349))),"")</f>
        <v/>
      </c>
      <c r="L1349" s="27"/>
    </row>
    <row r="1350" customFormat="false" ht="13.8" hidden="false" customHeight="false" outlineLevel="0" collapsed="false">
      <c r="A1350" s="16"/>
      <c r="B1350" s="16"/>
      <c r="C1350" s="26"/>
      <c r="D1350" s="26"/>
      <c r="E1350" s="16"/>
      <c r="F1350" s="18"/>
      <c r="G1350" s="19" t="str">
        <f aca="true">IF(F1350="", "", DATEDIF(F1350, TODAY(), "Y"))</f>
        <v/>
      </c>
      <c r="H1350" s="18"/>
      <c r="I1350" s="18"/>
      <c r="J1350" s="24" t="str">
        <f aca="true">IF(ISBLANK(H1350), "", I1350-TODAY())</f>
        <v/>
      </c>
      <c r="K1350" s="24" t="str">
        <f aca="false" t="array" ref="K1350:K1350">IF(A1350&lt;&gt;"",IF(COUNTIF(A$996:A1351,"&lt;&gt;")=0,COUNTA(B$996:B1350),IFERROR(MATCH(TRUE(),INDEX((A$996:A1351&lt;&gt;""),0),0),COUNTA(B$996:B1350))),"")</f>
        <v/>
      </c>
      <c r="L1350" s="27"/>
    </row>
    <row r="1351" customFormat="false" ht="13.8" hidden="false" customHeight="false" outlineLevel="0" collapsed="false">
      <c r="A1351" s="16"/>
      <c r="B1351" s="16"/>
      <c r="C1351" s="26"/>
      <c r="D1351" s="26"/>
      <c r="E1351" s="16"/>
      <c r="F1351" s="18"/>
      <c r="G1351" s="19" t="str">
        <f aca="true">IF(F1351="", "", DATEDIF(F1351, TODAY(), "Y"))</f>
        <v/>
      </c>
      <c r="H1351" s="18"/>
      <c r="I1351" s="18"/>
      <c r="J1351" s="24" t="str">
        <f aca="true">IF(ISBLANK(H1351), "", I1351-TODAY())</f>
        <v/>
      </c>
      <c r="K1351" s="24" t="str">
        <f aca="false" t="array" ref="K1351:K1351">IF(A1351&lt;&gt;"",IF(COUNTIF(A$996:A1352,"&lt;&gt;")=0,COUNTA(B$996:B1351),IFERROR(MATCH(TRUE(),INDEX((A$996:A1352&lt;&gt;""),0),0),COUNTA(B$996:B1351))),"")</f>
        <v/>
      </c>
      <c r="L1351" s="27"/>
    </row>
    <row r="1352" customFormat="false" ht="13.8" hidden="false" customHeight="false" outlineLevel="0" collapsed="false">
      <c r="A1352" s="16"/>
      <c r="B1352" s="16"/>
      <c r="C1352" s="26"/>
      <c r="D1352" s="26"/>
      <c r="E1352" s="16"/>
      <c r="F1352" s="18"/>
      <c r="G1352" s="19" t="str">
        <f aca="true">IF(F1352="", "", DATEDIF(F1352, TODAY(), "Y"))</f>
        <v/>
      </c>
      <c r="H1352" s="18"/>
      <c r="I1352" s="18"/>
      <c r="J1352" s="24" t="str">
        <f aca="true">IF(ISBLANK(H1352), "", I1352-TODAY())</f>
        <v/>
      </c>
      <c r="K1352" s="24" t="str">
        <f aca="false" t="array" ref="K1352:K1352">IF(A1352&lt;&gt;"",IF(COUNTIF(A$996:A1353,"&lt;&gt;")=0,COUNTA(B$996:B1352),IFERROR(MATCH(TRUE(),INDEX((A$996:A1353&lt;&gt;""),0),0),COUNTA(B$996:B1352))),"")</f>
        <v/>
      </c>
      <c r="L1352" s="27"/>
    </row>
    <row r="1353" customFormat="false" ht="13.8" hidden="false" customHeight="false" outlineLevel="0" collapsed="false">
      <c r="A1353" s="16"/>
      <c r="B1353" s="16"/>
      <c r="C1353" s="26"/>
      <c r="D1353" s="26"/>
      <c r="E1353" s="16"/>
      <c r="F1353" s="18"/>
      <c r="G1353" s="19" t="str">
        <f aca="true">IF(F1353="", "", DATEDIF(F1353, TODAY(), "Y"))</f>
        <v/>
      </c>
      <c r="H1353" s="18"/>
      <c r="I1353" s="18"/>
      <c r="J1353" s="24" t="str">
        <f aca="true">IF(ISBLANK(H1353), "", I1353-TODAY())</f>
        <v/>
      </c>
      <c r="K1353" s="24" t="str">
        <f aca="false" t="array" ref="K1353:K1353">IF(A1353&lt;&gt;"",IF(COUNTIF(A$996:A1354,"&lt;&gt;")=0,COUNTA(B$996:B1353),IFERROR(MATCH(TRUE(),INDEX((A$996:A1354&lt;&gt;""),0),0),COUNTA(B$996:B1353))),"")</f>
        <v/>
      </c>
      <c r="L1353" s="27"/>
    </row>
    <row r="1354" customFormat="false" ht="13.8" hidden="false" customHeight="false" outlineLevel="0" collapsed="false">
      <c r="A1354" s="16"/>
      <c r="B1354" s="16"/>
      <c r="C1354" s="26"/>
      <c r="D1354" s="26"/>
      <c r="E1354" s="16"/>
      <c r="F1354" s="18"/>
      <c r="G1354" s="19" t="str">
        <f aca="true">IF(F1354="", "", DATEDIF(F1354, TODAY(), "Y"))</f>
        <v/>
      </c>
      <c r="H1354" s="18"/>
      <c r="I1354" s="18"/>
      <c r="J1354" s="24" t="str">
        <f aca="true">IF(ISBLANK(H1354), "", I1354-TODAY())</f>
        <v/>
      </c>
      <c r="K1354" s="24" t="str">
        <f aca="false" t="array" ref="K1354:K1354">IF(A1354&lt;&gt;"",IF(COUNTIF(A$996:A1355,"&lt;&gt;")=0,COUNTA(B$996:B1354),IFERROR(MATCH(TRUE(),INDEX((A$996:A1355&lt;&gt;""),0),0),COUNTA(B$996:B1354))),"")</f>
        <v/>
      </c>
      <c r="L1354" s="27"/>
    </row>
    <row r="1355" customFormat="false" ht="13.8" hidden="false" customHeight="false" outlineLevel="0" collapsed="false">
      <c r="A1355" s="16"/>
      <c r="B1355" s="16"/>
      <c r="C1355" s="26"/>
      <c r="D1355" s="26"/>
      <c r="E1355" s="16"/>
      <c r="F1355" s="18"/>
      <c r="G1355" s="19" t="str">
        <f aca="true">IF(F1355="", "", DATEDIF(F1355, TODAY(), "Y"))</f>
        <v/>
      </c>
      <c r="H1355" s="18"/>
      <c r="I1355" s="18"/>
      <c r="J1355" s="24" t="str">
        <f aca="true">IF(ISBLANK(H1355), "", I1355-TODAY())</f>
        <v/>
      </c>
      <c r="K1355" s="24" t="str">
        <f aca="false" t="array" ref="K1355:K1355">IF(A1355&lt;&gt;"",IF(COUNTIF(A$996:A1356,"&lt;&gt;")=0,COUNTA(B$996:B1355),IFERROR(MATCH(TRUE(),INDEX((A$996:A1356&lt;&gt;""),0),0),COUNTA(B$996:B1355))),"")</f>
        <v/>
      </c>
      <c r="L1355" s="27"/>
    </row>
    <row r="1356" customFormat="false" ht="13.8" hidden="false" customHeight="false" outlineLevel="0" collapsed="false">
      <c r="A1356" s="16"/>
      <c r="B1356" s="16"/>
      <c r="C1356" s="26"/>
      <c r="D1356" s="26"/>
      <c r="E1356" s="16"/>
      <c r="F1356" s="18"/>
      <c r="G1356" s="19" t="str">
        <f aca="true">IF(F1356="", "", DATEDIF(F1356, TODAY(), "Y"))</f>
        <v/>
      </c>
      <c r="H1356" s="18"/>
      <c r="I1356" s="18"/>
      <c r="J1356" s="24" t="str">
        <f aca="true">IF(ISBLANK(H1356), "", I1356-TODAY())</f>
        <v/>
      </c>
      <c r="K1356" s="24" t="str">
        <f aca="false" t="array" ref="K1356:K1356">IF(A1356&lt;&gt;"",IF(COUNTIF(A$996:A1357,"&lt;&gt;")=0,COUNTA(B$996:B1356),IFERROR(MATCH(TRUE(),INDEX((A$996:A1357&lt;&gt;""),0),0),COUNTA(B$996:B1356))),"")</f>
        <v/>
      </c>
      <c r="L1356" s="27"/>
    </row>
    <row r="1357" customFormat="false" ht="13.8" hidden="false" customHeight="false" outlineLevel="0" collapsed="false">
      <c r="A1357" s="16"/>
      <c r="B1357" s="16"/>
      <c r="C1357" s="26"/>
      <c r="D1357" s="26"/>
      <c r="E1357" s="16"/>
      <c r="F1357" s="18"/>
      <c r="G1357" s="19" t="str">
        <f aca="true">IF(F1357="", "", DATEDIF(F1357, TODAY(), "Y"))</f>
        <v/>
      </c>
      <c r="H1357" s="18"/>
      <c r="I1357" s="18"/>
      <c r="J1357" s="24" t="str">
        <f aca="true">IF(ISBLANK(H1357), "", I1357-TODAY())</f>
        <v/>
      </c>
      <c r="K1357" s="24" t="str">
        <f aca="false" t="array" ref="K1357:K1357">IF(A1357&lt;&gt;"",IF(COUNTIF(A$996:A1358,"&lt;&gt;")=0,COUNTA(B$996:B1357),IFERROR(MATCH(TRUE(),INDEX((A$996:A1358&lt;&gt;""),0),0),COUNTA(B$996:B1357))),"")</f>
        <v/>
      </c>
      <c r="L1357" s="27"/>
    </row>
    <row r="1358" customFormat="false" ht="13.8" hidden="false" customHeight="false" outlineLevel="0" collapsed="false">
      <c r="A1358" s="16"/>
      <c r="B1358" s="16"/>
      <c r="C1358" s="26"/>
      <c r="D1358" s="26"/>
      <c r="E1358" s="16"/>
      <c r="F1358" s="18"/>
      <c r="G1358" s="19" t="str">
        <f aca="true">IF(F1358="", "", DATEDIF(F1358, TODAY(), "Y"))</f>
        <v/>
      </c>
      <c r="H1358" s="18"/>
      <c r="I1358" s="18"/>
      <c r="J1358" s="24" t="str">
        <f aca="true">IF(ISBLANK(H1358), "", I1358-TODAY())</f>
        <v/>
      </c>
      <c r="K1358" s="24" t="str">
        <f aca="false" t="array" ref="K1358:K1358">IF(A1358&lt;&gt;"",IF(COUNTIF(A$996:A1359,"&lt;&gt;")=0,COUNTA(B$996:B1358),IFERROR(MATCH(TRUE(),INDEX((A$996:A1359&lt;&gt;""),0),0),COUNTA(B$996:B1358))),"")</f>
        <v/>
      </c>
      <c r="L1358" s="27"/>
    </row>
    <row r="1359" customFormat="false" ht="13.8" hidden="false" customHeight="false" outlineLevel="0" collapsed="false">
      <c r="A1359" s="16"/>
      <c r="B1359" s="16"/>
      <c r="C1359" s="26"/>
      <c r="D1359" s="26"/>
      <c r="E1359" s="16"/>
      <c r="F1359" s="18"/>
      <c r="G1359" s="19" t="str">
        <f aca="true">IF(F1359="", "", DATEDIF(F1359, TODAY(), "Y"))</f>
        <v/>
      </c>
      <c r="H1359" s="18"/>
      <c r="I1359" s="18"/>
      <c r="J1359" s="24" t="str">
        <f aca="true">IF(ISBLANK(H1359), "", I1359-TODAY())</f>
        <v/>
      </c>
      <c r="K1359" s="24" t="str">
        <f aca="false" t="array" ref="K1359:K1359">IF(A1359&lt;&gt;"",IF(COUNTIF(A$996:A1360,"&lt;&gt;")=0,COUNTA(B$996:B1359),IFERROR(MATCH(TRUE(),INDEX((A$996:A1360&lt;&gt;""),0),0),COUNTA(B$996:B1359))),"")</f>
        <v/>
      </c>
      <c r="L1359" s="27"/>
    </row>
    <row r="1360" customFormat="false" ht="13.8" hidden="false" customHeight="false" outlineLevel="0" collapsed="false">
      <c r="A1360" s="16"/>
      <c r="B1360" s="16"/>
      <c r="C1360" s="26"/>
      <c r="D1360" s="26"/>
      <c r="E1360" s="16"/>
      <c r="F1360" s="18"/>
      <c r="G1360" s="19" t="str">
        <f aca="true">IF(F1360="", "", DATEDIF(F1360, TODAY(), "Y"))</f>
        <v/>
      </c>
      <c r="H1360" s="18"/>
      <c r="I1360" s="18"/>
      <c r="J1360" s="24" t="str">
        <f aca="true">IF(ISBLANK(H1360), "", I1360-TODAY())</f>
        <v/>
      </c>
      <c r="K1360" s="24" t="str">
        <f aca="false" t="array" ref="K1360:K1360">IF(A1360&lt;&gt;"",IF(COUNTIF(A$996:A1361,"&lt;&gt;")=0,COUNTA(B$996:B1360),IFERROR(MATCH(TRUE(),INDEX((A$996:A1361&lt;&gt;""),0),0),COUNTA(B$996:B1360))),"")</f>
        <v/>
      </c>
      <c r="L1360" s="27"/>
    </row>
    <row r="1361" customFormat="false" ht="13.8" hidden="false" customHeight="false" outlineLevel="0" collapsed="false">
      <c r="A1361" s="16"/>
      <c r="B1361" s="16"/>
      <c r="C1361" s="26"/>
      <c r="D1361" s="26"/>
      <c r="E1361" s="16"/>
      <c r="F1361" s="18"/>
      <c r="G1361" s="19" t="str">
        <f aca="true">IF(F1361="", "", DATEDIF(F1361, TODAY(), "Y"))</f>
        <v/>
      </c>
      <c r="H1361" s="18"/>
      <c r="I1361" s="18"/>
      <c r="J1361" s="24" t="str">
        <f aca="true">IF(ISBLANK(H1361), "", I1361-TODAY())</f>
        <v/>
      </c>
      <c r="K1361" s="24" t="str">
        <f aca="false" t="array" ref="K1361:K1361">IF(A1361&lt;&gt;"",IF(COUNTIF(A$996:A1362,"&lt;&gt;")=0,COUNTA(B$996:B1361),IFERROR(MATCH(TRUE(),INDEX((A$996:A1362&lt;&gt;""),0),0),COUNTA(B$996:B1361))),"")</f>
        <v/>
      </c>
      <c r="L1361" s="27"/>
    </row>
    <row r="1362" customFormat="false" ht="13.8" hidden="false" customHeight="false" outlineLevel="0" collapsed="false">
      <c r="A1362" s="16"/>
      <c r="B1362" s="16"/>
      <c r="C1362" s="26"/>
      <c r="D1362" s="26"/>
      <c r="E1362" s="16"/>
      <c r="F1362" s="18"/>
      <c r="G1362" s="19" t="str">
        <f aca="true">IF(F1362="", "", DATEDIF(F1362, TODAY(), "Y"))</f>
        <v/>
      </c>
      <c r="H1362" s="18"/>
      <c r="I1362" s="18"/>
      <c r="J1362" s="24" t="str">
        <f aca="true">IF(ISBLANK(H1362), "", I1362-TODAY())</f>
        <v/>
      </c>
      <c r="K1362" s="24" t="str">
        <f aca="false" t="array" ref="K1362:K1362">IF(A1362&lt;&gt;"",IF(COUNTIF(A$996:A1363,"&lt;&gt;")=0,COUNTA(B$996:B1362),IFERROR(MATCH(TRUE(),INDEX((A$996:A1363&lt;&gt;""),0),0),COUNTA(B$996:B1362))),"")</f>
        <v/>
      </c>
      <c r="L1362" s="27"/>
    </row>
    <row r="1363" customFormat="false" ht="13.8" hidden="false" customHeight="false" outlineLevel="0" collapsed="false">
      <c r="A1363" s="16"/>
      <c r="B1363" s="16"/>
      <c r="C1363" s="26"/>
      <c r="D1363" s="26"/>
      <c r="E1363" s="16"/>
      <c r="F1363" s="18"/>
      <c r="G1363" s="19" t="str">
        <f aca="true">IF(F1363="", "", DATEDIF(F1363, TODAY(), "Y"))</f>
        <v/>
      </c>
      <c r="H1363" s="18"/>
      <c r="I1363" s="18"/>
      <c r="J1363" s="24" t="str">
        <f aca="true">IF(ISBLANK(H1363), "", I1363-TODAY())</f>
        <v/>
      </c>
      <c r="K1363" s="24" t="str">
        <f aca="false" t="array" ref="K1363:K1363">IF(A1363&lt;&gt;"",IF(COUNTIF(A$996:A1364,"&lt;&gt;")=0,COUNTA(B$996:B1363),IFERROR(MATCH(TRUE(),INDEX((A$996:A1364&lt;&gt;""),0),0),COUNTA(B$996:B1363))),"")</f>
        <v/>
      </c>
      <c r="L1363" s="27"/>
    </row>
    <row r="1364" customFormat="false" ht="13.8" hidden="false" customHeight="false" outlineLevel="0" collapsed="false">
      <c r="A1364" s="16"/>
      <c r="B1364" s="16"/>
      <c r="C1364" s="26"/>
      <c r="D1364" s="26"/>
      <c r="E1364" s="16"/>
      <c r="F1364" s="18"/>
      <c r="G1364" s="19" t="str">
        <f aca="true">IF(F1364="", "", DATEDIF(F1364, TODAY(), "Y"))</f>
        <v/>
      </c>
      <c r="H1364" s="18"/>
      <c r="I1364" s="18"/>
      <c r="J1364" s="24" t="str">
        <f aca="true">IF(ISBLANK(H1364), "", I1364-TODAY())</f>
        <v/>
      </c>
      <c r="K1364" s="24" t="str">
        <f aca="false" t="array" ref="K1364:K1364">IF(A1364&lt;&gt;"",IF(COUNTIF(A$996:A1365,"&lt;&gt;")=0,COUNTA(B$996:B1364),IFERROR(MATCH(TRUE(),INDEX((A$996:A1365&lt;&gt;""),0),0),COUNTA(B$996:B1364))),"")</f>
        <v/>
      </c>
      <c r="L1364" s="27"/>
    </row>
    <row r="1365" customFormat="false" ht="13.8" hidden="false" customHeight="false" outlineLevel="0" collapsed="false">
      <c r="A1365" s="16"/>
      <c r="B1365" s="16"/>
      <c r="C1365" s="26"/>
      <c r="D1365" s="26"/>
      <c r="E1365" s="16"/>
      <c r="F1365" s="18"/>
      <c r="G1365" s="19" t="str">
        <f aca="true">IF(F1365="", "", DATEDIF(F1365, TODAY(), "Y"))</f>
        <v/>
      </c>
      <c r="H1365" s="18"/>
      <c r="I1365" s="18"/>
      <c r="J1365" s="24" t="str">
        <f aca="true">IF(ISBLANK(H1365), "", I1365-TODAY())</f>
        <v/>
      </c>
      <c r="K1365" s="24" t="str">
        <f aca="false" t="array" ref="K1365:K1365">IF(A1365&lt;&gt;"",IF(COUNTIF(A$996:A1366,"&lt;&gt;")=0,COUNTA(B$996:B1365),IFERROR(MATCH(TRUE(),INDEX((A$996:A1366&lt;&gt;""),0),0),COUNTA(B$996:B1365))),"")</f>
        <v/>
      </c>
      <c r="L1365" s="27"/>
    </row>
    <row r="1366" customFormat="false" ht="13.8" hidden="false" customHeight="false" outlineLevel="0" collapsed="false">
      <c r="A1366" s="16"/>
      <c r="B1366" s="16"/>
      <c r="C1366" s="26"/>
      <c r="D1366" s="26"/>
      <c r="E1366" s="16"/>
      <c r="F1366" s="18"/>
      <c r="G1366" s="19" t="str">
        <f aca="true">IF(F1366="", "", DATEDIF(F1366, TODAY(), "Y"))</f>
        <v/>
      </c>
      <c r="H1366" s="18"/>
      <c r="I1366" s="18"/>
      <c r="J1366" s="24" t="str">
        <f aca="true">IF(ISBLANK(H1366), "", I1366-TODAY())</f>
        <v/>
      </c>
      <c r="K1366" s="24" t="str">
        <f aca="false" t="array" ref="K1366:K1366">IF(A1366&lt;&gt;"",IF(COUNTIF(A$996:A1367,"&lt;&gt;")=0,COUNTA(B$996:B1366),IFERROR(MATCH(TRUE(),INDEX((A$996:A1367&lt;&gt;""),0),0),COUNTA(B$996:B1366))),"")</f>
        <v/>
      </c>
      <c r="L1366" s="27"/>
    </row>
    <row r="1367" customFormat="false" ht="13.8" hidden="false" customHeight="false" outlineLevel="0" collapsed="false">
      <c r="A1367" s="16"/>
      <c r="B1367" s="16"/>
      <c r="C1367" s="26"/>
      <c r="D1367" s="26"/>
      <c r="E1367" s="16"/>
      <c r="F1367" s="18"/>
      <c r="G1367" s="19" t="str">
        <f aca="true">IF(F1367="", "", DATEDIF(F1367, TODAY(), "Y"))</f>
        <v/>
      </c>
      <c r="H1367" s="18"/>
      <c r="I1367" s="18"/>
      <c r="J1367" s="24" t="str">
        <f aca="true">IF(ISBLANK(H1367), "", I1367-TODAY())</f>
        <v/>
      </c>
      <c r="K1367" s="24" t="str">
        <f aca="false" t="array" ref="K1367:K1367">IF(A1367&lt;&gt;"",IF(COUNTIF(A$996:A1368,"&lt;&gt;")=0,COUNTA(B$996:B1367),IFERROR(MATCH(TRUE(),INDEX((A$996:A1368&lt;&gt;""),0),0),COUNTA(B$996:B1367))),"")</f>
        <v/>
      </c>
      <c r="L1367" s="27"/>
    </row>
    <row r="1368" customFormat="false" ht="13.8" hidden="false" customHeight="false" outlineLevel="0" collapsed="false">
      <c r="A1368" s="16"/>
      <c r="B1368" s="16"/>
      <c r="C1368" s="26"/>
      <c r="D1368" s="26"/>
      <c r="E1368" s="16"/>
      <c r="F1368" s="18"/>
      <c r="G1368" s="19" t="str">
        <f aca="true">IF(F1368="", "", DATEDIF(F1368, TODAY(), "Y"))</f>
        <v/>
      </c>
      <c r="H1368" s="18"/>
      <c r="I1368" s="18"/>
      <c r="J1368" s="24" t="str">
        <f aca="true">IF(ISBLANK(H1368), "", I1368-TODAY())</f>
        <v/>
      </c>
      <c r="K1368" s="24" t="str">
        <f aca="false" t="array" ref="K1368:K1368">IF(A1368&lt;&gt;"",IF(COUNTIF(A$996:A1369,"&lt;&gt;")=0,COUNTA(B$996:B1368),IFERROR(MATCH(TRUE(),INDEX((A$996:A1369&lt;&gt;""),0),0),COUNTA(B$996:B1368))),"")</f>
        <v/>
      </c>
      <c r="L1368" s="27"/>
    </row>
    <row r="1369" customFormat="false" ht="13.8" hidden="false" customHeight="false" outlineLevel="0" collapsed="false">
      <c r="A1369" s="16"/>
      <c r="B1369" s="16"/>
      <c r="C1369" s="26"/>
      <c r="D1369" s="26"/>
      <c r="E1369" s="16"/>
      <c r="F1369" s="18"/>
      <c r="G1369" s="19" t="str">
        <f aca="true">IF(F1369="", "", DATEDIF(F1369, TODAY(), "Y"))</f>
        <v/>
      </c>
      <c r="H1369" s="18"/>
      <c r="I1369" s="18"/>
      <c r="J1369" s="24" t="str">
        <f aca="true">IF(ISBLANK(H1369), "", I1369-TODAY())</f>
        <v/>
      </c>
      <c r="K1369" s="24" t="str">
        <f aca="false" t="array" ref="K1369:K1369">IF(A1369&lt;&gt;"",IF(COUNTIF(A$996:A1370,"&lt;&gt;")=0,COUNTA(B$996:B1369),IFERROR(MATCH(TRUE(),INDEX((A$996:A1370&lt;&gt;""),0),0),COUNTA(B$996:B1369))),"")</f>
        <v/>
      </c>
      <c r="L1369" s="27"/>
    </row>
    <row r="1370" customFormat="false" ht="13.8" hidden="false" customHeight="false" outlineLevel="0" collapsed="false">
      <c r="A1370" s="16"/>
      <c r="B1370" s="16"/>
      <c r="C1370" s="26"/>
      <c r="D1370" s="26"/>
      <c r="E1370" s="16"/>
      <c r="F1370" s="18"/>
      <c r="G1370" s="19" t="str">
        <f aca="true">IF(F1370="", "", DATEDIF(F1370, TODAY(), "Y"))</f>
        <v/>
      </c>
      <c r="H1370" s="18"/>
      <c r="I1370" s="18"/>
      <c r="J1370" s="24" t="str">
        <f aca="true">IF(ISBLANK(H1370), "", I1370-TODAY())</f>
        <v/>
      </c>
      <c r="K1370" s="24" t="str">
        <f aca="false" t="array" ref="K1370:K1370">IF(A1370&lt;&gt;"",IF(COUNTIF(A$996:A1371,"&lt;&gt;")=0,COUNTA(B$996:B1370),IFERROR(MATCH(TRUE(),INDEX((A$996:A1371&lt;&gt;""),0),0),COUNTA(B$996:B1370))),"")</f>
        <v/>
      </c>
      <c r="L1370" s="27"/>
    </row>
    <row r="1371" customFormat="false" ht="13.8" hidden="false" customHeight="false" outlineLevel="0" collapsed="false">
      <c r="A1371" s="16"/>
      <c r="B1371" s="16"/>
      <c r="C1371" s="26"/>
      <c r="D1371" s="26"/>
      <c r="E1371" s="16"/>
      <c r="F1371" s="18"/>
      <c r="G1371" s="19" t="str">
        <f aca="true">IF(F1371="", "", DATEDIF(F1371, TODAY(), "Y"))</f>
        <v/>
      </c>
      <c r="H1371" s="18"/>
      <c r="I1371" s="18"/>
      <c r="J1371" s="24" t="str">
        <f aca="true">IF(ISBLANK(H1371), "", I1371-TODAY())</f>
        <v/>
      </c>
      <c r="K1371" s="24" t="str">
        <f aca="false" t="array" ref="K1371:K1371">IF(A1371&lt;&gt;"",IF(COUNTIF(A$996:A1372,"&lt;&gt;")=0,COUNTA(B$996:B1371),IFERROR(MATCH(TRUE(),INDEX((A$996:A1372&lt;&gt;""),0),0),COUNTA(B$996:B1371))),"")</f>
        <v/>
      </c>
      <c r="L1371" s="27"/>
    </row>
    <row r="1372" customFormat="false" ht="13.8" hidden="false" customHeight="false" outlineLevel="0" collapsed="false">
      <c r="A1372" s="16"/>
      <c r="B1372" s="16"/>
      <c r="C1372" s="26"/>
      <c r="D1372" s="26"/>
      <c r="E1372" s="16"/>
      <c r="F1372" s="18"/>
      <c r="G1372" s="19" t="str">
        <f aca="true">IF(F1372="", "", DATEDIF(F1372, TODAY(), "Y"))</f>
        <v/>
      </c>
      <c r="H1372" s="18"/>
      <c r="I1372" s="18"/>
      <c r="J1372" s="24" t="str">
        <f aca="true">IF(ISBLANK(H1372), "", I1372-TODAY())</f>
        <v/>
      </c>
      <c r="K1372" s="24" t="str">
        <f aca="false" t="array" ref="K1372:K1372">IF(A1372&lt;&gt;"",IF(COUNTIF(A$996:A1373,"&lt;&gt;")=0,COUNTA(B$996:B1372),IFERROR(MATCH(TRUE(),INDEX((A$996:A1373&lt;&gt;""),0),0),COUNTA(B$996:B1372))),"")</f>
        <v/>
      </c>
      <c r="L1372" s="27"/>
    </row>
    <row r="1373" customFormat="false" ht="13.8" hidden="false" customHeight="false" outlineLevel="0" collapsed="false">
      <c r="A1373" s="16"/>
      <c r="B1373" s="16"/>
      <c r="C1373" s="26"/>
      <c r="D1373" s="26"/>
      <c r="E1373" s="16"/>
      <c r="F1373" s="18"/>
      <c r="G1373" s="19" t="str">
        <f aca="true">IF(F1373="", "", DATEDIF(F1373, TODAY(), "Y"))</f>
        <v/>
      </c>
      <c r="H1373" s="18"/>
      <c r="I1373" s="18"/>
      <c r="J1373" s="24" t="str">
        <f aca="true">IF(ISBLANK(H1373), "", I1373-TODAY())</f>
        <v/>
      </c>
      <c r="K1373" s="24" t="str">
        <f aca="false" t="array" ref="K1373:K1373">IF(A1373&lt;&gt;"",IF(COUNTIF(A$996:A1374,"&lt;&gt;")=0,COUNTA(B$996:B1373),IFERROR(MATCH(TRUE(),INDEX((A$996:A1374&lt;&gt;""),0),0),COUNTA(B$996:B1373))),"")</f>
        <v/>
      </c>
      <c r="L1373" s="27"/>
    </row>
    <row r="1374" customFormat="false" ht="13.8" hidden="false" customHeight="false" outlineLevel="0" collapsed="false">
      <c r="A1374" s="16"/>
      <c r="B1374" s="16"/>
      <c r="C1374" s="26"/>
      <c r="D1374" s="26"/>
      <c r="E1374" s="16"/>
      <c r="F1374" s="18"/>
      <c r="G1374" s="19" t="str">
        <f aca="true">IF(F1374="", "", DATEDIF(F1374, TODAY(), "Y"))</f>
        <v/>
      </c>
      <c r="H1374" s="18"/>
      <c r="I1374" s="18"/>
      <c r="J1374" s="24" t="str">
        <f aca="true">IF(ISBLANK(H1374), "", I1374-TODAY())</f>
        <v/>
      </c>
      <c r="K1374" s="24" t="str">
        <f aca="false" t="array" ref="K1374:K1374">IF(A1374&lt;&gt;"",IF(COUNTIF(A$996:A1375,"&lt;&gt;")=0,COUNTA(B$996:B1374),IFERROR(MATCH(TRUE(),INDEX((A$996:A1375&lt;&gt;""),0),0),COUNTA(B$996:B1374))),"")</f>
        <v/>
      </c>
      <c r="L1374" s="27"/>
    </row>
    <row r="1375" customFormat="false" ht="13.8" hidden="false" customHeight="false" outlineLevel="0" collapsed="false">
      <c r="A1375" s="16"/>
      <c r="B1375" s="16"/>
      <c r="C1375" s="26"/>
      <c r="D1375" s="26"/>
      <c r="E1375" s="16"/>
      <c r="F1375" s="18"/>
      <c r="G1375" s="19" t="str">
        <f aca="true">IF(F1375="", "", DATEDIF(F1375, TODAY(), "Y"))</f>
        <v/>
      </c>
      <c r="H1375" s="18"/>
      <c r="I1375" s="18"/>
      <c r="J1375" s="24" t="str">
        <f aca="true">IF(ISBLANK(H1375), "", I1375-TODAY())</f>
        <v/>
      </c>
      <c r="K1375" s="24" t="str">
        <f aca="false" t="array" ref="K1375:K1375">IF(A1375&lt;&gt;"",IF(COUNTIF(A$996:A1376,"&lt;&gt;")=0,COUNTA(B$996:B1375),IFERROR(MATCH(TRUE(),INDEX((A$996:A1376&lt;&gt;""),0),0),COUNTA(B$996:B1375))),"")</f>
        <v/>
      </c>
      <c r="L1375" s="27"/>
    </row>
    <row r="1376" customFormat="false" ht="13.8" hidden="false" customHeight="false" outlineLevel="0" collapsed="false">
      <c r="A1376" s="16"/>
      <c r="B1376" s="16"/>
      <c r="C1376" s="26"/>
      <c r="D1376" s="26"/>
      <c r="E1376" s="16"/>
      <c r="F1376" s="18"/>
      <c r="G1376" s="19" t="str">
        <f aca="true">IF(F1376="", "", DATEDIF(F1376, TODAY(), "Y"))</f>
        <v/>
      </c>
      <c r="H1376" s="18"/>
      <c r="I1376" s="18"/>
      <c r="J1376" s="24" t="str">
        <f aca="true">IF(ISBLANK(H1376), "", I1376-TODAY())</f>
        <v/>
      </c>
      <c r="K1376" s="24" t="str">
        <f aca="false" t="array" ref="K1376:K1376">IF(A1376&lt;&gt;"",IF(COUNTIF(A$996:A1377,"&lt;&gt;")=0,COUNTA(B$996:B1376),IFERROR(MATCH(TRUE(),INDEX((A$996:A1377&lt;&gt;""),0),0),COUNTA(B$996:B1376))),"")</f>
        <v/>
      </c>
      <c r="L1376" s="27"/>
    </row>
    <row r="1377" customFormat="false" ht="13.8" hidden="false" customHeight="false" outlineLevel="0" collapsed="false">
      <c r="A1377" s="16"/>
      <c r="B1377" s="16"/>
      <c r="C1377" s="26"/>
      <c r="D1377" s="26"/>
      <c r="E1377" s="16"/>
      <c r="F1377" s="18"/>
      <c r="G1377" s="19" t="str">
        <f aca="true">IF(F1377="", "", DATEDIF(F1377, TODAY(), "Y"))</f>
        <v/>
      </c>
      <c r="H1377" s="18"/>
      <c r="I1377" s="18"/>
      <c r="J1377" s="24" t="str">
        <f aca="true">IF(ISBLANK(H1377), "", I1377-TODAY())</f>
        <v/>
      </c>
      <c r="K1377" s="24" t="str">
        <f aca="false" t="array" ref="K1377:K1377">IF(A1377&lt;&gt;"",IF(COUNTIF(A$996:A1378,"&lt;&gt;")=0,COUNTA(B$996:B1377),IFERROR(MATCH(TRUE(),INDEX((A$996:A1378&lt;&gt;""),0),0),COUNTA(B$996:B1377))),"")</f>
        <v/>
      </c>
      <c r="L1377" s="27"/>
    </row>
    <row r="1378" customFormat="false" ht="13.8" hidden="false" customHeight="false" outlineLevel="0" collapsed="false">
      <c r="A1378" s="16"/>
      <c r="B1378" s="16"/>
      <c r="C1378" s="26"/>
      <c r="D1378" s="26"/>
      <c r="E1378" s="16"/>
      <c r="F1378" s="18"/>
      <c r="G1378" s="19" t="str">
        <f aca="true">IF(F1378="", "", DATEDIF(F1378, TODAY(), "Y"))</f>
        <v/>
      </c>
      <c r="H1378" s="18"/>
      <c r="I1378" s="18"/>
      <c r="J1378" s="24" t="str">
        <f aca="true">IF(ISBLANK(H1378), "", I1378-TODAY())</f>
        <v/>
      </c>
      <c r="K1378" s="24" t="str">
        <f aca="false" t="array" ref="K1378:K1378">IF(A1378&lt;&gt;"",IF(COUNTIF(A$996:A1379,"&lt;&gt;")=0,COUNTA(B$996:B1378),IFERROR(MATCH(TRUE(),INDEX((A$996:A1379&lt;&gt;""),0),0),COUNTA(B$996:B1378))),"")</f>
        <v/>
      </c>
      <c r="L1378" s="27"/>
    </row>
    <row r="1379" customFormat="false" ht="13.8" hidden="false" customHeight="false" outlineLevel="0" collapsed="false">
      <c r="A1379" s="16"/>
      <c r="B1379" s="16"/>
      <c r="C1379" s="26"/>
      <c r="D1379" s="26"/>
      <c r="E1379" s="16"/>
      <c r="F1379" s="18"/>
      <c r="G1379" s="19" t="str">
        <f aca="true">IF(F1379="", "", DATEDIF(F1379, TODAY(), "Y"))</f>
        <v/>
      </c>
      <c r="H1379" s="18"/>
      <c r="I1379" s="18"/>
      <c r="J1379" s="24" t="str">
        <f aca="true">IF(ISBLANK(H1379), "", I1379-TODAY())</f>
        <v/>
      </c>
      <c r="K1379" s="24" t="str">
        <f aca="false" t="array" ref="K1379:K1379">IF(A1379&lt;&gt;"",IF(COUNTIF(A$996:A1380,"&lt;&gt;")=0,COUNTA(B$996:B1379),IFERROR(MATCH(TRUE(),INDEX((A$996:A1380&lt;&gt;""),0),0),COUNTA(B$996:B1379))),"")</f>
        <v/>
      </c>
      <c r="L1379" s="27"/>
    </row>
    <row r="1380" customFormat="false" ht="13.8" hidden="false" customHeight="false" outlineLevel="0" collapsed="false">
      <c r="A1380" s="16"/>
      <c r="B1380" s="16"/>
      <c r="C1380" s="26"/>
      <c r="D1380" s="26"/>
      <c r="E1380" s="16"/>
      <c r="F1380" s="18"/>
      <c r="G1380" s="19" t="str">
        <f aca="true">IF(F1380="", "", DATEDIF(F1380, TODAY(), "Y"))</f>
        <v/>
      </c>
      <c r="H1380" s="18"/>
      <c r="I1380" s="18"/>
      <c r="J1380" s="24" t="str">
        <f aca="true">IF(ISBLANK(H1380), "", I1380-TODAY())</f>
        <v/>
      </c>
      <c r="K1380" s="24" t="str">
        <f aca="false" t="array" ref="K1380:K1380">IF(A1380&lt;&gt;"",IF(COUNTIF(A$996:A1381,"&lt;&gt;")=0,COUNTA(B$996:B1380),IFERROR(MATCH(TRUE(),INDEX((A$996:A1381&lt;&gt;""),0),0),COUNTA(B$996:B1380))),"")</f>
        <v/>
      </c>
      <c r="L1380" s="27"/>
    </row>
    <row r="1381" customFormat="false" ht="13.8" hidden="false" customHeight="false" outlineLevel="0" collapsed="false">
      <c r="A1381" s="16"/>
      <c r="B1381" s="16"/>
      <c r="C1381" s="26"/>
      <c r="D1381" s="26"/>
      <c r="E1381" s="16"/>
      <c r="F1381" s="18"/>
      <c r="G1381" s="19" t="str">
        <f aca="true">IF(F1381="", "", DATEDIF(F1381, TODAY(), "Y"))</f>
        <v/>
      </c>
      <c r="H1381" s="18"/>
      <c r="I1381" s="18"/>
      <c r="J1381" s="24" t="str">
        <f aca="true">IF(ISBLANK(H1381), "", I1381-TODAY())</f>
        <v/>
      </c>
      <c r="K1381" s="24" t="str">
        <f aca="false" t="array" ref="K1381:K1381">IF(A1381&lt;&gt;"",IF(COUNTIF(A$996:A1382,"&lt;&gt;")=0,COUNTA(B$996:B1381),IFERROR(MATCH(TRUE(),INDEX((A$996:A1382&lt;&gt;""),0),0),COUNTA(B$996:B1381))),"")</f>
        <v/>
      </c>
      <c r="L1381" s="27"/>
    </row>
    <row r="1382" customFormat="false" ht="13.8" hidden="false" customHeight="false" outlineLevel="0" collapsed="false">
      <c r="A1382" s="16"/>
      <c r="B1382" s="16"/>
      <c r="C1382" s="26"/>
      <c r="D1382" s="26"/>
      <c r="E1382" s="16"/>
      <c r="F1382" s="18"/>
      <c r="G1382" s="19" t="str">
        <f aca="true">IF(F1382="", "", DATEDIF(F1382, TODAY(), "Y"))</f>
        <v/>
      </c>
      <c r="H1382" s="18"/>
      <c r="I1382" s="18"/>
      <c r="J1382" s="24" t="str">
        <f aca="true">IF(ISBLANK(H1382), "", I1382-TODAY())</f>
        <v/>
      </c>
      <c r="K1382" s="24" t="str">
        <f aca="false" t="array" ref="K1382:K1382">IF(A1382&lt;&gt;"",IF(COUNTIF(A$996:A1383,"&lt;&gt;")=0,COUNTA(B$996:B1382),IFERROR(MATCH(TRUE(),INDEX((A$996:A1383&lt;&gt;""),0),0),COUNTA(B$996:B1382))),"")</f>
        <v/>
      </c>
      <c r="L1382" s="27"/>
    </row>
    <row r="1383" customFormat="false" ht="13.8" hidden="false" customHeight="false" outlineLevel="0" collapsed="false">
      <c r="A1383" s="16"/>
      <c r="B1383" s="16"/>
      <c r="C1383" s="26"/>
      <c r="D1383" s="26"/>
      <c r="E1383" s="16"/>
      <c r="F1383" s="18"/>
      <c r="G1383" s="19" t="str">
        <f aca="true">IF(F1383="", "", DATEDIF(F1383, TODAY(), "Y"))</f>
        <v/>
      </c>
      <c r="H1383" s="18"/>
      <c r="I1383" s="18"/>
      <c r="J1383" s="24" t="str">
        <f aca="true">IF(ISBLANK(H1383), "", I1383-TODAY())</f>
        <v/>
      </c>
      <c r="K1383" s="24" t="str">
        <f aca="false" t="array" ref="K1383:K1383">IF(A1383&lt;&gt;"",IF(COUNTIF(A$996:A1384,"&lt;&gt;")=0,COUNTA(B$996:B1383),IFERROR(MATCH(TRUE(),INDEX((A$996:A1384&lt;&gt;""),0),0),COUNTA(B$996:B1383))),"")</f>
        <v/>
      </c>
      <c r="L1383" s="27"/>
    </row>
    <row r="1384" customFormat="false" ht="13.8" hidden="false" customHeight="false" outlineLevel="0" collapsed="false">
      <c r="A1384" s="16"/>
      <c r="B1384" s="16"/>
      <c r="C1384" s="26"/>
      <c r="D1384" s="26"/>
      <c r="E1384" s="16"/>
      <c r="F1384" s="18"/>
      <c r="G1384" s="19" t="str">
        <f aca="true">IF(F1384="", "", DATEDIF(F1384, TODAY(), "Y"))</f>
        <v/>
      </c>
      <c r="H1384" s="18"/>
      <c r="I1384" s="18"/>
      <c r="J1384" s="24" t="str">
        <f aca="true">IF(ISBLANK(H1384), "", I1384-TODAY())</f>
        <v/>
      </c>
      <c r="K1384" s="24" t="str">
        <f aca="false" t="array" ref="K1384:K1384">IF(A1384&lt;&gt;"",IF(COUNTIF(A$996:A1385,"&lt;&gt;")=0,COUNTA(B$996:B1384),IFERROR(MATCH(TRUE(),INDEX((A$996:A1385&lt;&gt;""),0),0),COUNTA(B$996:B1384))),"")</f>
        <v/>
      </c>
      <c r="L1384" s="27"/>
    </row>
    <row r="1385" customFormat="false" ht="13.8" hidden="false" customHeight="false" outlineLevel="0" collapsed="false">
      <c r="A1385" s="16"/>
      <c r="B1385" s="16"/>
      <c r="C1385" s="26"/>
      <c r="D1385" s="26"/>
      <c r="E1385" s="16"/>
      <c r="F1385" s="18"/>
      <c r="G1385" s="19" t="str">
        <f aca="true">IF(F1385="", "", DATEDIF(F1385, TODAY(), "Y"))</f>
        <v/>
      </c>
      <c r="H1385" s="18"/>
      <c r="I1385" s="18"/>
      <c r="J1385" s="24" t="str">
        <f aca="true">IF(ISBLANK(H1385), "", I1385-TODAY())</f>
        <v/>
      </c>
      <c r="K1385" s="24" t="str">
        <f aca="false" t="array" ref="K1385:K1385">IF(A1385&lt;&gt;"",IF(COUNTIF(A$996:A1386,"&lt;&gt;")=0,COUNTA(B$996:B1385),IFERROR(MATCH(TRUE(),INDEX((A$996:A1386&lt;&gt;""),0),0),COUNTA(B$996:B1385))),"")</f>
        <v/>
      </c>
      <c r="L1385" s="27"/>
    </row>
    <row r="1386" customFormat="false" ht="13.8" hidden="false" customHeight="false" outlineLevel="0" collapsed="false">
      <c r="A1386" s="16"/>
      <c r="B1386" s="16"/>
      <c r="C1386" s="26"/>
      <c r="D1386" s="26"/>
      <c r="E1386" s="16"/>
      <c r="F1386" s="18"/>
      <c r="G1386" s="19" t="str">
        <f aca="true">IF(F1386="", "", DATEDIF(F1386, TODAY(), "Y"))</f>
        <v/>
      </c>
      <c r="H1386" s="18"/>
      <c r="I1386" s="18"/>
      <c r="J1386" s="24" t="str">
        <f aca="true">IF(ISBLANK(H1386), "", I1386-TODAY())</f>
        <v/>
      </c>
      <c r="K1386" s="24" t="str">
        <f aca="false" t="array" ref="K1386:K1386">IF(A1386&lt;&gt;"",IF(COUNTIF(A$996:A1387,"&lt;&gt;")=0,COUNTA(B$996:B1386),IFERROR(MATCH(TRUE(),INDEX((A$996:A1387&lt;&gt;""),0),0),COUNTA(B$996:B1386))),"")</f>
        <v/>
      </c>
      <c r="L1386" s="27"/>
    </row>
    <row r="1387" customFormat="false" ht="13.8" hidden="false" customHeight="false" outlineLevel="0" collapsed="false">
      <c r="A1387" s="16"/>
      <c r="B1387" s="16"/>
      <c r="C1387" s="26"/>
      <c r="D1387" s="26"/>
      <c r="E1387" s="16"/>
      <c r="F1387" s="18"/>
      <c r="G1387" s="19" t="str">
        <f aca="true">IF(F1387="", "", DATEDIF(F1387, TODAY(), "Y"))</f>
        <v/>
      </c>
      <c r="H1387" s="18"/>
      <c r="I1387" s="18"/>
      <c r="J1387" s="24" t="str">
        <f aca="true">IF(ISBLANK(H1387), "", I1387-TODAY())</f>
        <v/>
      </c>
      <c r="K1387" s="24" t="str">
        <f aca="false" t="array" ref="K1387:K1387">IF(A1387&lt;&gt;"",IF(COUNTIF(A$996:A1388,"&lt;&gt;")=0,COUNTA(B$996:B1387),IFERROR(MATCH(TRUE(),INDEX((A$996:A1388&lt;&gt;""),0),0),COUNTA(B$996:B1387))),"")</f>
        <v/>
      </c>
      <c r="L1387" s="27"/>
    </row>
    <row r="1388" customFormat="false" ht="13.8" hidden="false" customHeight="false" outlineLevel="0" collapsed="false">
      <c r="A1388" s="16"/>
      <c r="B1388" s="16"/>
      <c r="C1388" s="26"/>
      <c r="D1388" s="26"/>
      <c r="E1388" s="16"/>
      <c r="F1388" s="18"/>
      <c r="G1388" s="19" t="str">
        <f aca="true">IF(F1388="", "", DATEDIF(F1388, TODAY(), "Y"))</f>
        <v/>
      </c>
      <c r="H1388" s="18"/>
      <c r="I1388" s="18"/>
      <c r="J1388" s="24" t="str">
        <f aca="true">IF(ISBLANK(H1388), "", I1388-TODAY())</f>
        <v/>
      </c>
      <c r="K1388" s="24" t="str">
        <f aca="false" t="array" ref="K1388:K1388">IF(A1388&lt;&gt;"",IF(COUNTIF(A$996:A1389,"&lt;&gt;")=0,COUNTA(B$996:B1388),IFERROR(MATCH(TRUE(),INDEX((A$996:A1389&lt;&gt;""),0),0),COUNTA(B$996:B1388))),"")</f>
        <v/>
      </c>
      <c r="L1388" s="27"/>
    </row>
    <row r="1389" customFormat="false" ht="13.8" hidden="false" customHeight="false" outlineLevel="0" collapsed="false">
      <c r="A1389" s="16"/>
      <c r="B1389" s="16"/>
      <c r="C1389" s="26"/>
      <c r="D1389" s="26"/>
      <c r="E1389" s="16"/>
      <c r="F1389" s="18"/>
      <c r="G1389" s="19" t="str">
        <f aca="true">IF(F1389="", "", DATEDIF(F1389, TODAY(), "Y"))</f>
        <v/>
      </c>
      <c r="H1389" s="18"/>
      <c r="I1389" s="18"/>
      <c r="J1389" s="24" t="str">
        <f aca="true">IF(ISBLANK(H1389), "", I1389-TODAY())</f>
        <v/>
      </c>
      <c r="K1389" s="24" t="str">
        <f aca="false" t="array" ref="K1389:K1389">IF(A1389&lt;&gt;"",IF(COUNTIF(A$996:A1390,"&lt;&gt;")=0,COUNTA(B$996:B1389),IFERROR(MATCH(TRUE(),INDEX((A$996:A1390&lt;&gt;""),0),0),COUNTA(B$996:B1389))),"")</f>
        <v/>
      </c>
      <c r="L1389" s="27"/>
    </row>
    <row r="1390" customFormat="false" ht="13.8" hidden="false" customHeight="false" outlineLevel="0" collapsed="false">
      <c r="A1390" s="16"/>
      <c r="B1390" s="16"/>
      <c r="C1390" s="26"/>
      <c r="D1390" s="26"/>
      <c r="E1390" s="16"/>
      <c r="F1390" s="18"/>
      <c r="G1390" s="19" t="str">
        <f aca="true">IF(F1390="", "", DATEDIF(F1390, TODAY(), "Y"))</f>
        <v/>
      </c>
      <c r="H1390" s="18"/>
      <c r="I1390" s="18"/>
      <c r="J1390" s="24" t="str">
        <f aca="true">IF(ISBLANK(H1390), "", I1390-TODAY())</f>
        <v/>
      </c>
      <c r="K1390" s="24" t="str">
        <f aca="false" t="array" ref="K1390:K1390">IF(A1390&lt;&gt;"",IF(COUNTIF(A$996:A1391,"&lt;&gt;")=0,COUNTA(B$996:B1390),IFERROR(MATCH(TRUE(),INDEX((A$996:A1391&lt;&gt;""),0),0),COUNTA(B$996:B1390))),"")</f>
        <v/>
      </c>
      <c r="L1390" s="27"/>
    </row>
    <row r="1391" customFormat="false" ht="13.8" hidden="false" customHeight="false" outlineLevel="0" collapsed="false">
      <c r="A1391" s="16"/>
      <c r="B1391" s="16"/>
      <c r="C1391" s="26"/>
      <c r="D1391" s="26"/>
      <c r="E1391" s="16"/>
      <c r="F1391" s="18"/>
      <c r="G1391" s="19" t="str">
        <f aca="true">IF(F1391="", "", DATEDIF(F1391, TODAY(), "Y"))</f>
        <v/>
      </c>
      <c r="H1391" s="18"/>
      <c r="I1391" s="18"/>
      <c r="J1391" s="24" t="str">
        <f aca="true">IF(ISBLANK(H1391), "", I1391-TODAY())</f>
        <v/>
      </c>
      <c r="K1391" s="24" t="str">
        <f aca="false" t="array" ref="K1391:K1391">IF(A1391&lt;&gt;"",IF(COUNTIF(A$996:A1392,"&lt;&gt;")=0,COUNTA(B$996:B1391),IFERROR(MATCH(TRUE(),INDEX((A$996:A1392&lt;&gt;""),0),0),COUNTA(B$996:B1391))),"")</f>
        <v/>
      </c>
      <c r="L1391" s="27"/>
    </row>
    <row r="1392" customFormat="false" ht="13.8" hidden="false" customHeight="false" outlineLevel="0" collapsed="false">
      <c r="A1392" s="16"/>
      <c r="B1392" s="16"/>
      <c r="C1392" s="26"/>
      <c r="D1392" s="26"/>
      <c r="E1392" s="16"/>
      <c r="F1392" s="18"/>
      <c r="G1392" s="19" t="str">
        <f aca="true">IF(F1392="", "", DATEDIF(F1392, TODAY(), "Y"))</f>
        <v/>
      </c>
      <c r="H1392" s="18"/>
      <c r="I1392" s="18"/>
      <c r="J1392" s="24" t="str">
        <f aca="true">IF(ISBLANK(H1392), "", I1392-TODAY())</f>
        <v/>
      </c>
      <c r="K1392" s="24" t="str">
        <f aca="false" t="array" ref="K1392:K1392">IF(A1392&lt;&gt;"",IF(COUNTIF(A$996:A1393,"&lt;&gt;")=0,COUNTA(B$996:B1392),IFERROR(MATCH(TRUE(),INDEX((A$996:A1393&lt;&gt;""),0),0),COUNTA(B$996:B1392))),"")</f>
        <v/>
      </c>
      <c r="L1392" s="27"/>
    </row>
    <row r="1393" customFormat="false" ht="13.8" hidden="false" customHeight="false" outlineLevel="0" collapsed="false">
      <c r="A1393" s="16"/>
      <c r="B1393" s="16"/>
      <c r="C1393" s="26"/>
      <c r="D1393" s="26"/>
      <c r="E1393" s="16"/>
      <c r="F1393" s="18"/>
      <c r="G1393" s="19" t="str">
        <f aca="true">IF(F1393="", "", DATEDIF(F1393, TODAY(), "Y"))</f>
        <v/>
      </c>
      <c r="H1393" s="18"/>
      <c r="I1393" s="18"/>
      <c r="J1393" s="24" t="str">
        <f aca="true">IF(ISBLANK(H1393), "", I1393-TODAY())</f>
        <v/>
      </c>
      <c r="K1393" s="24" t="str">
        <f aca="false" t="array" ref="K1393:K1393">IF(A1393&lt;&gt;"",IF(COUNTIF(A$996:A1394,"&lt;&gt;")=0,COUNTA(B$996:B1393),IFERROR(MATCH(TRUE(),INDEX((A$996:A1394&lt;&gt;""),0),0),COUNTA(B$996:B1393))),"")</f>
        <v/>
      </c>
      <c r="L1393" s="27"/>
    </row>
    <row r="1394" customFormat="false" ht="13.8" hidden="false" customHeight="false" outlineLevel="0" collapsed="false">
      <c r="A1394" s="16"/>
      <c r="B1394" s="16"/>
      <c r="C1394" s="26"/>
      <c r="D1394" s="26"/>
      <c r="E1394" s="16"/>
      <c r="F1394" s="18"/>
      <c r="G1394" s="19" t="str">
        <f aca="true">IF(F1394="", "", DATEDIF(F1394, TODAY(), "Y"))</f>
        <v/>
      </c>
      <c r="H1394" s="18"/>
      <c r="I1394" s="18"/>
      <c r="J1394" s="24" t="str">
        <f aca="true">IF(ISBLANK(H1394), "", I1394-TODAY())</f>
        <v/>
      </c>
      <c r="K1394" s="24" t="str">
        <f aca="false" t="array" ref="K1394:K1394">IF(A1394&lt;&gt;"",IF(COUNTIF(A$996:A1395,"&lt;&gt;")=0,COUNTA(B$996:B1394),IFERROR(MATCH(TRUE(),INDEX((A$996:A1395&lt;&gt;""),0),0),COUNTA(B$996:B1394))),"")</f>
        <v/>
      </c>
      <c r="L1394" s="27"/>
    </row>
    <row r="1395" customFormat="false" ht="13.8" hidden="false" customHeight="false" outlineLevel="0" collapsed="false">
      <c r="A1395" s="16"/>
      <c r="B1395" s="16"/>
      <c r="C1395" s="26"/>
      <c r="D1395" s="26"/>
      <c r="E1395" s="16"/>
      <c r="F1395" s="18"/>
      <c r="G1395" s="19" t="str">
        <f aca="true">IF(F1395="", "", DATEDIF(F1395, TODAY(), "Y"))</f>
        <v/>
      </c>
      <c r="H1395" s="18"/>
      <c r="I1395" s="18"/>
      <c r="J1395" s="24" t="str">
        <f aca="true">IF(ISBLANK(H1395), "", I1395-TODAY())</f>
        <v/>
      </c>
      <c r="K1395" s="24" t="str">
        <f aca="false" t="array" ref="K1395:K1395">IF(A1395&lt;&gt;"",IF(COUNTIF(A$996:A1396,"&lt;&gt;")=0,COUNTA(B$996:B1395),IFERROR(MATCH(TRUE(),INDEX((A$996:A1396&lt;&gt;""),0),0),COUNTA(B$996:B1395))),"")</f>
        <v/>
      </c>
      <c r="L1395" s="27"/>
    </row>
    <row r="1396" customFormat="false" ht="13.8" hidden="false" customHeight="false" outlineLevel="0" collapsed="false">
      <c r="A1396" s="16"/>
      <c r="B1396" s="16"/>
      <c r="C1396" s="26"/>
      <c r="D1396" s="26"/>
      <c r="E1396" s="16"/>
      <c r="F1396" s="18"/>
      <c r="G1396" s="19" t="str">
        <f aca="true">IF(F1396="", "", DATEDIF(F1396, TODAY(), "Y"))</f>
        <v/>
      </c>
      <c r="H1396" s="18"/>
      <c r="I1396" s="18"/>
      <c r="J1396" s="24" t="str">
        <f aca="true">IF(ISBLANK(H1396), "", I1396-TODAY())</f>
        <v/>
      </c>
      <c r="K1396" s="24" t="str">
        <f aca="false" t="array" ref="K1396:K1396">IF(A1396&lt;&gt;"",IF(COUNTIF(A$996:A1397,"&lt;&gt;")=0,COUNTA(B$996:B1396),IFERROR(MATCH(TRUE(),INDEX((A$996:A1397&lt;&gt;""),0),0),COUNTA(B$996:B1396))),"")</f>
        <v/>
      </c>
      <c r="L1396" s="27"/>
    </row>
    <row r="1397" customFormat="false" ht="13.8" hidden="false" customHeight="false" outlineLevel="0" collapsed="false">
      <c r="A1397" s="16"/>
      <c r="B1397" s="16"/>
      <c r="C1397" s="26"/>
      <c r="D1397" s="26"/>
      <c r="E1397" s="16"/>
      <c r="F1397" s="18"/>
      <c r="G1397" s="19" t="str">
        <f aca="true">IF(F1397="", "", DATEDIF(F1397, TODAY(), "Y"))</f>
        <v/>
      </c>
      <c r="H1397" s="18"/>
      <c r="I1397" s="18"/>
      <c r="J1397" s="24" t="str">
        <f aca="true">IF(ISBLANK(H1397), "", I1397-TODAY())</f>
        <v/>
      </c>
      <c r="K1397" s="24" t="str">
        <f aca="false" t="array" ref="K1397:K1397">IF(A1397&lt;&gt;"",IF(COUNTIF(A$996:A1398,"&lt;&gt;")=0,COUNTA(B$996:B1397),IFERROR(MATCH(TRUE(),INDEX((A$996:A1398&lt;&gt;""),0),0),COUNTA(B$996:B1397))),"")</f>
        <v/>
      </c>
      <c r="L1397" s="27"/>
    </row>
    <row r="1398" customFormat="false" ht="13.8" hidden="false" customHeight="false" outlineLevel="0" collapsed="false">
      <c r="A1398" s="16"/>
      <c r="B1398" s="16"/>
      <c r="C1398" s="26"/>
      <c r="D1398" s="26"/>
      <c r="E1398" s="16"/>
      <c r="F1398" s="18"/>
      <c r="G1398" s="19" t="str">
        <f aca="true">IF(F1398="", "", DATEDIF(F1398, TODAY(), "Y"))</f>
        <v/>
      </c>
      <c r="H1398" s="18"/>
      <c r="I1398" s="18"/>
      <c r="J1398" s="24" t="str">
        <f aca="true">IF(ISBLANK(H1398), "", I1398-TODAY())</f>
        <v/>
      </c>
      <c r="K1398" s="24" t="str">
        <f aca="false" t="array" ref="K1398:K1398">IF(A1398&lt;&gt;"",IF(COUNTIF(A$996:A1399,"&lt;&gt;")=0,COUNTA(B$996:B1398),IFERROR(MATCH(TRUE(),INDEX((A$996:A1399&lt;&gt;""),0),0),COUNTA(B$996:B1398))),"")</f>
        <v/>
      </c>
      <c r="L1398" s="27"/>
    </row>
    <row r="1399" customFormat="false" ht="13.8" hidden="false" customHeight="false" outlineLevel="0" collapsed="false">
      <c r="A1399" s="16"/>
      <c r="B1399" s="16"/>
      <c r="C1399" s="26"/>
      <c r="D1399" s="26"/>
      <c r="E1399" s="16"/>
      <c r="F1399" s="18"/>
      <c r="G1399" s="19" t="str">
        <f aca="true">IF(F1399="", "", DATEDIF(F1399, TODAY(), "Y"))</f>
        <v/>
      </c>
      <c r="H1399" s="18"/>
      <c r="I1399" s="18"/>
      <c r="J1399" s="24" t="str">
        <f aca="true">IF(ISBLANK(H1399), "", I1399-TODAY())</f>
        <v/>
      </c>
      <c r="K1399" s="24" t="str">
        <f aca="false" t="array" ref="K1399:K1399">IF(A1399&lt;&gt;"",IF(COUNTIF(A$996:A1400,"&lt;&gt;")=0,COUNTA(B$996:B1399),IFERROR(MATCH(TRUE(),INDEX((A$996:A1400&lt;&gt;""),0),0),COUNTA(B$996:B1399))),"")</f>
        <v/>
      </c>
      <c r="L1399" s="27"/>
    </row>
    <row r="1400" customFormat="false" ht="13.8" hidden="false" customHeight="false" outlineLevel="0" collapsed="false">
      <c r="A1400" s="16"/>
      <c r="B1400" s="16"/>
      <c r="C1400" s="26"/>
      <c r="D1400" s="26"/>
      <c r="E1400" s="16"/>
      <c r="F1400" s="18"/>
      <c r="G1400" s="19" t="str">
        <f aca="true">IF(F1400="", "", DATEDIF(F1400, TODAY(), "Y"))</f>
        <v/>
      </c>
      <c r="H1400" s="18"/>
      <c r="I1400" s="18"/>
      <c r="J1400" s="24" t="str">
        <f aca="true">IF(ISBLANK(H1400), "", I1400-TODAY())</f>
        <v/>
      </c>
      <c r="K1400" s="24" t="str">
        <f aca="false" t="array" ref="K1400:K1400">IF(A1400&lt;&gt;"",IF(COUNTIF(A$996:A1401,"&lt;&gt;")=0,COUNTA(B$996:B1400),IFERROR(MATCH(TRUE(),INDEX((A$996:A1401&lt;&gt;""),0),0),COUNTA(B$996:B1400))),"")</f>
        <v/>
      </c>
      <c r="L1400" s="27"/>
    </row>
    <row r="1401" customFormat="false" ht="13.8" hidden="false" customHeight="false" outlineLevel="0" collapsed="false">
      <c r="A1401" s="16"/>
      <c r="B1401" s="16"/>
      <c r="C1401" s="26"/>
      <c r="D1401" s="26"/>
      <c r="E1401" s="16"/>
      <c r="F1401" s="18"/>
      <c r="G1401" s="19" t="str">
        <f aca="true">IF(F1401="", "", DATEDIF(F1401, TODAY(), "Y"))</f>
        <v/>
      </c>
      <c r="H1401" s="18"/>
      <c r="I1401" s="18"/>
      <c r="J1401" s="24" t="str">
        <f aca="true">IF(ISBLANK(H1401), "", I1401-TODAY())</f>
        <v/>
      </c>
      <c r="K1401" s="24" t="str">
        <f aca="false" t="array" ref="K1401:K1401">IF(A1401&lt;&gt;"",IF(COUNTIF(A$996:A1402,"&lt;&gt;")=0,COUNTA(B$996:B1401),IFERROR(MATCH(TRUE(),INDEX((A$996:A1402&lt;&gt;""),0),0),COUNTA(B$996:B1401))),"")</f>
        <v/>
      </c>
      <c r="L1401" s="27"/>
    </row>
    <row r="1402" customFormat="false" ht="13.8" hidden="false" customHeight="false" outlineLevel="0" collapsed="false">
      <c r="A1402" s="16"/>
      <c r="B1402" s="16"/>
      <c r="C1402" s="26"/>
      <c r="D1402" s="26"/>
      <c r="E1402" s="16"/>
      <c r="F1402" s="18"/>
      <c r="G1402" s="19" t="str">
        <f aca="true">IF(F1402="", "", DATEDIF(F1402, TODAY(), "Y"))</f>
        <v/>
      </c>
      <c r="H1402" s="18"/>
      <c r="I1402" s="18"/>
      <c r="J1402" s="24" t="str">
        <f aca="true">IF(ISBLANK(H1402), "", I1402-TODAY())</f>
        <v/>
      </c>
      <c r="K1402" s="24" t="str">
        <f aca="false" t="array" ref="K1402:K1402">IF(A1402&lt;&gt;"",IF(COUNTIF(A$996:A1403,"&lt;&gt;")=0,COUNTA(B$996:B1402),IFERROR(MATCH(TRUE(),INDEX((A$996:A1403&lt;&gt;""),0),0),COUNTA(B$996:B1402))),"")</f>
        <v/>
      </c>
      <c r="L1402" s="27"/>
    </row>
    <row r="1403" customFormat="false" ht="13.8" hidden="false" customHeight="false" outlineLevel="0" collapsed="false">
      <c r="A1403" s="16"/>
      <c r="B1403" s="16"/>
      <c r="C1403" s="26"/>
      <c r="D1403" s="26"/>
      <c r="E1403" s="16"/>
      <c r="F1403" s="18"/>
      <c r="G1403" s="19" t="str">
        <f aca="true">IF(F1403="", "", DATEDIF(F1403, TODAY(), "Y"))</f>
        <v/>
      </c>
      <c r="H1403" s="18"/>
      <c r="I1403" s="18"/>
      <c r="J1403" s="24" t="str">
        <f aca="true">IF(ISBLANK(H1403), "", I1403-TODAY())</f>
        <v/>
      </c>
      <c r="K1403" s="24" t="str">
        <f aca="false" t="array" ref="K1403:K1403">IF(A1403&lt;&gt;"",IF(COUNTIF(A$996:A1404,"&lt;&gt;")=0,COUNTA(B$996:B1403),IFERROR(MATCH(TRUE(),INDEX((A$996:A1404&lt;&gt;""),0),0),COUNTA(B$996:B1403))),"")</f>
        <v/>
      </c>
      <c r="L1403" s="27"/>
    </row>
    <row r="1404" customFormat="false" ht="13.8" hidden="false" customHeight="false" outlineLevel="0" collapsed="false">
      <c r="A1404" s="16"/>
      <c r="B1404" s="16"/>
      <c r="C1404" s="26"/>
      <c r="D1404" s="26"/>
      <c r="E1404" s="16"/>
      <c r="F1404" s="18"/>
      <c r="G1404" s="19" t="str">
        <f aca="true">IF(F1404="", "", DATEDIF(F1404, TODAY(), "Y"))</f>
        <v/>
      </c>
      <c r="H1404" s="18"/>
      <c r="I1404" s="18"/>
      <c r="J1404" s="24" t="str">
        <f aca="true">IF(ISBLANK(H1404), "", I1404-TODAY())</f>
        <v/>
      </c>
      <c r="K1404" s="24" t="str">
        <f aca="false" t="array" ref="K1404:K1404">IF(A1404&lt;&gt;"",IF(COUNTIF(A$996:A1405,"&lt;&gt;")=0,COUNTA(B$996:B1404),IFERROR(MATCH(TRUE(),INDEX((A$996:A1405&lt;&gt;""),0),0),COUNTA(B$996:B1404))),"")</f>
        <v/>
      </c>
      <c r="L1404" s="27"/>
    </row>
    <row r="1405" customFormat="false" ht="13.8" hidden="false" customHeight="false" outlineLevel="0" collapsed="false">
      <c r="A1405" s="16"/>
      <c r="B1405" s="16"/>
      <c r="C1405" s="26"/>
      <c r="D1405" s="26"/>
      <c r="E1405" s="16"/>
      <c r="F1405" s="18"/>
      <c r="G1405" s="19" t="str">
        <f aca="true">IF(F1405="", "", DATEDIF(F1405, TODAY(), "Y"))</f>
        <v/>
      </c>
      <c r="H1405" s="18"/>
      <c r="I1405" s="18"/>
      <c r="J1405" s="24" t="str">
        <f aca="true">IF(ISBLANK(H1405), "", I1405-TODAY())</f>
        <v/>
      </c>
      <c r="K1405" s="24" t="str">
        <f aca="false" t="array" ref="K1405:K1405">IF(A1405&lt;&gt;"",IF(COUNTIF(A$996:A1406,"&lt;&gt;")=0,COUNTA(B$996:B1405),IFERROR(MATCH(TRUE(),INDEX((A$996:A1406&lt;&gt;""),0),0),COUNTA(B$996:B1405))),"")</f>
        <v/>
      </c>
      <c r="L1405" s="27"/>
    </row>
    <row r="1406" customFormat="false" ht="13.8" hidden="false" customHeight="false" outlineLevel="0" collapsed="false">
      <c r="A1406" s="16"/>
      <c r="B1406" s="16"/>
      <c r="C1406" s="26"/>
      <c r="D1406" s="26"/>
      <c r="E1406" s="16"/>
      <c r="F1406" s="18"/>
      <c r="G1406" s="19" t="str">
        <f aca="true">IF(F1406="", "", DATEDIF(F1406, TODAY(), "Y"))</f>
        <v/>
      </c>
      <c r="H1406" s="18"/>
      <c r="I1406" s="18"/>
      <c r="J1406" s="24" t="str">
        <f aca="true">IF(ISBLANK(H1406), "", I1406-TODAY())</f>
        <v/>
      </c>
      <c r="K1406" s="24" t="str">
        <f aca="false" t="array" ref="K1406:K1406">IF(A1406&lt;&gt;"",IF(COUNTIF(A$996:A1407,"&lt;&gt;")=0,COUNTA(B$996:B1406),IFERROR(MATCH(TRUE(),INDEX((A$996:A1407&lt;&gt;""),0),0),COUNTA(B$996:B1406))),"")</f>
        <v/>
      </c>
      <c r="L1406" s="27"/>
    </row>
    <row r="1407" customFormat="false" ht="13.8" hidden="false" customHeight="false" outlineLevel="0" collapsed="false">
      <c r="A1407" s="16"/>
      <c r="B1407" s="16"/>
      <c r="C1407" s="26"/>
      <c r="D1407" s="26"/>
      <c r="E1407" s="16"/>
      <c r="F1407" s="18"/>
      <c r="G1407" s="19" t="str">
        <f aca="true">IF(F1407="", "", DATEDIF(F1407, TODAY(), "Y"))</f>
        <v/>
      </c>
      <c r="H1407" s="18"/>
      <c r="I1407" s="18"/>
      <c r="J1407" s="24" t="str">
        <f aca="true">IF(ISBLANK(H1407), "", I1407-TODAY())</f>
        <v/>
      </c>
      <c r="K1407" s="24" t="str">
        <f aca="false" t="array" ref="K1407:K1407">IF(A1407&lt;&gt;"",IF(COUNTIF(A$996:A1408,"&lt;&gt;")=0,COUNTA(B$996:B1407),IFERROR(MATCH(TRUE(),INDEX((A$996:A1408&lt;&gt;""),0),0),COUNTA(B$996:B1407))),"")</f>
        <v/>
      </c>
      <c r="L1407" s="27"/>
    </row>
    <row r="1408" customFormat="false" ht="13.8" hidden="false" customHeight="false" outlineLevel="0" collapsed="false">
      <c r="A1408" s="16"/>
      <c r="B1408" s="16"/>
      <c r="C1408" s="26"/>
      <c r="D1408" s="26"/>
      <c r="E1408" s="16"/>
      <c r="F1408" s="18"/>
      <c r="G1408" s="19" t="str">
        <f aca="true">IF(F1408="", "", DATEDIF(F1408, TODAY(), "Y"))</f>
        <v/>
      </c>
      <c r="H1408" s="18"/>
      <c r="I1408" s="18"/>
      <c r="J1408" s="24" t="str">
        <f aca="true">IF(ISBLANK(H1408), "", I1408-TODAY())</f>
        <v/>
      </c>
      <c r="K1408" s="24" t="str">
        <f aca="false" t="array" ref="K1408:K1408">IF(A1408&lt;&gt;"",IF(COUNTIF(A$996:A1409,"&lt;&gt;")=0,COUNTA(B$996:B1408),IFERROR(MATCH(TRUE(),INDEX((A$996:A1409&lt;&gt;""),0),0),COUNTA(B$996:B1408))),"")</f>
        <v/>
      </c>
      <c r="L1408" s="27"/>
    </row>
    <row r="1409" customFormat="false" ht="13.8" hidden="false" customHeight="false" outlineLevel="0" collapsed="false">
      <c r="A1409" s="16"/>
      <c r="B1409" s="16"/>
      <c r="C1409" s="26"/>
      <c r="D1409" s="26"/>
      <c r="E1409" s="16"/>
      <c r="F1409" s="18"/>
      <c r="G1409" s="19" t="str">
        <f aca="true">IF(F1409="", "", DATEDIF(F1409, TODAY(), "Y"))</f>
        <v/>
      </c>
      <c r="H1409" s="18"/>
      <c r="I1409" s="18"/>
      <c r="J1409" s="24" t="str">
        <f aca="true">IF(ISBLANK(H1409), "", I1409-TODAY())</f>
        <v/>
      </c>
      <c r="K1409" s="24" t="str">
        <f aca="false" t="array" ref="K1409:K1409">IF(A1409&lt;&gt;"",IF(COUNTIF(A$996:A1410,"&lt;&gt;")=0,COUNTA(B$996:B1409),IFERROR(MATCH(TRUE(),INDEX((A$996:A1410&lt;&gt;""),0),0),COUNTA(B$996:B1409))),"")</f>
        <v/>
      </c>
      <c r="L1409" s="27"/>
    </row>
    <row r="1410" customFormat="false" ht="13.8" hidden="false" customHeight="false" outlineLevel="0" collapsed="false">
      <c r="A1410" s="16"/>
      <c r="B1410" s="16"/>
      <c r="C1410" s="26"/>
      <c r="D1410" s="26"/>
      <c r="E1410" s="16"/>
      <c r="F1410" s="18"/>
      <c r="G1410" s="19" t="str">
        <f aca="true">IF(F1410="", "", DATEDIF(F1410, TODAY(), "Y"))</f>
        <v/>
      </c>
      <c r="H1410" s="18"/>
      <c r="I1410" s="18"/>
      <c r="J1410" s="24" t="str">
        <f aca="true">IF(ISBLANK(H1410), "", I1410-TODAY())</f>
        <v/>
      </c>
      <c r="K1410" s="24" t="str">
        <f aca="false" t="array" ref="K1410:K1410">IF(A1410&lt;&gt;"",IF(COUNTIF(A$996:A1411,"&lt;&gt;")=0,COUNTA(B$996:B1410),IFERROR(MATCH(TRUE(),INDEX((A$996:A1411&lt;&gt;""),0),0),COUNTA(B$996:B1410))),"")</f>
        <v/>
      </c>
      <c r="L1410" s="27"/>
    </row>
    <row r="1411" customFormat="false" ht="13.8" hidden="false" customHeight="false" outlineLevel="0" collapsed="false">
      <c r="A1411" s="16"/>
      <c r="B1411" s="16"/>
      <c r="C1411" s="26"/>
      <c r="D1411" s="26"/>
      <c r="E1411" s="16"/>
      <c r="F1411" s="18"/>
      <c r="G1411" s="19" t="str">
        <f aca="true">IF(F1411="", "", DATEDIF(F1411, TODAY(), "Y"))</f>
        <v/>
      </c>
      <c r="H1411" s="18"/>
      <c r="I1411" s="18"/>
      <c r="J1411" s="24" t="str">
        <f aca="true">IF(ISBLANK(H1411), "", I1411-TODAY())</f>
        <v/>
      </c>
      <c r="K1411" s="24" t="str">
        <f aca="false" t="array" ref="K1411:K1411">IF(A1411&lt;&gt;"",IF(COUNTIF(A$996:A1412,"&lt;&gt;")=0,COUNTA(B$996:B1411),IFERROR(MATCH(TRUE(),INDEX((A$996:A1412&lt;&gt;""),0),0),COUNTA(B$996:B1411))),"")</f>
        <v/>
      </c>
      <c r="L1411" s="27"/>
    </row>
    <row r="1412" customFormat="false" ht="13.8" hidden="false" customHeight="false" outlineLevel="0" collapsed="false">
      <c r="A1412" s="16"/>
      <c r="B1412" s="16"/>
      <c r="C1412" s="26"/>
      <c r="D1412" s="26"/>
      <c r="E1412" s="16"/>
      <c r="F1412" s="18"/>
      <c r="G1412" s="19" t="str">
        <f aca="true">IF(F1412="", "", DATEDIF(F1412, TODAY(), "Y"))</f>
        <v/>
      </c>
      <c r="H1412" s="18"/>
      <c r="I1412" s="18"/>
      <c r="J1412" s="24" t="str">
        <f aca="true">IF(ISBLANK(H1412), "", I1412-TODAY())</f>
        <v/>
      </c>
      <c r="K1412" s="24" t="str">
        <f aca="false" t="array" ref="K1412:K1412">IF(A1412&lt;&gt;"",IF(COUNTIF(A$996:A1413,"&lt;&gt;")=0,COUNTA(B$996:B1412),IFERROR(MATCH(TRUE(),INDEX((A$996:A1413&lt;&gt;""),0),0),COUNTA(B$996:B1412))),"")</f>
        <v/>
      </c>
      <c r="L1412" s="27"/>
    </row>
    <row r="1413" customFormat="false" ht="13.8" hidden="false" customHeight="false" outlineLevel="0" collapsed="false">
      <c r="A1413" s="16"/>
      <c r="B1413" s="16"/>
      <c r="C1413" s="26"/>
      <c r="D1413" s="26"/>
      <c r="E1413" s="16"/>
      <c r="F1413" s="18"/>
      <c r="G1413" s="19" t="str">
        <f aca="true">IF(F1413="", "", DATEDIF(F1413, TODAY(), "Y"))</f>
        <v/>
      </c>
      <c r="H1413" s="18"/>
      <c r="I1413" s="18"/>
      <c r="J1413" s="24" t="str">
        <f aca="true">IF(ISBLANK(H1413), "", I1413-TODAY())</f>
        <v/>
      </c>
      <c r="K1413" s="24" t="str">
        <f aca="false" t="array" ref="K1413:K1413">IF(A1413&lt;&gt;"",IF(COUNTIF(A$996:A1414,"&lt;&gt;")=0,COUNTA(B$996:B1413),IFERROR(MATCH(TRUE(),INDEX((A$996:A1414&lt;&gt;""),0),0),COUNTA(B$996:B1413))),"")</f>
        <v/>
      </c>
      <c r="L1413" s="27"/>
    </row>
    <row r="1414" customFormat="false" ht="13.8" hidden="false" customHeight="false" outlineLevel="0" collapsed="false">
      <c r="A1414" s="16"/>
      <c r="B1414" s="16"/>
      <c r="C1414" s="26"/>
      <c r="D1414" s="26"/>
      <c r="E1414" s="16"/>
      <c r="F1414" s="18"/>
      <c r="G1414" s="19" t="str">
        <f aca="true">IF(F1414="", "", DATEDIF(F1414, TODAY(), "Y"))</f>
        <v/>
      </c>
      <c r="H1414" s="18"/>
      <c r="I1414" s="18"/>
      <c r="J1414" s="24" t="str">
        <f aca="true">IF(ISBLANK(H1414), "", I1414-TODAY())</f>
        <v/>
      </c>
      <c r="K1414" s="24" t="str">
        <f aca="false" t="array" ref="K1414:K1414">IF(A1414&lt;&gt;"",IF(COUNTIF(A$996:A1415,"&lt;&gt;")=0,COUNTA(B$996:B1414),IFERROR(MATCH(TRUE(),INDEX((A$996:A1415&lt;&gt;""),0),0),COUNTA(B$996:B1414))),"")</f>
        <v/>
      </c>
      <c r="L1414" s="27"/>
    </row>
    <row r="1415" customFormat="false" ht="13.8" hidden="false" customHeight="false" outlineLevel="0" collapsed="false">
      <c r="A1415" s="16"/>
      <c r="B1415" s="16"/>
      <c r="C1415" s="26"/>
      <c r="D1415" s="26"/>
      <c r="E1415" s="16"/>
      <c r="F1415" s="18"/>
      <c r="G1415" s="19" t="str">
        <f aca="true">IF(F1415="", "", DATEDIF(F1415, TODAY(), "Y"))</f>
        <v/>
      </c>
      <c r="H1415" s="18"/>
      <c r="I1415" s="18"/>
      <c r="J1415" s="24" t="str">
        <f aca="true">IF(ISBLANK(H1415), "", I1415-TODAY())</f>
        <v/>
      </c>
      <c r="K1415" s="24" t="str">
        <f aca="false" t="array" ref="K1415:K1415">IF(A1415&lt;&gt;"",IF(COUNTIF(A$996:A1416,"&lt;&gt;")=0,COUNTA(B$996:B1415),IFERROR(MATCH(TRUE(),INDEX((A$996:A1416&lt;&gt;""),0),0),COUNTA(B$996:B1415))),"")</f>
        <v/>
      </c>
      <c r="L1415" s="27"/>
    </row>
    <row r="1416" customFormat="false" ht="13.8" hidden="false" customHeight="false" outlineLevel="0" collapsed="false">
      <c r="A1416" s="16"/>
      <c r="B1416" s="16"/>
      <c r="C1416" s="26"/>
      <c r="D1416" s="26"/>
      <c r="E1416" s="16"/>
      <c r="F1416" s="18"/>
      <c r="G1416" s="19" t="str">
        <f aca="true">IF(F1416="", "", DATEDIF(F1416, TODAY(), "Y"))</f>
        <v/>
      </c>
      <c r="H1416" s="18"/>
      <c r="I1416" s="18"/>
      <c r="J1416" s="24" t="str">
        <f aca="true">IF(ISBLANK(H1416), "", I1416-TODAY())</f>
        <v/>
      </c>
      <c r="K1416" s="24" t="str">
        <f aca="false" t="array" ref="K1416:K1416">IF(A1416&lt;&gt;"",IF(COUNTIF(A$996:A1417,"&lt;&gt;")=0,COUNTA(B$996:B1416),IFERROR(MATCH(TRUE(),INDEX((A$996:A1417&lt;&gt;""),0),0),COUNTA(B$996:B1416))),"")</f>
        <v/>
      </c>
      <c r="L1416" s="27"/>
    </row>
    <row r="1417" customFormat="false" ht="13.8" hidden="false" customHeight="false" outlineLevel="0" collapsed="false">
      <c r="A1417" s="16"/>
      <c r="B1417" s="16"/>
      <c r="C1417" s="26"/>
      <c r="D1417" s="26"/>
      <c r="E1417" s="16"/>
      <c r="F1417" s="18"/>
      <c r="G1417" s="19" t="str">
        <f aca="true">IF(F1417="", "", DATEDIF(F1417, TODAY(), "Y"))</f>
        <v/>
      </c>
      <c r="H1417" s="18"/>
      <c r="I1417" s="18"/>
      <c r="J1417" s="24" t="str">
        <f aca="true">IF(ISBLANK(H1417), "", I1417-TODAY())</f>
        <v/>
      </c>
      <c r="K1417" s="24" t="str">
        <f aca="false" t="array" ref="K1417:K1417">IF(A1417&lt;&gt;"",IF(COUNTIF(A$996:A1418,"&lt;&gt;")=0,COUNTA(B$996:B1417),IFERROR(MATCH(TRUE(),INDEX((A$996:A1418&lt;&gt;""),0),0),COUNTA(B$996:B1417))),"")</f>
        <v/>
      </c>
      <c r="L1417" s="27"/>
    </row>
    <row r="1418" customFormat="false" ht="13.8" hidden="false" customHeight="false" outlineLevel="0" collapsed="false">
      <c r="A1418" s="16"/>
      <c r="B1418" s="16"/>
      <c r="C1418" s="26"/>
      <c r="D1418" s="26"/>
      <c r="E1418" s="16"/>
      <c r="F1418" s="18"/>
      <c r="G1418" s="19" t="str">
        <f aca="true">IF(F1418="", "", DATEDIF(F1418, TODAY(), "Y"))</f>
        <v/>
      </c>
      <c r="H1418" s="18"/>
      <c r="I1418" s="18"/>
      <c r="J1418" s="24" t="str">
        <f aca="true">IF(ISBLANK(H1418), "", I1418-TODAY())</f>
        <v/>
      </c>
      <c r="K1418" s="24" t="str">
        <f aca="false" t="array" ref="K1418:K1418">IF(A1418&lt;&gt;"",IF(COUNTIF(A$996:A1419,"&lt;&gt;")=0,COUNTA(B$996:B1418),IFERROR(MATCH(TRUE(),INDEX((A$996:A1419&lt;&gt;""),0),0),COUNTA(B$996:B1418))),"")</f>
        <v/>
      </c>
      <c r="L1418" s="27"/>
    </row>
    <row r="1419" customFormat="false" ht="13.8" hidden="false" customHeight="false" outlineLevel="0" collapsed="false">
      <c r="A1419" s="16"/>
      <c r="B1419" s="16"/>
      <c r="C1419" s="26"/>
      <c r="D1419" s="26"/>
      <c r="E1419" s="16"/>
      <c r="F1419" s="18"/>
      <c r="G1419" s="19" t="str">
        <f aca="true">IF(F1419="", "", DATEDIF(F1419, TODAY(), "Y"))</f>
        <v/>
      </c>
      <c r="H1419" s="18"/>
      <c r="I1419" s="18"/>
      <c r="J1419" s="24" t="str">
        <f aca="true">IF(ISBLANK(H1419), "", I1419-TODAY())</f>
        <v/>
      </c>
      <c r="K1419" s="24" t="str">
        <f aca="false" t="array" ref="K1419:K1419">IF(A1419&lt;&gt;"",IF(COUNTIF(A$996:A1420,"&lt;&gt;")=0,COUNTA(B$996:B1419),IFERROR(MATCH(TRUE(),INDEX((A$996:A1420&lt;&gt;""),0),0),COUNTA(B$996:B1419))),"")</f>
        <v/>
      </c>
      <c r="L1419" s="27"/>
    </row>
    <row r="1420" customFormat="false" ht="13.8" hidden="false" customHeight="false" outlineLevel="0" collapsed="false">
      <c r="A1420" s="16"/>
      <c r="B1420" s="16"/>
      <c r="C1420" s="26"/>
      <c r="D1420" s="26"/>
      <c r="E1420" s="16"/>
      <c r="F1420" s="18"/>
      <c r="G1420" s="19" t="str">
        <f aca="true">IF(F1420="", "", DATEDIF(F1420, TODAY(), "Y"))</f>
        <v/>
      </c>
      <c r="H1420" s="18"/>
      <c r="I1420" s="18"/>
      <c r="J1420" s="24" t="str">
        <f aca="true">IF(ISBLANK(H1420), "", I1420-TODAY())</f>
        <v/>
      </c>
      <c r="K1420" s="24" t="str">
        <f aca="false" t="array" ref="K1420:K1420">IF(A1420&lt;&gt;"",IF(COUNTIF(A$996:A1421,"&lt;&gt;")=0,COUNTA(B$996:B1420),IFERROR(MATCH(TRUE(),INDEX((A$996:A1421&lt;&gt;""),0),0),COUNTA(B$996:B1420))),"")</f>
        <v/>
      </c>
      <c r="L1420" s="27"/>
    </row>
    <row r="1421" customFormat="false" ht="13.8" hidden="false" customHeight="false" outlineLevel="0" collapsed="false">
      <c r="A1421" s="16"/>
      <c r="B1421" s="16"/>
      <c r="C1421" s="26"/>
      <c r="D1421" s="26"/>
      <c r="E1421" s="16"/>
      <c r="F1421" s="18"/>
      <c r="G1421" s="19" t="str">
        <f aca="true">IF(F1421="", "", DATEDIF(F1421, TODAY(), "Y"))</f>
        <v/>
      </c>
      <c r="H1421" s="18"/>
      <c r="I1421" s="18"/>
      <c r="J1421" s="24" t="str">
        <f aca="true">IF(ISBLANK(H1421), "", I1421-TODAY())</f>
        <v/>
      </c>
      <c r="K1421" s="24" t="str">
        <f aca="false" t="array" ref="K1421:K1421">IF(A1421&lt;&gt;"",IF(COUNTIF(A$996:A1422,"&lt;&gt;")=0,COUNTA(B$996:B1421),IFERROR(MATCH(TRUE(),INDEX((A$996:A1422&lt;&gt;""),0),0),COUNTA(B$996:B1421))),"")</f>
        <v/>
      </c>
      <c r="L1421" s="27"/>
    </row>
    <row r="1422" customFormat="false" ht="13.8" hidden="false" customHeight="false" outlineLevel="0" collapsed="false">
      <c r="A1422" s="16"/>
      <c r="B1422" s="16"/>
      <c r="C1422" s="26"/>
      <c r="D1422" s="26"/>
      <c r="E1422" s="16"/>
      <c r="F1422" s="18"/>
      <c r="G1422" s="19" t="str">
        <f aca="true">IF(F1422="", "", DATEDIF(F1422, TODAY(), "Y"))</f>
        <v/>
      </c>
      <c r="H1422" s="18"/>
      <c r="I1422" s="18"/>
      <c r="J1422" s="24" t="str">
        <f aca="true">IF(ISBLANK(H1422), "", I1422-TODAY())</f>
        <v/>
      </c>
      <c r="K1422" s="24" t="str">
        <f aca="false" t="array" ref="K1422:K1422">IF(A1422&lt;&gt;"",IF(COUNTIF(A$996:A1423,"&lt;&gt;")=0,COUNTA(B$996:B1422),IFERROR(MATCH(TRUE(),INDEX((A$996:A1423&lt;&gt;""),0),0),COUNTA(B$996:B1422))),"")</f>
        <v/>
      </c>
      <c r="L1422" s="27"/>
    </row>
    <row r="1423" customFormat="false" ht="13.8" hidden="false" customHeight="false" outlineLevel="0" collapsed="false">
      <c r="A1423" s="16"/>
      <c r="B1423" s="16"/>
      <c r="C1423" s="26"/>
      <c r="D1423" s="26"/>
      <c r="E1423" s="16"/>
      <c r="F1423" s="18"/>
      <c r="G1423" s="19" t="str">
        <f aca="true">IF(F1423="", "", DATEDIF(F1423, TODAY(), "Y"))</f>
        <v/>
      </c>
      <c r="H1423" s="18"/>
      <c r="I1423" s="18"/>
      <c r="J1423" s="24" t="str">
        <f aca="true">IF(ISBLANK(H1423), "", I1423-TODAY())</f>
        <v/>
      </c>
      <c r="K1423" s="24" t="str">
        <f aca="false" t="array" ref="K1423:K1423">IF(A1423&lt;&gt;"",IF(COUNTIF(A$996:A1424,"&lt;&gt;")=0,COUNTA(B$996:B1423),IFERROR(MATCH(TRUE(),INDEX((A$996:A1424&lt;&gt;""),0),0),COUNTA(B$996:B1423))),"")</f>
        <v/>
      </c>
      <c r="L1423" s="27"/>
    </row>
    <row r="1424" customFormat="false" ht="13.8" hidden="false" customHeight="false" outlineLevel="0" collapsed="false">
      <c r="A1424" s="16"/>
      <c r="B1424" s="16"/>
      <c r="C1424" s="26"/>
      <c r="D1424" s="26"/>
      <c r="E1424" s="16"/>
      <c r="F1424" s="18"/>
      <c r="G1424" s="19" t="str">
        <f aca="true">IF(F1424="", "", DATEDIF(F1424, TODAY(), "Y"))</f>
        <v/>
      </c>
      <c r="H1424" s="18"/>
      <c r="I1424" s="18"/>
      <c r="J1424" s="24" t="str">
        <f aca="true">IF(ISBLANK(H1424), "", I1424-TODAY())</f>
        <v/>
      </c>
      <c r="K1424" s="24" t="str">
        <f aca="false" t="array" ref="K1424:K1424">IF(A1424&lt;&gt;"",IF(COUNTIF(A$996:A1425,"&lt;&gt;")=0,COUNTA(B$996:B1424),IFERROR(MATCH(TRUE(),INDEX((A$996:A1425&lt;&gt;""),0),0),COUNTA(B$996:B1424))),"")</f>
        <v/>
      </c>
      <c r="L1424" s="27"/>
    </row>
    <row r="1425" customFormat="false" ht="13.8" hidden="false" customHeight="false" outlineLevel="0" collapsed="false">
      <c r="A1425" s="16"/>
      <c r="B1425" s="16"/>
      <c r="C1425" s="26"/>
      <c r="D1425" s="26"/>
      <c r="E1425" s="16"/>
      <c r="F1425" s="18"/>
      <c r="G1425" s="19" t="str">
        <f aca="true">IF(F1425="", "", DATEDIF(F1425, TODAY(), "Y"))</f>
        <v/>
      </c>
      <c r="H1425" s="18"/>
      <c r="I1425" s="18"/>
      <c r="J1425" s="24" t="str">
        <f aca="true">IF(ISBLANK(H1425), "", I1425-TODAY())</f>
        <v/>
      </c>
      <c r="K1425" s="24" t="str">
        <f aca="false" t="array" ref="K1425:K1425">IF(A1425&lt;&gt;"",IF(COUNTIF(A$996:A1426,"&lt;&gt;")=0,COUNTA(B$996:B1425),IFERROR(MATCH(TRUE(),INDEX((A$996:A1426&lt;&gt;""),0),0),COUNTA(B$996:B1425))),"")</f>
        <v/>
      </c>
      <c r="L1425" s="27"/>
    </row>
    <row r="1426" customFormat="false" ht="13.8" hidden="false" customHeight="false" outlineLevel="0" collapsed="false">
      <c r="A1426" s="16"/>
      <c r="B1426" s="16"/>
      <c r="C1426" s="26"/>
      <c r="D1426" s="26"/>
      <c r="E1426" s="16"/>
      <c r="F1426" s="18"/>
      <c r="G1426" s="19" t="str">
        <f aca="true">IF(F1426="", "", DATEDIF(F1426, TODAY(), "Y"))</f>
        <v/>
      </c>
      <c r="H1426" s="18"/>
      <c r="I1426" s="18"/>
      <c r="J1426" s="24" t="str">
        <f aca="true">IF(ISBLANK(H1426), "", I1426-TODAY())</f>
        <v/>
      </c>
      <c r="K1426" s="24" t="str">
        <f aca="false" t="array" ref="K1426:K1426">IF(A1426&lt;&gt;"",IF(COUNTIF(A$996:A1427,"&lt;&gt;")=0,COUNTA(B$996:B1426),IFERROR(MATCH(TRUE(),INDEX((A$996:A1427&lt;&gt;""),0),0),COUNTA(B$996:B1426))),"")</f>
        <v/>
      </c>
      <c r="L1426" s="27"/>
    </row>
    <row r="1427" customFormat="false" ht="13.8" hidden="false" customHeight="false" outlineLevel="0" collapsed="false">
      <c r="A1427" s="16"/>
      <c r="B1427" s="16"/>
      <c r="C1427" s="26"/>
      <c r="D1427" s="26"/>
      <c r="E1427" s="16"/>
      <c r="F1427" s="18"/>
      <c r="G1427" s="19" t="str">
        <f aca="true">IF(F1427="", "", DATEDIF(F1427, TODAY(), "Y"))</f>
        <v/>
      </c>
      <c r="H1427" s="18"/>
      <c r="I1427" s="18"/>
      <c r="J1427" s="24" t="str">
        <f aca="true">IF(ISBLANK(H1427), "", I1427-TODAY())</f>
        <v/>
      </c>
      <c r="K1427" s="24" t="str">
        <f aca="false" t="array" ref="K1427:K1427">IF(A1427&lt;&gt;"",IF(COUNTIF(A$996:A1428,"&lt;&gt;")=0,COUNTA(B$996:B1427),IFERROR(MATCH(TRUE(),INDEX((A$996:A1428&lt;&gt;""),0),0),COUNTA(B$996:B1427))),"")</f>
        <v/>
      </c>
      <c r="L1427" s="27"/>
    </row>
    <row r="1428" customFormat="false" ht="13.8" hidden="false" customHeight="false" outlineLevel="0" collapsed="false">
      <c r="A1428" s="16"/>
      <c r="B1428" s="16"/>
      <c r="C1428" s="26"/>
      <c r="D1428" s="26"/>
      <c r="E1428" s="16"/>
      <c r="F1428" s="18"/>
      <c r="G1428" s="19" t="str">
        <f aca="true">IF(F1428="", "", DATEDIF(F1428, TODAY(), "Y"))</f>
        <v/>
      </c>
      <c r="H1428" s="18"/>
      <c r="I1428" s="18"/>
      <c r="J1428" s="24" t="str">
        <f aca="true">IF(ISBLANK(H1428), "", I1428-TODAY())</f>
        <v/>
      </c>
      <c r="K1428" s="24" t="str">
        <f aca="false" t="array" ref="K1428:K1428">IF(A1428&lt;&gt;"",IF(COUNTIF(A$996:A1429,"&lt;&gt;")=0,COUNTA(B$996:B1428),IFERROR(MATCH(TRUE(),INDEX((A$996:A1429&lt;&gt;""),0),0),COUNTA(B$996:B1428))),"")</f>
        <v/>
      </c>
      <c r="L1428" s="27"/>
    </row>
    <row r="1429" customFormat="false" ht="13.8" hidden="false" customHeight="false" outlineLevel="0" collapsed="false">
      <c r="A1429" s="16"/>
      <c r="B1429" s="16"/>
      <c r="C1429" s="26"/>
      <c r="D1429" s="26"/>
      <c r="E1429" s="16"/>
      <c r="F1429" s="18"/>
      <c r="G1429" s="19" t="str">
        <f aca="true">IF(F1429="", "", DATEDIF(F1429, TODAY(), "Y"))</f>
        <v/>
      </c>
      <c r="H1429" s="18"/>
      <c r="I1429" s="18"/>
      <c r="J1429" s="24" t="str">
        <f aca="true">IF(ISBLANK(H1429), "", I1429-TODAY())</f>
        <v/>
      </c>
      <c r="K1429" s="24" t="str">
        <f aca="false" t="array" ref="K1429:K1429">IF(A1429&lt;&gt;"",IF(COUNTIF(A$996:A1430,"&lt;&gt;")=0,COUNTA(B$996:B1429),IFERROR(MATCH(TRUE(),INDEX((A$996:A1430&lt;&gt;""),0),0),COUNTA(B$996:B1429))),"")</f>
        <v/>
      </c>
      <c r="L1429" s="27"/>
    </row>
    <row r="1430" customFormat="false" ht="13.8" hidden="false" customHeight="false" outlineLevel="0" collapsed="false">
      <c r="A1430" s="16"/>
      <c r="B1430" s="16"/>
      <c r="C1430" s="26"/>
      <c r="D1430" s="26"/>
      <c r="E1430" s="16"/>
      <c r="F1430" s="18"/>
      <c r="G1430" s="19" t="str">
        <f aca="true">IF(F1430="", "", DATEDIF(F1430, TODAY(), "Y"))</f>
        <v/>
      </c>
      <c r="H1430" s="18"/>
      <c r="I1430" s="18"/>
      <c r="J1430" s="24" t="str">
        <f aca="true">IF(ISBLANK(H1430), "", I1430-TODAY())</f>
        <v/>
      </c>
      <c r="K1430" s="24" t="str">
        <f aca="false" t="array" ref="K1430:K1430">IF(A1430&lt;&gt;"",IF(COUNTIF(A$996:A1431,"&lt;&gt;")=0,COUNTA(B$996:B1430),IFERROR(MATCH(TRUE(),INDEX((A$996:A1431&lt;&gt;""),0),0),COUNTA(B$996:B1430))),"")</f>
        <v/>
      </c>
      <c r="L1430" s="27"/>
    </row>
    <row r="1431" customFormat="false" ht="13.8" hidden="false" customHeight="false" outlineLevel="0" collapsed="false">
      <c r="A1431" s="16"/>
      <c r="B1431" s="16"/>
      <c r="C1431" s="26"/>
      <c r="D1431" s="26"/>
      <c r="E1431" s="16"/>
      <c r="F1431" s="18"/>
      <c r="G1431" s="19" t="str">
        <f aca="true">IF(F1431="", "", DATEDIF(F1431, TODAY(), "Y"))</f>
        <v/>
      </c>
      <c r="H1431" s="18"/>
      <c r="I1431" s="18"/>
      <c r="J1431" s="24" t="str">
        <f aca="true">IF(ISBLANK(H1431), "", I1431-TODAY())</f>
        <v/>
      </c>
      <c r="K1431" s="24" t="str">
        <f aca="false" t="array" ref="K1431:K1431">IF(A1431&lt;&gt;"",IF(COUNTIF(A$996:A1432,"&lt;&gt;")=0,COUNTA(B$996:B1431),IFERROR(MATCH(TRUE(),INDEX((A$996:A1432&lt;&gt;""),0),0),COUNTA(B$996:B1431))),"")</f>
        <v/>
      </c>
      <c r="L1431" s="27"/>
    </row>
    <row r="1432" customFormat="false" ht="13.8" hidden="false" customHeight="false" outlineLevel="0" collapsed="false">
      <c r="A1432" s="16"/>
      <c r="B1432" s="16"/>
      <c r="C1432" s="26"/>
      <c r="D1432" s="26"/>
      <c r="E1432" s="16"/>
      <c r="F1432" s="18"/>
      <c r="G1432" s="19" t="str">
        <f aca="true">IF(F1432="", "", DATEDIF(F1432, TODAY(), "Y"))</f>
        <v/>
      </c>
      <c r="H1432" s="18"/>
      <c r="I1432" s="18"/>
      <c r="J1432" s="24" t="str">
        <f aca="true">IF(ISBLANK(H1432), "", I1432-TODAY())</f>
        <v/>
      </c>
      <c r="K1432" s="24" t="str">
        <f aca="false" t="array" ref="K1432:K1432">IF(A1432&lt;&gt;"",IF(COUNTIF(A$996:A1433,"&lt;&gt;")=0,COUNTA(B$996:B1432),IFERROR(MATCH(TRUE(),INDEX((A$996:A1433&lt;&gt;""),0),0),COUNTA(B$996:B1432))),"")</f>
        <v/>
      </c>
      <c r="L1432" s="27"/>
    </row>
    <row r="1433" customFormat="false" ht="13.8" hidden="false" customHeight="false" outlineLevel="0" collapsed="false">
      <c r="A1433" s="16"/>
      <c r="B1433" s="16"/>
      <c r="C1433" s="26"/>
      <c r="D1433" s="26"/>
      <c r="E1433" s="16"/>
      <c r="F1433" s="18"/>
      <c r="G1433" s="19" t="str">
        <f aca="true">IF(F1433="", "", DATEDIF(F1433, TODAY(), "Y"))</f>
        <v/>
      </c>
      <c r="H1433" s="18"/>
      <c r="I1433" s="18"/>
      <c r="J1433" s="24" t="str">
        <f aca="true">IF(ISBLANK(H1433), "", I1433-TODAY())</f>
        <v/>
      </c>
      <c r="K1433" s="24" t="str">
        <f aca="false" t="array" ref="K1433:K1433">IF(A1433&lt;&gt;"",IF(COUNTIF(A$996:A1434,"&lt;&gt;")=0,COUNTA(B$996:B1433),IFERROR(MATCH(TRUE(),INDEX((A$996:A1434&lt;&gt;""),0),0),COUNTA(B$996:B1433))),"")</f>
        <v/>
      </c>
      <c r="L1433" s="27"/>
    </row>
    <row r="1434" customFormat="false" ht="13.8" hidden="false" customHeight="false" outlineLevel="0" collapsed="false">
      <c r="A1434" s="16"/>
      <c r="B1434" s="16"/>
      <c r="C1434" s="26"/>
      <c r="D1434" s="26"/>
      <c r="E1434" s="16"/>
      <c r="F1434" s="18"/>
      <c r="G1434" s="19" t="str">
        <f aca="true">IF(F1434="", "", DATEDIF(F1434, TODAY(), "Y"))</f>
        <v/>
      </c>
      <c r="H1434" s="18"/>
      <c r="I1434" s="18"/>
      <c r="J1434" s="24" t="str">
        <f aca="true">IF(ISBLANK(H1434), "", I1434-TODAY())</f>
        <v/>
      </c>
      <c r="K1434" s="24" t="str">
        <f aca="false" t="array" ref="K1434:K1434">IF(A1434&lt;&gt;"",IF(COUNTIF(A$996:A1435,"&lt;&gt;")=0,COUNTA(B$996:B1434),IFERROR(MATCH(TRUE(),INDEX((A$996:A1435&lt;&gt;""),0),0),COUNTA(B$996:B1434))),"")</f>
        <v/>
      </c>
      <c r="L1434" s="27"/>
    </row>
    <row r="1435" customFormat="false" ht="13.8" hidden="false" customHeight="false" outlineLevel="0" collapsed="false">
      <c r="A1435" s="16"/>
      <c r="B1435" s="16"/>
      <c r="C1435" s="26"/>
      <c r="D1435" s="26"/>
      <c r="E1435" s="16"/>
      <c r="F1435" s="18"/>
      <c r="G1435" s="19" t="str">
        <f aca="true">IF(F1435="", "", DATEDIF(F1435, TODAY(), "Y"))</f>
        <v/>
      </c>
      <c r="H1435" s="18"/>
      <c r="I1435" s="18"/>
      <c r="J1435" s="24" t="str">
        <f aca="true">IF(ISBLANK(H1435), "", I1435-TODAY())</f>
        <v/>
      </c>
      <c r="K1435" s="24" t="str">
        <f aca="false" t="array" ref="K1435:K1435">IF(A1435&lt;&gt;"",IF(COUNTIF(A$996:A1436,"&lt;&gt;")=0,COUNTA(B$996:B1435),IFERROR(MATCH(TRUE(),INDEX((A$996:A1436&lt;&gt;""),0),0),COUNTA(B$996:B1435))),"")</f>
        <v/>
      </c>
      <c r="L1435" s="27"/>
    </row>
    <row r="1436" customFormat="false" ht="13.8" hidden="false" customHeight="false" outlineLevel="0" collapsed="false">
      <c r="A1436" s="16"/>
      <c r="B1436" s="16"/>
      <c r="C1436" s="26"/>
      <c r="D1436" s="26"/>
      <c r="E1436" s="16"/>
      <c r="F1436" s="18"/>
      <c r="G1436" s="19" t="str">
        <f aca="true">IF(F1436="", "", DATEDIF(F1436, TODAY(), "Y"))</f>
        <v/>
      </c>
      <c r="H1436" s="18"/>
      <c r="I1436" s="18"/>
      <c r="J1436" s="24" t="str">
        <f aca="true">IF(ISBLANK(H1436), "", I1436-TODAY())</f>
        <v/>
      </c>
      <c r="K1436" s="24" t="str">
        <f aca="false" t="array" ref="K1436:K1436">IF(A1436&lt;&gt;"",IF(COUNTIF(A$996:A1437,"&lt;&gt;")=0,COUNTA(B$996:B1436),IFERROR(MATCH(TRUE(),INDEX((A$996:A1437&lt;&gt;""),0),0),COUNTA(B$996:B1436))),"")</f>
        <v/>
      </c>
      <c r="L1436" s="27"/>
    </row>
    <row r="1437" customFormat="false" ht="13.8" hidden="false" customHeight="false" outlineLevel="0" collapsed="false">
      <c r="A1437" s="16"/>
      <c r="B1437" s="16"/>
      <c r="C1437" s="26"/>
      <c r="D1437" s="26"/>
      <c r="E1437" s="16"/>
      <c r="F1437" s="18"/>
      <c r="G1437" s="19" t="str">
        <f aca="true">IF(F1437="", "", DATEDIF(F1437, TODAY(), "Y"))</f>
        <v/>
      </c>
      <c r="H1437" s="18"/>
      <c r="I1437" s="18"/>
      <c r="J1437" s="24" t="str">
        <f aca="true">IF(ISBLANK(H1437), "", I1437-TODAY())</f>
        <v/>
      </c>
      <c r="K1437" s="24" t="str">
        <f aca="false" t="array" ref="K1437:K1437">IF(A1437&lt;&gt;"",IF(COUNTIF(A$996:A1438,"&lt;&gt;")=0,COUNTA(B$996:B1437),IFERROR(MATCH(TRUE(),INDEX((A$996:A1438&lt;&gt;""),0),0),COUNTA(B$996:B1437))),"")</f>
        <v/>
      </c>
      <c r="L1437" s="27"/>
    </row>
    <row r="1438" customFormat="false" ht="13.8" hidden="false" customHeight="false" outlineLevel="0" collapsed="false">
      <c r="A1438" s="16"/>
      <c r="B1438" s="16"/>
      <c r="C1438" s="26"/>
      <c r="D1438" s="26"/>
      <c r="E1438" s="16"/>
      <c r="F1438" s="18"/>
      <c r="G1438" s="19" t="str">
        <f aca="true">IF(F1438="", "", DATEDIF(F1438, TODAY(), "Y"))</f>
        <v/>
      </c>
      <c r="H1438" s="18"/>
      <c r="I1438" s="18"/>
      <c r="J1438" s="24" t="str">
        <f aca="true">IF(ISBLANK(H1438), "", I1438-TODAY())</f>
        <v/>
      </c>
      <c r="K1438" s="24" t="str">
        <f aca="false" t="array" ref="K1438:K1438">IF(A1438&lt;&gt;"",IF(COUNTIF(A$996:A1439,"&lt;&gt;")=0,COUNTA(B$996:B1438),IFERROR(MATCH(TRUE(),INDEX((A$996:A1439&lt;&gt;""),0),0),COUNTA(B$996:B1438))),"")</f>
        <v/>
      </c>
      <c r="L1438" s="27"/>
    </row>
    <row r="1439" customFormat="false" ht="13.8" hidden="false" customHeight="false" outlineLevel="0" collapsed="false">
      <c r="A1439" s="16"/>
      <c r="B1439" s="16"/>
      <c r="C1439" s="26"/>
      <c r="D1439" s="26"/>
      <c r="E1439" s="16"/>
      <c r="F1439" s="18"/>
      <c r="G1439" s="19" t="str">
        <f aca="true">IF(F1439="", "", DATEDIF(F1439, TODAY(), "Y"))</f>
        <v/>
      </c>
      <c r="H1439" s="18"/>
      <c r="I1439" s="18"/>
      <c r="J1439" s="24" t="str">
        <f aca="true">IF(ISBLANK(H1439), "", I1439-TODAY())</f>
        <v/>
      </c>
      <c r="K1439" s="24" t="str">
        <f aca="false" t="array" ref="K1439:K1439">IF(A1439&lt;&gt;"",IF(COUNTIF(A$996:A1440,"&lt;&gt;")=0,COUNTA(B$996:B1439),IFERROR(MATCH(TRUE(),INDEX((A$996:A1440&lt;&gt;""),0),0),COUNTA(B$996:B1439))),"")</f>
        <v/>
      </c>
      <c r="L1439" s="27"/>
    </row>
    <row r="1440" customFormat="false" ht="13.8" hidden="false" customHeight="false" outlineLevel="0" collapsed="false">
      <c r="A1440" s="16"/>
      <c r="B1440" s="16"/>
      <c r="C1440" s="26"/>
      <c r="D1440" s="26"/>
      <c r="E1440" s="16"/>
      <c r="F1440" s="18"/>
      <c r="G1440" s="19" t="str">
        <f aca="true">IF(F1440="", "", DATEDIF(F1440, TODAY(), "Y"))</f>
        <v/>
      </c>
      <c r="H1440" s="18"/>
      <c r="I1440" s="18"/>
      <c r="J1440" s="24" t="str">
        <f aca="true">IF(ISBLANK(H1440), "", I1440-TODAY())</f>
        <v/>
      </c>
      <c r="K1440" s="24" t="str">
        <f aca="false" t="array" ref="K1440:K1440">IF(A1440&lt;&gt;"",IF(COUNTIF(A$996:A1441,"&lt;&gt;")=0,COUNTA(B$996:B1440),IFERROR(MATCH(TRUE(),INDEX((A$996:A1441&lt;&gt;""),0),0),COUNTA(B$996:B1440))),"")</f>
        <v/>
      </c>
      <c r="L1440" s="27"/>
    </row>
    <row r="1441" customFormat="false" ht="13.8" hidden="false" customHeight="false" outlineLevel="0" collapsed="false">
      <c r="A1441" s="16"/>
      <c r="B1441" s="16"/>
      <c r="C1441" s="26"/>
      <c r="D1441" s="26"/>
      <c r="E1441" s="16"/>
      <c r="F1441" s="18"/>
      <c r="G1441" s="19" t="str">
        <f aca="true">IF(F1441="", "", DATEDIF(F1441, TODAY(), "Y"))</f>
        <v/>
      </c>
      <c r="H1441" s="18"/>
      <c r="I1441" s="18"/>
      <c r="J1441" s="24" t="str">
        <f aca="true">IF(ISBLANK(H1441), "", I1441-TODAY())</f>
        <v/>
      </c>
      <c r="K1441" s="24" t="str">
        <f aca="false" t="array" ref="K1441:K1441">IF(A1441&lt;&gt;"",IF(COUNTIF(A$996:A1442,"&lt;&gt;")=0,COUNTA(B$996:B1441),IFERROR(MATCH(TRUE(),INDEX((A$996:A1442&lt;&gt;""),0),0),COUNTA(B$996:B1441))),"")</f>
        <v/>
      </c>
      <c r="L1441" s="27"/>
    </row>
    <row r="1442" customFormat="false" ht="13.8" hidden="false" customHeight="false" outlineLevel="0" collapsed="false">
      <c r="A1442" s="16"/>
      <c r="B1442" s="16"/>
      <c r="C1442" s="26"/>
      <c r="D1442" s="26"/>
      <c r="E1442" s="16"/>
      <c r="F1442" s="18"/>
      <c r="G1442" s="19" t="str">
        <f aca="true">IF(F1442="", "", DATEDIF(F1442, TODAY(), "Y"))</f>
        <v/>
      </c>
      <c r="H1442" s="18"/>
      <c r="I1442" s="18"/>
      <c r="J1442" s="24" t="str">
        <f aca="true">IF(ISBLANK(H1442), "", I1442-TODAY())</f>
        <v/>
      </c>
      <c r="K1442" s="24" t="str">
        <f aca="false" t="array" ref="K1442:K1442">IF(A1442&lt;&gt;"",IF(COUNTIF(A$996:A1443,"&lt;&gt;")=0,COUNTA(B$996:B1442),IFERROR(MATCH(TRUE(),INDEX((A$996:A1443&lt;&gt;""),0),0),COUNTA(B$996:B1442))),"")</f>
        <v/>
      </c>
      <c r="L1442" s="27"/>
    </row>
    <row r="1443" customFormat="false" ht="13.8" hidden="false" customHeight="false" outlineLevel="0" collapsed="false">
      <c r="A1443" s="16"/>
      <c r="B1443" s="16"/>
      <c r="C1443" s="26"/>
      <c r="D1443" s="26"/>
      <c r="E1443" s="16"/>
      <c r="F1443" s="18"/>
      <c r="G1443" s="19" t="str">
        <f aca="true">IF(F1443="", "", DATEDIF(F1443, TODAY(), "Y"))</f>
        <v/>
      </c>
      <c r="H1443" s="18"/>
      <c r="I1443" s="18"/>
      <c r="J1443" s="24" t="str">
        <f aca="true">IF(ISBLANK(H1443), "", I1443-TODAY())</f>
        <v/>
      </c>
      <c r="K1443" s="24" t="str">
        <f aca="false" t="array" ref="K1443:K1443">IF(A1443&lt;&gt;"",IF(COUNTIF(A$996:A1444,"&lt;&gt;")=0,COUNTA(B$996:B1443),IFERROR(MATCH(TRUE(),INDEX((A$996:A1444&lt;&gt;""),0),0),COUNTA(B$996:B1443))),"")</f>
        <v/>
      </c>
      <c r="L1443" s="27"/>
    </row>
    <row r="1444" customFormat="false" ht="13.8" hidden="false" customHeight="false" outlineLevel="0" collapsed="false">
      <c r="A1444" s="16"/>
      <c r="B1444" s="16"/>
      <c r="C1444" s="26"/>
      <c r="D1444" s="26"/>
      <c r="E1444" s="16"/>
      <c r="F1444" s="18"/>
      <c r="G1444" s="19" t="str">
        <f aca="true">IF(F1444="", "", DATEDIF(F1444, TODAY(), "Y"))</f>
        <v/>
      </c>
      <c r="H1444" s="18"/>
      <c r="I1444" s="18"/>
      <c r="J1444" s="24" t="str">
        <f aca="true">IF(ISBLANK(H1444), "", I1444-TODAY())</f>
        <v/>
      </c>
      <c r="K1444" s="24" t="str">
        <f aca="false" t="array" ref="K1444:K1444">IF(A1444&lt;&gt;"",IF(COUNTIF(A$996:A1445,"&lt;&gt;")=0,COUNTA(B$996:B1444),IFERROR(MATCH(TRUE(),INDEX((A$996:A1445&lt;&gt;""),0),0),COUNTA(B$996:B1444))),"")</f>
        <v/>
      </c>
      <c r="L1444" s="27"/>
    </row>
    <row r="1445" customFormat="false" ht="13.8" hidden="false" customHeight="false" outlineLevel="0" collapsed="false">
      <c r="A1445" s="16"/>
      <c r="B1445" s="16"/>
      <c r="C1445" s="26"/>
      <c r="D1445" s="26"/>
      <c r="E1445" s="16"/>
      <c r="F1445" s="18"/>
      <c r="G1445" s="19" t="str">
        <f aca="true">IF(F1445="", "", DATEDIF(F1445, TODAY(), "Y"))</f>
        <v/>
      </c>
      <c r="H1445" s="18"/>
      <c r="I1445" s="18"/>
      <c r="J1445" s="24" t="str">
        <f aca="true">IF(ISBLANK(H1445), "", I1445-TODAY())</f>
        <v/>
      </c>
      <c r="K1445" s="24" t="str">
        <f aca="false" t="array" ref="K1445:K1445">IF(A1445&lt;&gt;"",IF(COUNTIF(A$996:A1446,"&lt;&gt;")=0,COUNTA(B$996:B1445),IFERROR(MATCH(TRUE(),INDEX((A$996:A1446&lt;&gt;""),0),0),COUNTA(B$996:B1445))),"")</f>
        <v/>
      </c>
      <c r="L1445" s="27"/>
    </row>
    <row r="1446" customFormat="false" ht="13.8" hidden="false" customHeight="false" outlineLevel="0" collapsed="false">
      <c r="A1446" s="16"/>
      <c r="B1446" s="16"/>
      <c r="C1446" s="26"/>
      <c r="D1446" s="26"/>
      <c r="E1446" s="16"/>
      <c r="F1446" s="18"/>
      <c r="G1446" s="19" t="str">
        <f aca="true">IF(F1446="", "", DATEDIF(F1446, TODAY(), "Y"))</f>
        <v/>
      </c>
      <c r="H1446" s="18"/>
      <c r="I1446" s="18"/>
      <c r="J1446" s="24" t="str">
        <f aca="true">IF(ISBLANK(H1446), "", I1446-TODAY())</f>
        <v/>
      </c>
      <c r="K1446" s="24" t="str">
        <f aca="false" t="array" ref="K1446:K1446">IF(A1446&lt;&gt;"",IF(COUNTIF(A$996:A1447,"&lt;&gt;")=0,COUNTA(B$996:B1446),IFERROR(MATCH(TRUE(),INDEX((A$996:A1447&lt;&gt;""),0),0),COUNTA(B$996:B1446))),"")</f>
        <v/>
      </c>
      <c r="L1446" s="27"/>
    </row>
    <row r="1447" customFormat="false" ht="13.8" hidden="false" customHeight="false" outlineLevel="0" collapsed="false">
      <c r="A1447" s="16"/>
      <c r="B1447" s="16"/>
      <c r="C1447" s="26"/>
      <c r="D1447" s="26"/>
      <c r="E1447" s="16"/>
      <c r="F1447" s="18"/>
      <c r="G1447" s="19" t="str">
        <f aca="true">IF(F1447="", "", DATEDIF(F1447, TODAY(), "Y"))</f>
        <v/>
      </c>
      <c r="H1447" s="18"/>
      <c r="I1447" s="18"/>
      <c r="J1447" s="24" t="str">
        <f aca="true">IF(ISBLANK(H1447), "", I1447-TODAY())</f>
        <v/>
      </c>
      <c r="K1447" s="24" t="str">
        <f aca="false" t="array" ref="K1447:K1447">IF(A1447&lt;&gt;"",IF(COUNTIF(A$996:A1448,"&lt;&gt;")=0,COUNTA(B$996:B1447),IFERROR(MATCH(TRUE(),INDEX((A$996:A1448&lt;&gt;""),0),0),COUNTA(B$996:B1447))),"")</f>
        <v/>
      </c>
      <c r="L1447" s="27"/>
    </row>
    <row r="1448" customFormat="false" ht="13.8" hidden="false" customHeight="false" outlineLevel="0" collapsed="false">
      <c r="A1448" s="16"/>
      <c r="B1448" s="16"/>
      <c r="C1448" s="26"/>
      <c r="D1448" s="26"/>
      <c r="E1448" s="16"/>
      <c r="F1448" s="18"/>
      <c r="G1448" s="19" t="str">
        <f aca="true">IF(F1448="", "", DATEDIF(F1448, TODAY(), "Y"))</f>
        <v/>
      </c>
      <c r="H1448" s="18"/>
      <c r="I1448" s="18"/>
      <c r="J1448" s="24" t="str">
        <f aca="true">IF(ISBLANK(H1448), "", I1448-TODAY())</f>
        <v/>
      </c>
      <c r="K1448" s="24" t="str">
        <f aca="false" t="array" ref="K1448:K1448">IF(A1448&lt;&gt;"",IF(COUNTIF(A$996:A1449,"&lt;&gt;")=0,COUNTA(B$996:B1448),IFERROR(MATCH(TRUE(),INDEX((A$996:A1449&lt;&gt;""),0),0),COUNTA(B$996:B1448))),"")</f>
        <v/>
      </c>
      <c r="L1448" s="27"/>
    </row>
    <row r="1449" customFormat="false" ht="13.8" hidden="false" customHeight="false" outlineLevel="0" collapsed="false">
      <c r="A1449" s="16"/>
      <c r="B1449" s="16"/>
      <c r="C1449" s="26"/>
      <c r="D1449" s="26"/>
      <c r="E1449" s="16"/>
      <c r="F1449" s="18"/>
      <c r="G1449" s="19" t="str">
        <f aca="true">IF(F1449="", "", DATEDIF(F1449, TODAY(), "Y"))</f>
        <v/>
      </c>
      <c r="H1449" s="18"/>
      <c r="I1449" s="18"/>
      <c r="J1449" s="24" t="str">
        <f aca="true">IF(ISBLANK(H1449), "", I1449-TODAY())</f>
        <v/>
      </c>
      <c r="K1449" s="24" t="str">
        <f aca="false" t="array" ref="K1449:K1449">IF(A1449&lt;&gt;"",IF(COUNTIF(A$996:A1450,"&lt;&gt;")=0,COUNTA(B$996:B1449),IFERROR(MATCH(TRUE(),INDEX((A$996:A1450&lt;&gt;""),0),0),COUNTA(B$996:B1449))),"")</f>
        <v/>
      </c>
      <c r="L1449" s="27"/>
    </row>
    <row r="1450" customFormat="false" ht="13.8" hidden="false" customHeight="false" outlineLevel="0" collapsed="false">
      <c r="A1450" s="16"/>
      <c r="B1450" s="16"/>
      <c r="C1450" s="26"/>
      <c r="D1450" s="26"/>
      <c r="E1450" s="16"/>
      <c r="F1450" s="18"/>
      <c r="G1450" s="19" t="str">
        <f aca="true">IF(F1450="", "", DATEDIF(F1450, TODAY(), "Y"))</f>
        <v/>
      </c>
      <c r="H1450" s="18"/>
      <c r="I1450" s="18"/>
      <c r="J1450" s="24" t="str">
        <f aca="true">IF(ISBLANK(H1450), "", I1450-TODAY())</f>
        <v/>
      </c>
      <c r="K1450" s="24" t="str">
        <f aca="false" t="array" ref="K1450:K1450">IF(A1450&lt;&gt;"",IF(COUNTIF(A$996:A1451,"&lt;&gt;")=0,COUNTA(B$996:B1450),IFERROR(MATCH(TRUE(),INDEX((A$996:A1451&lt;&gt;""),0),0),COUNTA(B$996:B1450))),"")</f>
        <v/>
      </c>
      <c r="L1450" s="27"/>
    </row>
    <row r="1451" customFormat="false" ht="13.8" hidden="false" customHeight="false" outlineLevel="0" collapsed="false">
      <c r="A1451" s="16"/>
      <c r="B1451" s="16"/>
      <c r="C1451" s="26"/>
      <c r="D1451" s="26"/>
      <c r="E1451" s="16"/>
      <c r="F1451" s="18"/>
      <c r="G1451" s="19" t="str">
        <f aca="true">IF(F1451="", "", DATEDIF(F1451, TODAY(), "Y"))</f>
        <v/>
      </c>
      <c r="H1451" s="18"/>
      <c r="I1451" s="18"/>
      <c r="J1451" s="24" t="str">
        <f aca="true">IF(ISBLANK(H1451), "", I1451-TODAY())</f>
        <v/>
      </c>
      <c r="K1451" s="24" t="str">
        <f aca="false" t="array" ref="K1451:K1451">IF(A1451&lt;&gt;"",IF(COUNTIF(A$996:A1452,"&lt;&gt;")=0,COUNTA(B$996:B1451),IFERROR(MATCH(TRUE(),INDEX((A$996:A1452&lt;&gt;""),0),0),COUNTA(B$996:B1451))),"")</f>
        <v/>
      </c>
      <c r="L1451" s="27"/>
    </row>
    <row r="1452" customFormat="false" ht="13.8" hidden="false" customHeight="false" outlineLevel="0" collapsed="false">
      <c r="A1452" s="16"/>
      <c r="B1452" s="16"/>
      <c r="C1452" s="26"/>
      <c r="D1452" s="26"/>
      <c r="E1452" s="16"/>
      <c r="F1452" s="18"/>
      <c r="G1452" s="19" t="str">
        <f aca="true">IF(F1452="", "", DATEDIF(F1452, TODAY(), "Y"))</f>
        <v/>
      </c>
      <c r="H1452" s="18"/>
      <c r="I1452" s="18"/>
      <c r="J1452" s="24" t="str">
        <f aca="true">IF(ISBLANK(H1452), "", I1452-TODAY())</f>
        <v/>
      </c>
      <c r="K1452" s="24" t="str">
        <f aca="false" t="array" ref="K1452:K1452">IF(A1452&lt;&gt;"",IF(COUNTIF(A$996:A1453,"&lt;&gt;")=0,COUNTA(B$996:B1452),IFERROR(MATCH(TRUE(),INDEX((A$996:A1453&lt;&gt;""),0),0),COUNTA(B$996:B1452))),"")</f>
        <v/>
      </c>
      <c r="L1452" s="27"/>
    </row>
    <row r="1453" customFormat="false" ht="13.8" hidden="false" customHeight="false" outlineLevel="0" collapsed="false">
      <c r="A1453" s="16"/>
      <c r="B1453" s="16"/>
      <c r="C1453" s="26"/>
      <c r="D1453" s="26"/>
      <c r="E1453" s="16"/>
      <c r="F1453" s="18"/>
      <c r="G1453" s="19" t="str">
        <f aca="true">IF(F1453="", "", DATEDIF(F1453, TODAY(), "Y"))</f>
        <v/>
      </c>
      <c r="H1453" s="18"/>
      <c r="I1453" s="18"/>
      <c r="J1453" s="24" t="str">
        <f aca="true">IF(ISBLANK(H1453), "", I1453-TODAY())</f>
        <v/>
      </c>
      <c r="K1453" s="24" t="str">
        <f aca="false" t="array" ref="K1453:K1453">IF(A1453&lt;&gt;"",IF(COUNTIF(A$996:A1454,"&lt;&gt;")=0,COUNTA(B$996:B1453),IFERROR(MATCH(TRUE(),INDEX((A$996:A1454&lt;&gt;""),0),0),COUNTA(B$996:B1453))),"")</f>
        <v/>
      </c>
      <c r="L1453" s="27"/>
    </row>
    <row r="1454" customFormat="false" ht="13.8" hidden="false" customHeight="false" outlineLevel="0" collapsed="false">
      <c r="A1454" s="16"/>
      <c r="B1454" s="16"/>
      <c r="C1454" s="26"/>
      <c r="D1454" s="26"/>
      <c r="E1454" s="16"/>
      <c r="F1454" s="18"/>
      <c r="G1454" s="19" t="str">
        <f aca="true">IF(F1454="", "", DATEDIF(F1454, TODAY(), "Y"))</f>
        <v/>
      </c>
      <c r="H1454" s="18"/>
      <c r="I1454" s="18"/>
      <c r="J1454" s="24" t="str">
        <f aca="true">IF(ISBLANK(H1454), "", I1454-TODAY())</f>
        <v/>
      </c>
      <c r="K1454" s="24" t="str">
        <f aca="false" t="array" ref="K1454:K1454">IF(A1454&lt;&gt;"",IF(COUNTIF(A$996:A1455,"&lt;&gt;")=0,COUNTA(B$996:B1454),IFERROR(MATCH(TRUE(),INDEX((A$996:A1455&lt;&gt;""),0),0),COUNTA(B$996:B1454))),"")</f>
        <v/>
      </c>
      <c r="L1454" s="27"/>
    </row>
    <row r="1455" customFormat="false" ht="13.8" hidden="false" customHeight="false" outlineLevel="0" collapsed="false">
      <c r="A1455" s="16"/>
      <c r="B1455" s="16"/>
      <c r="C1455" s="26"/>
      <c r="D1455" s="26"/>
      <c r="E1455" s="16"/>
      <c r="F1455" s="18"/>
      <c r="G1455" s="19" t="str">
        <f aca="true">IF(F1455="", "", DATEDIF(F1455, TODAY(), "Y"))</f>
        <v/>
      </c>
      <c r="H1455" s="18"/>
      <c r="I1455" s="18"/>
      <c r="J1455" s="24" t="str">
        <f aca="true">IF(ISBLANK(H1455), "", I1455-TODAY())</f>
        <v/>
      </c>
      <c r="K1455" s="24" t="str">
        <f aca="false" t="array" ref="K1455:K1455">IF(A1455&lt;&gt;"",IF(COUNTIF(A$996:A1456,"&lt;&gt;")=0,COUNTA(B$996:B1455),IFERROR(MATCH(TRUE(),INDEX((A$996:A1456&lt;&gt;""),0),0),COUNTA(B$996:B1455))),"")</f>
        <v/>
      </c>
      <c r="L1455" s="27"/>
    </row>
    <row r="1456" customFormat="false" ht="13.8" hidden="false" customHeight="false" outlineLevel="0" collapsed="false">
      <c r="A1456" s="16"/>
      <c r="B1456" s="16"/>
      <c r="C1456" s="26"/>
      <c r="D1456" s="26"/>
      <c r="E1456" s="16"/>
      <c r="F1456" s="18"/>
      <c r="G1456" s="19" t="str">
        <f aca="true">IF(F1456="", "", DATEDIF(F1456, TODAY(), "Y"))</f>
        <v/>
      </c>
      <c r="H1456" s="18"/>
      <c r="I1456" s="18"/>
      <c r="J1456" s="24" t="str">
        <f aca="true">IF(ISBLANK(H1456), "", I1456-TODAY())</f>
        <v/>
      </c>
      <c r="K1456" s="24" t="str">
        <f aca="false" t="array" ref="K1456:K1456">IF(A1456&lt;&gt;"",IF(COUNTIF(A$996:A1457,"&lt;&gt;")=0,COUNTA(B$996:B1456),IFERROR(MATCH(TRUE(),INDEX((A$996:A1457&lt;&gt;""),0),0),COUNTA(B$996:B1456))),"")</f>
        <v/>
      </c>
      <c r="L1456" s="27"/>
    </row>
    <row r="1457" customFormat="false" ht="13.8" hidden="false" customHeight="false" outlineLevel="0" collapsed="false">
      <c r="A1457" s="16"/>
      <c r="B1457" s="16"/>
      <c r="C1457" s="26"/>
      <c r="D1457" s="26"/>
      <c r="E1457" s="16"/>
      <c r="F1457" s="18"/>
      <c r="G1457" s="19" t="str">
        <f aca="true">IF(F1457="", "", DATEDIF(F1457, TODAY(), "Y"))</f>
        <v/>
      </c>
      <c r="H1457" s="18"/>
      <c r="I1457" s="18"/>
      <c r="J1457" s="24" t="str">
        <f aca="true">IF(ISBLANK(H1457), "", I1457-TODAY())</f>
        <v/>
      </c>
      <c r="K1457" s="24" t="str">
        <f aca="false" t="array" ref="K1457:K1457">IF(A1457&lt;&gt;"",IF(COUNTIF(A$996:A1458,"&lt;&gt;")=0,COUNTA(B$996:B1457),IFERROR(MATCH(TRUE(),INDEX((A$996:A1458&lt;&gt;""),0),0),COUNTA(B$996:B1457))),"")</f>
        <v/>
      </c>
      <c r="L1457" s="27"/>
    </row>
    <row r="1458" customFormat="false" ht="13.8" hidden="false" customHeight="false" outlineLevel="0" collapsed="false">
      <c r="A1458" s="16"/>
      <c r="B1458" s="16"/>
      <c r="C1458" s="26"/>
      <c r="D1458" s="26"/>
      <c r="E1458" s="16"/>
      <c r="F1458" s="18"/>
      <c r="G1458" s="19" t="str">
        <f aca="true">IF(F1458="", "", DATEDIF(F1458, TODAY(), "Y"))</f>
        <v/>
      </c>
      <c r="H1458" s="18"/>
      <c r="I1458" s="18"/>
      <c r="J1458" s="24" t="str">
        <f aca="true">IF(ISBLANK(H1458), "", I1458-TODAY())</f>
        <v/>
      </c>
      <c r="K1458" s="24" t="str">
        <f aca="false" t="array" ref="K1458:K1458">IF(A1458&lt;&gt;"",IF(COUNTIF(A$996:A1459,"&lt;&gt;")=0,COUNTA(B$996:B1458),IFERROR(MATCH(TRUE(),INDEX((A$996:A1459&lt;&gt;""),0),0),COUNTA(B$996:B1458))),"")</f>
        <v/>
      </c>
      <c r="L1458" s="27"/>
    </row>
    <row r="1459" customFormat="false" ht="13.8" hidden="false" customHeight="false" outlineLevel="0" collapsed="false">
      <c r="A1459" s="16"/>
      <c r="B1459" s="16"/>
      <c r="C1459" s="26"/>
      <c r="D1459" s="26"/>
      <c r="E1459" s="16"/>
      <c r="F1459" s="18"/>
      <c r="G1459" s="19" t="str">
        <f aca="true">IF(F1459="", "", DATEDIF(F1459, TODAY(), "Y"))</f>
        <v/>
      </c>
      <c r="H1459" s="18"/>
      <c r="I1459" s="18"/>
      <c r="J1459" s="24" t="str">
        <f aca="true">IF(ISBLANK(H1459), "", I1459-TODAY())</f>
        <v/>
      </c>
      <c r="K1459" s="24" t="str">
        <f aca="false" t="array" ref="K1459:K1459">IF(A1459&lt;&gt;"",IF(COUNTIF(A$996:A1460,"&lt;&gt;")=0,COUNTA(B$996:B1459),IFERROR(MATCH(TRUE(),INDEX((A$996:A1460&lt;&gt;""),0),0),COUNTA(B$996:B1459))),"")</f>
        <v/>
      </c>
      <c r="L1459" s="27"/>
    </row>
    <row r="1460" customFormat="false" ht="13.8" hidden="false" customHeight="false" outlineLevel="0" collapsed="false">
      <c r="A1460" s="16"/>
      <c r="B1460" s="16"/>
      <c r="C1460" s="26"/>
      <c r="D1460" s="26"/>
      <c r="E1460" s="16"/>
      <c r="F1460" s="18"/>
      <c r="G1460" s="19" t="str">
        <f aca="true">IF(F1460="", "", DATEDIF(F1460, TODAY(), "Y"))</f>
        <v/>
      </c>
      <c r="H1460" s="18"/>
      <c r="I1460" s="18"/>
      <c r="J1460" s="24" t="str">
        <f aca="true">IF(ISBLANK(H1460), "", I1460-TODAY())</f>
        <v/>
      </c>
      <c r="K1460" s="24" t="str">
        <f aca="false" t="array" ref="K1460:K1460">IF(A1460&lt;&gt;"",IF(COUNTIF(A$996:A1461,"&lt;&gt;")=0,COUNTA(B$996:B1460),IFERROR(MATCH(TRUE(),INDEX((A$996:A1461&lt;&gt;""),0),0),COUNTA(B$996:B1460))),"")</f>
        <v/>
      </c>
      <c r="L1460" s="27"/>
    </row>
    <row r="1461" customFormat="false" ht="13.8" hidden="false" customHeight="false" outlineLevel="0" collapsed="false">
      <c r="A1461" s="16"/>
      <c r="B1461" s="16"/>
      <c r="C1461" s="26"/>
      <c r="D1461" s="26"/>
      <c r="E1461" s="16"/>
      <c r="F1461" s="18"/>
      <c r="G1461" s="19" t="str">
        <f aca="true">IF(F1461="", "", DATEDIF(F1461, TODAY(), "Y"))</f>
        <v/>
      </c>
      <c r="H1461" s="18"/>
      <c r="I1461" s="18"/>
      <c r="J1461" s="24" t="str">
        <f aca="true">IF(ISBLANK(H1461), "", I1461-TODAY())</f>
        <v/>
      </c>
      <c r="K1461" s="24" t="str">
        <f aca="false" t="array" ref="K1461:K1461">IF(A1461&lt;&gt;"",IF(COUNTIF(A$996:A1462,"&lt;&gt;")=0,COUNTA(B$996:B1461),IFERROR(MATCH(TRUE(),INDEX((A$996:A1462&lt;&gt;""),0),0),COUNTA(B$996:B1461))),"")</f>
        <v/>
      </c>
      <c r="L1461" s="27"/>
    </row>
    <row r="1462" customFormat="false" ht="13.8" hidden="false" customHeight="false" outlineLevel="0" collapsed="false">
      <c r="A1462" s="16"/>
      <c r="B1462" s="16"/>
      <c r="C1462" s="26"/>
      <c r="D1462" s="26"/>
      <c r="E1462" s="16"/>
      <c r="F1462" s="18"/>
      <c r="G1462" s="19" t="str">
        <f aca="true">IF(F1462="", "", DATEDIF(F1462, TODAY(), "Y"))</f>
        <v/>
      </c>
      <c r="H1462" s="18"/>
      <c r="I1462" s="18"/>
      <c r="J1462" s="24" t="str">
        <f aca="true">IF(ISBLANK(H1462), "", I1462-TODAY())</f>
        <v/>
      </c>
      <c r="K1462" s="24" t="str">
        <f aca="false" t="array" ref="K1462:K1462">IF(A1462&lt;&gt;"",IF(COUNTIF(A$996:A1463,"&lt;&gt;")=0,COUNTA(B$996:B1462),IFERROR(MATCH(TRUE(),INDEX((A$996:A1463&lt;&gt;""),0),0),COUNTA(B$996:B1462))),"")</f>
        <v/>
      </c>
      <c r="L1462" s="27"/>
    </row>
    <row r="1463" customFormat="false" ht="13.8" hidden="false" customHeight="false" outlineLevel="0" collapsed="false">
      <c r="A1463" s="16"/>
      <c r="B1463" s="16"/>
      <c r="C1463" s="26"/>
      <c r="D1463" s="26"/>
      <c r="E1463" s="16"/>
      <c r="F1463" s="18"/>
      <c r="G1463" s="19" t="str">
        <f aca="true">IF(F1463="", "", DATEDIF(F1463, TODAY(), "Y"))</f>
        <v/>
      </c>
      <c r="H1463" s="18"/>
      <c r="I1463" s="18"/>
      <c r="J1463" s="24" t="str">
        <f aca="true">IF(ISBLANK(H1463), "", I1463-TODAY())</f>
        <v/>
      </c>
      <c r="K1463" s="24" t="str">
        <f aca="false" t="array" ref="K1463:K1463">IF(A1463&lt;&gt;"",IF(COUNTIF(A$996:A1464,"&lt;&gt;")=0,COUNTA(B$996:B1463),IFERROR(MATCH(TRUE(),INDEX((A$996:A1464&lt;&gt;""),0),0),COUNTA(B$996:B1463))),"")</f>
        <v/>
      </c>
      <c r="L1463" s="27"/>
    </row>
    <row r="1464" customFormat="false" ht="13.8" hidden="false" customHeight="false" outlineLevel="0" collapsed="false">
      <c r="A1464" s="16"/>
      <c r="B1464" s="16"/>
      <c r="C1464" s="26"/>
      <c r="D1464" s="26"/>
      <c r="E1464" s="16"/>
      <c r="F1464" s="18"/>
      <c r="G1464" s="19" t="str">
        <f aca="true">IF(F1464="", "", DATEDIF(F1464, TODAY(), "Y"))</f>
        <v/>
      </c>
      <c r="H1464" s="18"/>
      <c r="I1464" s="18"/>
      <c r="J1464" s="24" t="str">
        <f aca="true">IF(ISBLANK(H1464), "", I1464-TODAY())</f>
        <v/>
      </c>
      <c r="K1464" s="24" t="str">
        <f aca="false" t="array" ref="K1464:K1464">IF(A1464&lt;&gt;"",IF(COUNTIF(A$996:A1465,"&lt;&gt;")=0,COUNTA(B$996:B1464),IFERROR(MATCH(TRUE(),INDEX((A$996:A1465&lt;&gt;""),0),0),COUNTA(B$996:B1464))),"")</f>
        <v/>
      </c>
      <c r="L1464" s="27"/>
    </row>
    <row r="1465" customFormat="false" ht="13.8" hidden="false" customHeight="false" outlineLevel="0" collapsed="false">
      <c r="A1465" s="16"/>
      <c r="B1465" s="16"/>
      <c r="C1465" s="26"/>
      <c r="D1465" s="26"/>
      <c r="E1465" s="16"/>
      <c r="F1465" s="18"/>
      <c r="G1465" s="19" t="str">
        <f aca="true">IF(F1465="", "", DATEDIF(F1465, TODAY(), "Y"))</f>
        <v/>
      </c>
      <c r="H1465" s="18"/>
      <c r="I1465" s="18"/>
      <c r="J1465" s="24" t="str">
        <f aca="true">IF(ISBLANK(H1465), "", I1465-TODAY())</f>
        <v/>
      </c>
      <c r="K1465" s="24" t="str">
        <f aca="false" t="array" ref="K1465:K1465">IF(A1465&lt;&gt;"",IF(COUNTIF(A$996:A1466,"&lt;&gt;")=0,COUNTA(B$996:B1465),IFERROR(MATCH(TRUE(),INDEX((A$996:A1466&lt;&gt;""),0),0),COUNTA(B$996:B1465))),"")</f>
        <v/>
      </c>
      <c r="L1465" s="27"/>
    </row>
    <row r="1466" customFormat="false" ht="13.8" hidden="false" customHeight="false" outlineLevel="0" collapsed="false">
      <c r="A1466" s="16"/>
      <c r="B1466" s="16"/>
      <c r="C1466" s="26"/>
      <c r="D1466" s="26"/>
      <c r="E1466" s="16"/>
      <c r="F1466" s="18"/>
      <c r="G1466" s="19" t="str">
        <f aca="true">IF(F1466="", "", DATEDIF(F1466, TODAY(), "Y"))</f>
        <v/>
      </c>
      <c r="H1466" s="18"/>
      <c r="I1466" s="18"/>
      <c r="J1466" s="24" t="str">
        <f aca="true">IF(ISBLANK(H1466), "", I1466-TODAY())</f>
        <v/>
      </c>
      <c r="K1466" s="24" t="str">
        <f aca="false" t="array" ref="K1466:K1466">IF(A1466&lt;&gt;"",IF(COUNTIF(A$996:A1467,"&lt;&gt;")=0,COUNTA(B$996:B1466),IFERROR(MATCH(TRUE(),INDEX((A$996:A1467&lt;&gt;""),0),0),COUNTA(B$996:B1466))),"")</f>
        <v/>
      </c>
      <c r="L1466" s="27"/>
    </row>
    <row r="1467" customFormat="false" ht="13.8" hidden="false" customHeight="false" outlineLevel="0" collapsed="false">
      <c r="A1467" s="16"/>
      <c r="B1467" s="16"/>
      <c r="C1467" s="26"/>
      <c r="D1467" s="26"/>
      <c r="E1467" s="16"/>
      <c r="F1467" s="18"/>
      <c r="G1467" s="19" t="str">
        <f aca="true">IF(F1467="", "", DATEDIF(F1467, TODAY(), "Y"))</f>
        <v/>
      </c>
      <c r="H1467" s="18"/>
      <c r="I1467" s="18"/>
      <c r="J1467" s="24" t="str">
        <f aca="true">IF(ISBLANK(H1467), "", I1467-TODAY())</f>
        <v/>
      </c>
      <c r="K1467" s="24" t="str">
        <f aca="false" t="array" ref="K1467:K1467">IF(A1467&lt;&gt;"",IF(COUNTIF(A$996:A1468,"&lt;&gt;")=0,COUNTA(B$996:B1467),IFERROR(MATCH(TRUE(),INDEX((A$996:A1468&lt;&gt;""),0),0),COUNTA(B$996:B1467))),"")</f>
        <v/>
      </c>
      <c r="L1467" s="27"/>
    </row>
    <row r="1468" customFormat="false" ht="13.8" hidden="false" customHeight="false" outlineLevel="0" collapsed="false">
      <c r="A1468" s="16"/>
      <c r="B1468" s="16"/>
      <c r="C1468" s="26"/>
      <c r="D1468" s="26"/>
      <c r="E1468" s="16"/>
      <c r="F1468" s="18"/>
      <c r="G1468" s="19" t="str">
        <f aca="true">IF(F1468="", "", DATEDIF(F1468, TODAY(), "Y"))</f>
        <v/>
      </c>
      <c r="H1468" s="18"/>
      <c r="I1468" s="18"/>
      <c r="J1468" s="24" t="str">
        <f aca="true">IF(ISBLANK(H1468), "", I1468-TODAY())</f>
        <v/>
      </c>
      <c r="K1468" s="24" t="str">
        <f aca="false" t="array" ref="K1468:K1468">IF(A1468&lt;&gt;"",IF(COUNTIF(A$996:A1469,"&lt;&gt;")=0,COUNTA(B$996:B1468),IFERROR(MATCH(TRUE(),INDEX((A$996:A1469&lt;&gt;""),0),0),COUNTA(B$996:B1468))),"")</f>
        <v/>
      </c>
      <c r="L1468" s="27"/>
    </row>
    <row r="1469" customFormat="false" ht="13.8" hidden="false" customHeight="false" outlineLevel="0" collapsed="false">
      <c r="A1469" s="16"/>
      <c r="B1469" s="16"/>
      <c r="C1469" s="26"/>
      <c r="D1469" s="26"/>
      <c r="E1469" s="16"/>
      <c r="F1469" s="18"/>
      <c r="G1469" s="19" t="str">
        <f aca="true">IF(F1469="", "", DATEDIF(F1469, TODAY(), "Y"))</f>
        <v/>
      </c>
      <c r="H1469" s="18"/>
      <c r="I1469" s="18"/>
      <c r="J1469" s="24" t="str">
        <f aca="true">IF(ISBLANK(H1469), "", I1469-TODAY())</f>
        <v/>
      </c>
      <c r="K1469" s="24" t="str">
        <f aca="false" t="array" ref="K1469:K1469">IF(A1469&lt;&gt;"",IF(COUNTIF(A$996:A1470,"&lt;&gt;")=0,COUNTA(B$996:B1469),IFERROR(MATCH(TRUE(),INDEX((A$996:A1470&lt;&gt;""),0),0),COUNTA(B$996:B1469))),"")</f>
        <v/>
      </c>
      <c r="L1469" s="27"/>
    </row>
    <row r="1470" customFormat="false" ht="13.8" hidden="false" customHeight="false" outlineLevel="0" collapsed="false">
      <c r="A1470" s="16"/>
      <c r="B1470" s="16"/>
      <c r="C1470" s="26"/>
      <c r="D1470" s="26"/>
      <c r="E1470" s="16"/>
      <c r="F1470" s="18"/>
      <c r="G1470" s="19" t="str">
        <f aca="true">IF(F1470="", "", DATEDIF(F1470, TODAY(), "Y"))</f>
        <v/>
      </c>
      <c r="H1470" s="18"/>
      <c r="I1470" s="18"/>
      <c r="J1470" s="24" t="str">
        <f aca="true">IF(ISBLANK(H1470), "", I1470-TODAY())</f>
        <v/>
      </c>
      <c r="K1470" s="24" t="str">
        <f aca="false" t="array" ref="K1470:K1470">IF(A1470&lt;&gt;"",IF(COUNTIF(A$996:A1471,"&lt;&gt;")=0,COUNTA(B$996:B1470),IFERROR(MATCH(TRUE(),INDEX((A$996:A1471&lt;&gt;""),0),0),COUNTA(B$996:B1470))),"")</f>
        <v/>
      </c>
      <c r="L1470" s="27"/>
    </row>
    <row r="1471" customFormat="false" ht="13.8" hidden="false" customHeight="false" outlineLevel="0" collapsed="false">
      <c r="A1471" s="16"/>
      <c r="B1471" s="16"/>
      <c r="C1471" s="26"/>
      <c r="D1471" s="26"/>
      <c r="E1471" s="16"/>
      <c r="F1471" s="18"/>
      <c r="G1471" s="19" t="str">
        <f aca="true">IF(F1471="", "", DATEDIF(F1471, TODAY(), "Y"))</f>
        <v/>
      </c>
      <c r="H1471" s="18"/>
      <c r="I1471" s="18"/>
      <c r="J1471" s="24" t="str">
        <f aca="true">IF(ISBLANK(H1471), "", I1471-TODAY())</f>
        <v/>
      </c>
      <c r="K1471" s="24" t="str">
        <f aca="false" t="array" ref="K1471:K1471">IF(A1471&lt;&gt;"",IF(COUNTIF(A$996:A1472,"&lt;&gt;")=0,COUNTA(B$996:B1471),IFERROR(MATCH(TRUE(),INDEX((A$996:A1472&lt;&gt;""),0),0),COUNTA(B$996:B1471))),"")</f>
        <v/>
      </c>
      <c r="L1471" s="27"/>
    </row>
    <row r="1472" customFormat="false" ht="13.8" hidden="false" customHeight="false" outlineLevel="0" collapsed="false">
      <c r="A1472" s="16"/>
      <c r="B1472" s="16"/>
      <c r="C1472" s="26"/>
      <c r="D1472" s="26"/>
      <c r="E1472" s="16"/>
      <c r="F1472" s="18"/>
      <c r="G1472" s="19" t="str">
        <f aca="true">IF(F1472="", "", DATEDIF(F1472, TODAY(), "Y"))</f>
        <v/>
      </c>
      <c r="H1472" s="18"/>
      <c r="I1472" s="18"/>
      <c r="J1472" s="24" t="str">
        <f aca="true">IF(ISBLANK(H1472), "", I1472-TODAY())</f>
        <v/>
      </c>
      <c r="K1472" s="24" t="str">
        <f aca="false" t="array" ref="K1472:K1472">IF(A1472&lt;&gt;"",IF(COUNTIF(A$996:A1473,"&lt;&gt;")=0,COUNTA(B$996:B1472),IFERROR(MATCH(TRUE(),INDEX((A$996:A1473&lt;&gt;""),0),0),COUNTA(B$996:B1472))),"")</f>
        <v/>
      </c>
      <c r="L1472" s="27"/>
    </row>
    <row r="1473" customFormat="false" ht="13.8" hidden="false" customHeight="false" outlineLevel="0" collapsed="false">
      <c r="A1473" s="16"/>
      <c r="B1473" s="16"/>
      <c r="C1473" s="26"/>
      <c r="D1473" s="26"/>
      <c r="E1473" s="16"/>
      <c r="F1473" s="18"/>
      <c r="G1473" s="19" t="str">
        <f aca="true">IF(F1473="", "", DATEDIF(F1473, TODAY(), "Y"))</f>
        <v/>
      </c>
      <c r="H1473" s="18"/>
      <c r="I1473" s="18"/>
      <c r="J1473" s="24" t="str">
        <f aca="true">IF(ISBLANK(H1473), "", I1473-TODAY())</f>
        <v/>
      </c>
      <c r="K1473" s="24" t="str">
        <f aca="false" t="array" ref="K1473:K1473">IF(A1473&lt;&gt;"",IF(COUNTIF(A$996:A1474,"&lt;&gt;")=0,COUNTA(B$996:B1473),IFERROR(MATCH(TRUE(),INDEX((A$996:A1474&lt;&gt;""),0),0),COUNTA(B$996:B1473))),"")</f>
        <v/>
      </c>
      <c r="L1473" s="27"/>
    </row>
    <row r="1474" customFormat="false" ht="13.8" hidden="false" customHeight="false" outlineLevel="0" collapsed="false">
      <c r="A1474" s="16"/>
      <c r="B1474" s="16"/>
      <c r="C1474" s="26"/>
      <c r="D1474" s="26"/>
      <c r="E1474" s="16"/>
      <c r="F1474" s="18"/>
      <c r="G1474" s="19" t="str">
        <f aca="true">IF(F1474="", "", DATEDIF(F1474, TODAY(), "Y"))</f>
        <v/>
      </c>
      <c r="H1474" s="18"/>
      <c r="I1474" s="18"/>
      <c r="J1474" s="24" t="str">
        <f aca="true">IF(ISBLANK(H1474), "", I1474-TODAY())</f>
        <v/>
      </c>
      <c r="K1474" s="24" t="str">
        <f aca="false" t="array" ref="K1474:K1474">IF(A1474&lt;&gt;"",IF(COUNTIF(A$996:A1475,"&lt;&gt;")=0,COUNTA(B$996:B1474),IFERROR(MATCH(TRUE(),INDEX((A$996:A1475&lt;&gt;""),0),0),COUNTA(B$996:B1474))),"")</f>
        <v/>
      </c>
      <c r="L1474" s="27"/>
    </row>
    <row r="1475" customFormat="false" ht="13.8" hidden="false" customHeight="false" outlineLevel="0" collapsed="false">
      <c r="A1475" s="16"/>
      <c r="B1475" s="16"/>
      <c r="C1475" s="26"/>
      <c r="D1475" s="26"/>
      <c r="E1475" s="16"/>
      <c r="F1475" s="18"/>
      <c r="G1475" s="19" t="str">
        <f aca="true">IF(F1475="", "", DATEDIF(F1475, TODAY(), "Y"))</f>
        <v/>
      </c>
      <c r="H1475" s="18"/>
      <c r="I1475" s="18"/>
      <c r="J1475" s="24" t="str">
        <f aca="true">IF(ISBLANK(H1475), "", I1475-TODAY())</f>
        <v/>
      </c>
      <c r="K1475" s="24" t="str">
        <f aca="false" t="array" ref="K1475:K1475">IF(A1475&lt;&gt;"",IF(COUNTIF(A$996:A1476,"&lt;&gt;")=0,COUNTA(B$996:B1475),IFERROR(MATCH(TRUE(),INDEX((A$996:A1476&lt;&gt;""),0),0),COUNTA(B$996:B1475))),"")</f>
        <v/>
      </c>
      <c r="L1475" s="27"/>
    </row>
    <row r="1476" customFormat="false" ht="13.8" hidden="false" customHeight="false" outlineLevel="0" collapsed="false">
      <c r="A1476" s="16"/>
      <c r="B1476" s="16"/>
      <c r="C1476" s="26"/>
      <c r="D1476" s="26"/>
      <c r="E1476" s="16"/>
      <c r="F1476" s="18"/>
      <c r="G1476" s="19" t="str">
        <f aca="true">IF(F1476="", "", DATEDIF(F1476, TODAY(), "Y"))</f>
        <v/>
      </c>
      <c r="H1476" s="18"/>
      <c r="I1476" s="18"/>
      <c r="J1476" s="24" t="str">
        <f aca="true">IF(ISBLANK(H1476), "", I1476-TODAY())</f>
        <v/>
      </c>
      <c r="K1476" s="24" t="str">
        <f aca="false" t="array" ref="K1476:K1476">IF(A1476&lt;&gt;"",IF(COUNTIF(A$996:A1477,"&lt;&gt;")=0,COUNTA(B$996:B1476),IFERROR(MATCH(TRUE(),INDEX((A$996:A1477&lt;&gt;""),0),0),COUNTA(B$996:B1476))),"")</f>
        <v/>
      </c>
      <c r="L1476" s="27"/>
    </row>
    <row r="1477" customFormat="false" ht="13.8" hidden="false" customHeight="false" outlineLevel="0" collapsed="false">
      <c r="A1477" s="16"/>
      <c r="B1477" s="16"/>
      <c r="C1477" s="26"/>
      <c r="D1477" s="26"/>
      <c r="E1477" s="16"/>
      <c r="F1477" s="18"/>
      <c r="G1477" s="19" t="str">
        <f aca="true">IF(F1477="", "", DATEDIF(F1477, TODAY(), "Y"))</f>
        <v/>
      </c>
      <c r="H1477" s="18"/>
      <c r="I1477" s="18"/>
      <c r="J1477" s="24" t="str">
        <f aca="true">IF(ISBLANK(H1477), "", I1477-TODAY())</f>
        <v/>
      </c>
      <c r="K1477" s="24" t="str">
        <f aca="false" t="array" ref="K1477:K1477">IF(A1477&lt;&gt;"",IF(COUNTIF(A$996:A1478,"&lt;&gt;")=0,COUNTA(B$996:B1477),IFERROR(MATCH(TRUE(),INDEX((A$996:A1478&lt;&gt;""),0),0),COUNTA(B$996:B1477))),"")</f>
        <v/>
      </c>
      <c r="L1477" s="27"/>
    </row>
    <row r="1478" customFormat="false" ht="13.8" hidden="false" customHeight="false" outlineLevel="0" collapsed="false">
      <c r="A1478" s="16"/>
      <c r="B1478" s="16"/>
      <c r="C1478" s="26"/>
      <c r="D1478" s="26"/>
      <c r="E1478" s="16"/>
      <c r="F1478" s="18"/>
      <c r="G1478" s="19" t="str">
        <f aca="true">IF(F1478="", "", DATEDIF(F1478, TODAY(), "Y"))</f>
        <v/>
      </c>
      <c r="H1478" s="18"/>
      <c r="I1478" s="18"/>
      <c r="J1478" s="24" t="str">
        <f aca="true">IF(ISBLANK(H1478), "", I1478-TODAY())</f>
        <v/>
      </c>
      <c r="K1478" s="24" t="str">
        <f aca="false" t="array" ref="K1478:K1478">IF(A1478&lt;&gt;"",IF(COUNTIF(A$996:A1479,"&lt;&gt;")=0,COUNTA(B$996:B1478),IFERROR(MATCH(TRUE(),INDEX((A$996:A1479&lt;&gt;""),0),0),COUNTA(B$996:B1478))),"")</f>
        <v/>
      </c>
      <c r="L1478" s="27"/>
    </row>
    <row r="1479" customFormat="false" ht="13.8" hidden="false" customHeight="false" outlineLevel="0" collapsed="false">
      <c r="A1479" s="16"/>
      <c r="B1479" s="16"/>
      <c r="C1479" s="26"/>
      <c r="D1479" s="26"/>
      <c r="E1479" s="16"/>
      <c r="F1479" s="18"/>
      <c r="G1479" s="19" t="str">
        <f aca="true">IF(F1479="", "", DATEDIF(F1479, TODAY(), "Y"))</f>
        <v/>
      </c>
      <c r="H1479" s="18"/>
      <c r="I1479" s="18"/>
      <c r="J1479" s="24" t="str">
        <f aca="true">IF(ISBLANK(H1479), "", I1479-TODAY())</f>
        <v/>
      </c>
      <c r="K1479" s="24" t="str">
        <f aca="false" t="array" ref="K1479:K1479">IF(A1479&lt;&gt;"",IF(COUNTIF(A$996:A1480,"&lt;&gt;")=0,COUNTA(B$996:B1479),IFERROR(MATCH(TRUE(),INDEX((A$996:A1480&lt;&gt;""),0),0),COUNTA(B$996:B1479))),"")</f>
        <v/>
      </c>
      <c r="L1479" s="27"/>
    </row>
    <row r="1480" customFormat="false" ht="13.8" hidden="false" customHeight="false" outlineLevel="0" collapsed="false">
      <c r="A1480" s="16"/>
      <c r="B1480" s="16"/>
      <c r="C1480" s="26"/>
      <c r="D1480" s="26"/>
      <c r="E1480" s="16"/>
      <c r="F1480" s="18"/>
      <c r="G1480" s="19" t="str">
        <f aca="true">IF(F1480="", "", DATEDIF(F1480, TODAY(), "Y"))</f>
        <v/>
      </c>
      <c r="H1480" s="18"/>
      <c r="I1480" s="18"/>
      <c r="J1480" s="24" t="str">
        <f aca="true">IF(ISBLANK(H1480), "", I1480-TODAY())</f>
        <v/>
      </c>
      <c r="K1480" s="24" t="str">
        <f aca="false" t="array" ref="K1480:K1480">IF(A1480&lt;&gt;"",IF(COUNTIF(A$996:A1481,"&lt;&gt;")=0,COUNTA(B$996:B1480),IFERROR(MATCH(TRUE(),INDEX((A$996:A1481&lt;&gt;""),0),0),COUNTA(B$996:B1480))),"")</f>
        <v/>
      </c>
      <c r="L1480" s="27"/>
    </row>
    <row r="1481" customFormat="false" ht="13.8" hidden="false" customHeight="false" outlineLevel="0" collapsed="false">
      <c r="A1481" s="16"/>
      <c r="B1481" s="16"/>
      <c r="C1481" s="26"/>
      <c r="D1481" s="26"/>
      <c r="E1481" s="16"/>
      <c r="F1481" s="18"/>
      <c r="G1481" s="19" t="str">
        <f aca="true">IF(F1481="", "", DATEDIF(F1481, TODAY(), "Y"))</f>
        <v/>
      </c>
      <c r="H1481" s="18"/>
      <c r="I1481" s="18"/>
      <c r="J1481" s="24" t="str">
        <f aca="true">IF(ISBLANK(H1481), "", I1481-TODAY())</f>
        <v/>
      </c>
      <c r="K1481" s="24" t="str">
        <f aca="false" t="array" ref="K1481:K1481">IF(A1481&lt;&gt;"",IF(COUNTIF(A$996:A1482,"&lt;&gt;")=0,COUNTA(B$996:B1481),IFERROR(MATCH(TRUE(),INDEX((A$996:A1482&lt;&gt;""),0),0),COUNTA(B$996:B1481))),"")</f>
        <v/>
      </c>
      <c r="L1481" s="27"/>
    </row>
    <row r="1482" customFormat="false" ht="13.8" hidden="false" customHeight="false" outlineLevel="0" collapsed="false">
      <c r="A1482" s="16"/>
      <c r="B1482" s="16"/>
      <c r="C1482" s="26"/>
      <c r="D1482" s="26"/>
      <c r="E1482" s="16"/>
      <c r="F1482" s="18"/>
      <c r="G1482" s="19" t="str">
        <f aca="true">IF(F1482="", "", DATEDIF(F1482, TODAY(), "Y"))</f>
        <v/>
      </c>
      <c r="H1482" s="18"/>
      <c r="I1482" s="18"/>
      <c r="J1482" s="24" t="str">
        <f aca="true">IF(ISBLANK(H1482), "", I1482-TODAY())</f>
        <v/>
      </c>
      <c r="K1482" s="24" t="str">
        <f aca="false" t="array" ref="K1482:K1482">IF(A1482&lt;&gt;"",IF(COUNTIF(A$996:A1483,"&lt;&gt;")=0,COUNTA(B$996:B1482),IFERROR(MATCH(TRUE(),INDEX((A$996:A1483&lt;&gt;""),0),0),COUNTA(B$996:B1482))),"")</f>
        <v/>
      </c>
      <c r="L1482" s="27"/>
    </row>
    <row r="1483" customFormat="false" ht="13.8" hidden="false" customHeight="false" outlineLevel="0" collapsed="false">
      <c r="A1483" s="16"/>
      <c r="B1483" s="16"/>
      <c r="C1483" s="26"/>
      <c r="D1483" s="26"/>
      <c r="E1483" s="16"/>
      <c r="F1483" s="18"/>
      <c r="G1483" s="19" t="str">
        <f aca="true">IF(F1483="", "", DATEDIF(F1483, TODAY(), "Y"))</f>
        <v/>
      </c>
      <c r="H1483" s="18"/>
      <c r="I1483" s="18"/>
      <c r="J1483" s="24" t="str">
        <f aca="true">IF(ISBLANK(H1483), "", I1483-TODAY())</f>
        <v/>
      </c>
      <c r="K1483" s="24" t="str">
        <f aca="false" t="array" ref="K1483:K1483">IF(A1483&lt;&gt;"",IF(COUNTIF(A$996:A1484,"&lt;&gt;")=0,COUNTA(B$996:B1483),IFERROR(MATCH(TRUE(),INDEX((A$996:A1484&lt;&gt;""),0),0),COUNTA(B$996:B1483))),"")</f>
        <v/>
      </c>
      <c r="L1483" s="27"/>
    </row>
    <row r="1484" customFormat="false" ht="13.8" hidden="false" customHeight="false" outlineLevel="0" collapsed="false">
      <c r="A1484" s="16"/>
      <c r="B1484" s="16"/>
      <c r="C1484" s="26"/>
      <c r="D1484" s="26"/>
      <c r="E1484" s="16"/>
      <c r="F1484" s="18"/>
      <c r="G1484" s="19" t="str">
        <f aca="true">IF(F1484="", "", DATEDIF(F1484, TODAY(), "Y"))</f>
        <v/>
      </c>
      <c r="H1484" s="18"/>
      <c r="I1484" s="18"/>
      <c r="J1484" s="24" t="str">
        <f aca="true">IF(ISBLANK(H1484), "", I1484-TODAY())</f>
        <v/>
      </c>
      <c r="K1484" s="24" t="str">
        <f aca="false" t="array" ref="K1484:K1484">IF(A1484&lt;&gt;"",IF(COUNTIF(A$996:A1485,"&lt;&gt;")=0,COUNTA(B$996:B1484),IFERROR(MATCH(TRUE(),INDEX((A$996:A1485&lt;&gt;""),0),0),COUNTA(B$996:B1484))),"")</f>
        <v/>
      </c>
      <c r="L1484" s="27"/>
    </row>
    <row r="1485" customFormat="false" ht="13.8" hidden="false" customHeight="false" outlineLevel="0" collapsed="false">
      <c r="A1485" s="16"/>
      <c r="B1485" s="16"/>
      <c r="C1485" s="26"/>
      <c r="D1485" s="26"/>
      <c r="E1485" s="16"/>
      <c r="F1485" s="18"/>
      <c r="G1485" s="19" t="str">
        <f aca="true">IF(F1485="", "", DATEDIF(F1485, TODAY(), "Y"))</f>
        <v/>
      </c>
      <c r="H1485" s="18"/>
      <c r="I1485" s="18"/>
      <c r="J1485" s="24" t="str">
        <f aca="true">IF(ISBLANK(H1485), "", I1485-TODAY())</f>
        <v/>
      </c>
      <c r="K1485" s="24" t="str">
        <f aca="false" t="array" ref="K1485:K1485">IF(A1485&lt;&gt;"",IF(COUNTIF(A$996:A1486,"&lt;&gt;")=0,COUNTA(B$996:B1485),IFERROR(MATCH(TRUE(),INDEX((A$996:A1486&lt;&gt;""),0),0),COUNTA(B$996:B1485))),"")</f>
        <v/>
      </c>
      <c r="L1485" s="27"/>
    </row>
    <row r="1486" customFormat="false" ht="13.8" hidden="false" customHeight="false" outlineLevel="0" collapsed="false">
      <c r="A1486" s="16"/>
      <c r="B1486" s="16"/>
      <c r="C1486" s="26"/>
      <c r="D1486" s="26"/>
      <c r="E1486" s="16"/>
      <c r="F1486" s="18"/>
      <c r="G1486" s="19" t="str">
        <f aca="true">IF(F1486="", "", DATEDIF(F1486, TODAY(), "Y"))</f>
        <v/>
      </c>
      <c r="H1486" s="18"/>
      <c r="I1486" s="18"/>
      <c r="J1486" s="24" t="str">
        <f aca="true">IF(ISBLANK(H1486), "", I1486-TODAY())</f>
        <v/>
      </c>
      <c r="K1486" s="24" t="str">
        <f aca="false" t="array" ref="K1486:K1486">IF(A1486&lt;&gt;"",IF(COUNTIF(A$996:A1487,"&lt;&gt;")=0,COUNTA(B$996:B1486),IFERROR(MATCH(TRUE(),INDEX((A$996:A1487&lt;&gt;""),0),0),COUNTA(B$996:B1486))),"")</f>
        <v/>
      </c>
      <c r="L1486" s="27"/>
    </row>
    <row r="1487" customFormat="false" ht="13.8" hidden="false" customHeight="false" outlineLevel="0" collapsed="false">
      <c r="A1487" s="16"/>
      <c r="B1487" s="16"/>
      <c r="C1487" s="26"/>
      <c r="D1487" s="26"/>
      <c r="E1487" s="16"/>
      <c r="F1487" s="18"/>
      <c r="G1487" s="19" t="str">
        <f aca="true">IF(F1487="", "", DATEDIF(F1487, TODAY(), "Y"))</f>
        <v/>
      </c>
      <c r="H1487" s="18"/>
      <c r="I1487" s="18"/>
      <c r="J1487" s="24" t="str">
        <f aca="true">IF(ISBLANK(H1487), "", I1487-TODAY())</f>
        <v/>
      </c>
      <c r="K1487" s="24" t="str">
        <f aca="false" t="array" ref="K1487:K1487">IF(A1487&lt;&gt;"",IF(COUNTIF(A$996:A1488,"&lt;&gt;")=0,COUNTA(B$996:B1487),IFERROR(MATCH(TRUE(),INDEX((A$996:A1488&lt;&gt;""),0),0),COUNTA(B$996:B1487))),"")</f>
        <v/>
      </c>
      <c r="L1487" s="27"/>
    </row>
    <row r="1488" customFormat="false" ht="13.8" hidden="false" customHeight="false" outlineLevel="0" collapsed="false">
      <c r="A1488" s="16"/>
      <c r="B1488" s="16"/>
      <c r="C1488" s="26"/>
      <c r="D1488" s="26"/>
      <c r="E1488" s="16"/>
      <c r="F1488" s="18"/>
      <c r="G1488" s="19" t="str">
        <f aca="true">IF(F1488="", "", DATEDIF(F1488, TODAY(), "Y"))</f>
        <v/>
      </c>
      <c r="H1488" s="18"/>
      <c r="I1488" s="18"/>
      <c r="J1488" s="24" t="str">
        <f aca="true">IF(ISBLANK(H1488), "", I1488-TODAY())</f>
        <v/>
      </c>
      <c r="K1488" s="24" t="str">
        <f aca="false" t="array" ref="K1488:K1488">IF(A1488&lt;&gt;"",IF(COUNTIF(A$996:A1489,"&lt;&gt;")=0,COUNTA(B$996:B1488),IFERROR(MATCH(TRUE(),INDEX((A$996:A1489&lt;&gt;""),0),0),COUNTA(B$996:B1488))),"")</f>
        <v/>
      </c>
      <c r="L1488" s="27"/>
    </row>
    <row r="1489" customFormat="false" ht="13.8" hidden="false" customHeight="false" outlineLevel="0" collapsed="false">
      <c r="A1489" s="16"/>
      <c r="B1489" s="16"/>
      <c r="C1489" s="26"/>
      <c r="D1489" s="26"/>
      <c r="E1489" s="16"/>
      <c r="F1489" s="18"/>
      <c r="G1489" s="19" t="str">
        <f aca="true">IF(F1489="", "", DATEDIF(F1489, TODAY(), "Y"))</f>
        <v/>
      </c>
      <c r="H1489" s="18"/>
      <c r="I1489" s="18"/>
      <c r="J1489" s="24" t="str">
        <f aca="true">IF(ISBLANK(H1489), "", I1489-TODAY())</f>
        <v/>
      </c>
      <c r="K1489" s="24" t="str">
        <f aca="false" t="array" ref="K1489:K1489">IF(A1489&lt;&gt;"",IF(COUNTIF(A$996:A1490,"&lt;&gt;")=0,COUNTA(B$996:B1489),IFERROR(MATCH(TRUE(),INDEX((A$996:A1490&lt;&gt;""),0),0),COUNTA(B$996:B1489))),"")</f>
        <v/>
      </c>
      <c r="L1489" s="27"/>
    </row>
    <row r="1490" customFormat="false" ht="13.8" hidden="false" customHeight="false" outlineLevel="0" collapsed="false">
      <c r="A1490" s="16"/>
      <c r="B1490" s="16"/>
      <c r="C1490" s="26"/>
      <c r="D1490" s="26"/>
      <c r="E1490" s="16"/>
      <c r="F1490" s="18"/>
      <c r="G1490" s="19" t="str">
        <f aca="true">IF(F1490="", "", DATEDIF(F1490, TODAY(), "Y"))</f>
        <v/>
      </c>
      <c r="H1490" s="18"/>
      <c r="I1490" s="18"/>
      <c r="J1490" s="24" t="str">
        <f aca="true">IF(ISBLANK(H1490), "", I1490-TODAY())</f>
        <v/>
      </c>
      <c r="K1490" s="24" t="str">
        <f aca="false" t="array" ref="K1490:K1490">IF(A1490&lt;&gt;"",IF(COUNTIF(A$996:A1491,"&lt;&gt;")=0,COUNTA(B$996:B1490),IFERROR(MATCH(TRUE(),INDEX((A$996:A1491&lt;&gt;""),0),0),COUNTA(B$996:B1490))),"")</f>
        <v/>
      </c>
      <c r="L1490" s="27"/>
    </row>
    <row r="1491" customFormat="false" ht="13.8" hidden="false" customHeight="false" outlineLevel="0" collapsed="false">
      <c r="A1491" s="16"/>
      <c r="B1491" s="16"/>
      <c r="C1491" s="26"/>
      <c r="D1491" s="26"/>
      <c r="E1491" s="16"/>
      <c r="F1491" s="18"/>
      <c r="G1491" s="19" t="str">
        <f aca="true">IF(F1491="", "", DATEDIF(F1491, TODAY(), "Y"))</f>
        <v/>
      </c>
      <c r="H1491" s="18"/>
      <c r="I1491" s="18"/>
      <c r="J1491" s="24" t="str">
        <f aca="true">IF(ISBLANK(H1491), "", I1491-TODAY())</f>
        <v/>
      </c>
      <c r="K1491" s="24" t="str">
        <f aca="false" t="array" ref="K1491:K1491">IF(A1491&lt;&gt;"",IF(COUNTIF(A$996:A1492,"&lt;&gt;")=0,COUNTA(B$996:B1491),IFERROR(MATCH(TRUE(),INDEX((A$996:A1492&lt;&gt;""),0),0),COUNTA(B$996:B1491))),"")</f>
        <v/>
      </c>
      <c r="L1491" s="27"/>
    </row>
    <row r="1492" customFormat="false" ht="13.8" hidden="false" customHeight="false" outlineLevel="0" collapsed="false">
      <c r="A1492" s="16"/>
      <c r="B1492" s="16"/>
      <c r="C1492" s="26"/>
      <c r="D1492" s="26"/>
      <c r="E1492" s="16"/>
      <c r="F1492" s="18"/>
      <c r="G1492" s="19" t="str">
        <f aca="true">IF(F1492="", "", DATEDIF(F1492, TODAY(), "Y"))</f>
        <v/>
      </c>
      <c r="H1492" s="18"/>
      <c r="I1492" s="18"/>
      <c r="J1492" s="24" t="str">
        <f aca="true">IF(ISBLANK(H1492), "", I1492-TODAY())</f>
        <v/>
      </c>
      <c r="K1492" s="24" t="str">
        <f aca="false" t="array" ref="K1492:K1492">IF(A1492&lt;&gt;"",IF(COUNTIF(A$996:A1493,"&lt;&gt;")=0,COUNTA(B$996:B1492),IFERROR(MATCH(TRUE(),INDEX((A$996:A1493&lt;&gt;""),0),0),COUNTA(B$996:B1492))),"")</f>
        <v/>
      </c>
      <c r="L1492" s="27"/>
    </row>
    <row r="1493" customFormat="false" ht="13.8" hidden="false" customHeight="false" outlineLevel="0" collapsed="false">
      <c r="A1493" s="16"/>
      <c r="B1493" s="16"/>
      <c r="C1493" s="26"/>
      <c r="D1493" s="26"/>
      <c r="E1493" s="16"/>
      <c r="F1493" s="18"/>
      <c r="G1493" s="19" t="str">
        <f aca="true">IF(F1493="", "", DATEDIF(F1493, TODAY(), "Y"))</f>
        <v/>
      </c>
      <c r="H1493" s="18"/>
      <c r="I1493" s="18"/>
      <c r="J1493" s="24" t="str">
        <f aca="true">IF(ISBLANK(H1493), "", I1493-TODAY())</f>
        <v/>
      </c>
      <c r="K1493" s="24" t="str">
        <f aca="false" t="array" ref="K1493:K1493">IF(A1493&lt;&gt;"",IF(COUNTIF(A$996:A1494,"&lt;&gt;")=0,COUNTA(B$996:B1493),IFERROR(MATCH(TRUE(),INDEX((A$996:A1494&lt;&gt;""),0),0),COUNTA(B$996:B1493))),"")</f>
        <v/>
      </c>
      <c r="L1493" s="27"/>
    </row>
    <row r="1494" customFormat="false" ht="13.8" hidden="false" customHeight="false" outlineLevel="0" collapsed="false">
      <c r="A1494" s="16"/>
      <c r="B1494" s="16"/>
      <c r="C1494" s="26"/>
      <c r="D1494" s="26"/>
      <c r="E1494" s="16"/>
      <c r="F1494" s="18"/>
      <c r="G1494" s="19" t="str">
        <f aca="true">IF(F1494="", "", DATEDIF(F1494, TODAY(), "Y"))</f>
        <v/>
      </c>
      <c r="H1494" s="18"/>
      <c r="I1494" s="18"/>
      <c r="J1494" s="24" t="str">
        <f aca="true">IF(ISBLANK(H1494), "", I1494-TODAY())</f>
        <v/>
      </c>
      <c r="K1494" s="24" t="str">
        <f aca="false" t="array" ref="K1494:K1494">IF(A1494&lt;&gt;"",IF(COUNTIF(A$996:A1495,"&lt;&gt;")=0,COUNTA(B$996:B1494),IFERROR(MATCH(TRUE(),INDEX((A$996:A1495&lt;&gt;""),0),0),COUNTA(B$996:B1494))),"")</f>
        <v/>
      </c>
      <c r="L1494" s="27"/>
    </row>
    <row r="1495" customFormat="false" ht="13.8" hidden="false" customHeight="false" outlineLevel="0" collapsed="false">
      <c r="A1495" s="16"/>
      <c r="B1495" s="16"/>
      <c r="C1495" s="26"/>
      <c r="D1495" s="26"/>
      <c r="E1495" s="16"/>
      <c r="F1495" s="18"/>
      <c r="G1495" s="19" t="str">
        <f aca="true">IF(F1495="", "", DATEDIF(F1495, TODAY(), "Y"))</f>
        <v/>
      </c>
      <c r="H1495" s="18"/>
      <c r="I1495" s="18"/>
      <c r="J1495" s="24" t="str">
        <f aca="true">IF(ISBLANK(H1495), "", I1495-TODAY())</f>
        <v/>
      </c>
      <c r="K1495" s="24" t="str">
        <f aca="false" t="array" ref="K1495:K1495">IF(A1495&lt;&gt;"",IF(COUNTIF(A$996:A1496,"&lt;&gt;")=0,COUNTA(B$996:B1495),IFERROR(MATCH(TRUE(),INDEX((A$996:A1496&lt;&gt;""),0),0),COUNTA(B$996:B1495))),"")</f>
        <v/>
      </c>
      <c r="L1495" s="27"/>
    </row>
    <row r="1496" customFormat="false" ht="13.8" hidden="false" customHeight="false" outlineLevel="0" collapsed="false">
      <c r="A1496" s="16"/>
      <c r="B1496" s="16"/>
      <c r="C1496" s="26"/>
      <c r="D1496" s="26"/>
      <c r="E1496" s="16"/>
      <c r="F1496" s="18"/>
      <c r="G1496" s="19" t="str">
        <f aca="true">IF(F1496="", "", DATEDIF(F1496, TODAY(), "Y"))</f>
        <v/>
      </c>
      <c r="H1496" s="18"/>
      <c r="I1496" s="18"/>
      <c r="J1496" s="24" t="str">
        <f aca="true">IF(ISBLANK(H1496), "", I1496-TODAY())</f>
        <v/>
      </c>
      <c r="K1496" s="24" t="str">
        <f aca="false" t="array" ref="K1496:K1496">IF(A1496&lt;&gt;"",IF(COUNTIF(A$996:A1497,"&lt;&gt;")=0,COUNTA(B$996:B1496),IFERROR(MATCH(TRUE(),INDEX((A$996:A1497&lt;&gt;""),0),0),COUNTA(B$996:B1496))),"")</f>
        <v/>
      </c>
      <c r="L1496" s="27"/>
    </row>
    <row r="1497" customFormat="false" ht="13.8" hidden="false" customHeight="false" outlineLevel="0" collapsed="false">
      <c r="A1497" s="16"/>
      <c r="B1497" s="16"/>
      <c r="C1497" s="26"/>
      <c r="D1497" s="26"/>
      <c r="E1497" s="16"/>
      <c r="F1497" s="18"/>
      <c r="G1497" s="19" t="str">
        <f aca="true">IF(F1497="", "", DATEDIF(F1497, TODAY(), "Y"))</f>
        <v/>
      </c>
      <c r="H1497" s="18"/>
      <c r="I1497" s="18"/>
      <c r="J1497" s="24" t="str">
        <f aca="true">IF(ISBLANK(H1497), "", I1497-TODAY())</f>
        <v/>
      </c>
      <c r="K1497" s="24" t="str">
        <f aca="false" t="array" ref="K1497:K1497">IF(A1497&lt;&gt;"",IF(COUNTIF(A$996:A1498,"&lt;&gt;")=0,COUNTA(B$996:B1497),IFERROR(MATCH(TRUE(),INDEX((A$996:A1498&lt;&gt;""),0),0),COUNTA(B$996:B1497))),"")</f>
        <v/>
      </c>
      <c r="L1497" s="27"/>
    </row>
    <row r="1498" customFormat="false" ht="13.8" hidden="false" customHeight="false" outlineLevel="0" collapsed="false">
      <c r="A1498" s="16"/>
      <c r="B1498" s="16"/>
      <c r="C1498" s="26"/>
      <c r="D1498" s="26"/>
      <c r="E1498" s="16"/>
      <c r="F1498" s="18"/>
      <c r="G1498" s="19" t="str">
        <f aca="true">IF(F1498="", "", DATEDIF(F1498, TODAY(), "Y"))</f>
        <v/>
      </c>
      <c r="H1498" s="18"/>
      <c r="I1498" s="18"/>
      <c r="J1498" s="24" t="str">
        <f aca="true">IF(ISBLANK(H1498), "", I1498-TODAY())</f>
        <v/>
      </c>
      <c r="K1498" s="24" t="str">
        <f aca="false" t="array" ref="K1498:K1498">IF(A1498&lt;&gt;"",IF(COUNTIF(A$996:A1499,"&lt;&gt;")=0,COUNTA(B$996:B1498),IFERROR(MATCH(TRUE(),INDEX((A$996:A1499&lt;&gt;""),0),0),COUNTA(B$996:B1498))),"")</f>
        <v/>
      </c>
      <c r="L1498" s="27"/>
    </row>
    <row r="1499" customFormat="false" ht="13.8" hidden="false" customHeight="false" outlineLevel="0" collapsed="false">
      <c r="A1499" s="16"/>
      <c r="B1499" s="16"/>
      <c r="C1499" s="26"/>
      <c r="D1499" s="26"/>
      <c r="E1499" s="16"/>
      <c r="F1499" s="18"/>
      <c r="G1499" s="19" t="str">
        <f aca="true">IF(F1499="", "", DATEDIF(F1499, TODAY(), "Y"))</f>
        <v/>
      </c>
      <c r="H1499" s="18"/>
      <c r="I1499" s="18"/>
      <c r="J1499" s="24" t="str">
        <f aca="true">IF(ISBLANK(H1499), "", I1499-TODAY())</f>
        <v/>
      </c>
      <c r="K1499" s="24" t="str">
        <f aca="false" t="array" ref="K1499:K1499">IF(A1499&lt;&gt;"",IF(COUNTIF(A$996:A1500,"&lt;&gt;")=0,COUNTA(B$996:B1499),IFERROR(MATCH(TRUE(),INDEX((A$996:A1500&lt;&gt;""),0),0),COUNTA(B$996:B1499))),"")</f>
        <v/>
      </c>
      <c r="L1499" s="27"/>
    </row>
    <row r="1500" customFormat="false" ht="13.8" hidden="false" customHeight="false" outlineLevel="0" collapsed="false">
      <c r="A1500" s="16"/>
      <c r="B1500" s="16"/>
      <c r="C1500" s="26"/>
      <c r="D1500" s="26"/>
      <c r="E1500" s="16"/>
      <c r="F1500" s="18"/>
      <c r="G1500" s="19" t="str">
        <f aca="true">IF(F1500="", "", DATEDIF(F1500, TODAY(), "Y"))</f>
        <v/>
      </c>
      <c r="H1500" s="18"/>
      <c r="I1500" s="18"/>
      <c r="J1500" s="24" t="str">
        <f aca="true">IF(ISBLANK(H1500), "", I1500-TODAY())</f>
        <v/>
      </c>
      <c r="K1500" s="24" t="str">
        <f aca="false" t="array" ref="K1500:K1500">IF(A1500&lt;&gt;"",IF(COUNTIF(A$996:A1501,"&lt;&gt;")=0,COUNTA(B$996:B1500),IFERROR(MATCH(TRUE(),INDEX((A$996:A1501&lt;&gt;""),0),0),COUNTA(B$996:B1500))),"")</f>
        <v/>
      </c>
      <c r="L1500" s="27"/>
    </row>
    <row r="1501" customFormat="false" ht="13.8" hidden="false" customHeight="false" outlineLevel="0" collapsed="false">
      <c r="A1501" s="16"/>
      <c r="B1501" s="16"/>
      <c r="C1501" s="26"/>
      <c r="D1501" s="26"/>
      <c r="E1501" s="16"/>
      <c r="F1501" s="18"/>
      <c r="G1501" s="19" t="str">
        <f aca="true">IF(F1501="", "", DATEDIF(F1501, TODAY(), "Y"))</f>
        <v/>
      </c>
      <c r="H1501" s="18"/>
      <c r="I1501" s="18"/>
      <c r="J1501" s="24" t="str">
        <f aca="true">IF(ISBLANK(H1501), "", I1501-TODAY())</f>
        <v/>
      </c>
      <c r="K1501" s="24" t="str">
        <f aca="false" t="array" ref="K1501:K1501">IF(A1501&lt;&gt;"",IF(COUNTIF(A$996:A1502,"&lt;&gt;")=0,COUNTA(B$996:B1501),IFERROR(MATCH(TRUE(),INDEX((A$996:A1502&lt;&gt;""),0),0),COUNTA(B$996:B1501))),"")</f>
        <v/>
      </c>
      <c r="L1501" s="27"/>
    </row>
    <row r="1502" customFormat="false" ht="13.8" hidden="false" customHeight="false" outlineLevel="0" collapsed="false">
      <c r="A1502" s="16"/>
      <c r="B1502" s="16"/>
      <c r="C1502" s="26"/>
      <c r="D1502" s="26"/>
      <c r="E1502" s="16"/>
      <c r="F1502" s="18"/>
      <c r="G1502" s="19" t="str">
        <f aca="true">IF(F1502="", "", DATEDIF(F1502, TODAY(), "Y"))</f>
        <v/>
      </c>
      <c r="H1502" s="18"/>
      <c r="I1502" s="18"/>
      <c r="J1502" s="24" t="str">
        <f aca="true">IF(ISBLANK(H1502), "", I1502-TODAY())</f>
        <v/>
      </c>
      <c r="K1502" s="24" t="str">
        <f aca="false" t="array" ref="K1502:K1502">IF(A1502&lt;&gt;"",IF(COUNTIF(A$996:A1503,"&lt;&gt;")=0,COUNTA(B$996:B1502),IFERROR(MATCH(TRUE(),INDEX((A$996:A1503&lt;&gt;""),0),0),COUNTA(B$996:B1502))),"")</f>
        <v/>
      </c>
      <c r="L1502" s="27"/>
    </row>
    <row r="1503" customFormat="false" ht="13.8" hidden="false" customHeight="false" outlineLevel="0" collapsed="false">
      <c r="A1503" s="16"/>
      <c r="B1503" s="16"/>
      <c r="C1503" s="26"/>
      <c r="D1503" s="26"/>
      <c r="E1503" s="16"/>
      <c r="F1503" s="18"/>
      <c r="G1503" s="19" t="str">
        <f aca="true">IF(F1503="", "", DATEDIF(F1503, TODAY(), "Y"))</f>
        <v/>
      </c>
      <c r="H1503" s="18"/>
      <c r="I1503" s="18"/>
      <c r="J1503" s="24" t="str">
        <f aca="true">IF(ISBLANK(H1503), "", I1503-TODAY())</f>
        <v/>
      </c>
      <c r="K1503" s="24" t="str">
        <f aca="false" t="array" ref="K1503:K1503">IF(A1503&lt;&gt;"",IF(COUNTIF(A$996:A1504,"&lt;&gt;")=0,COUNTA(B$996:B1503),IFERROR(MATCH(TRUE(),INDEX((A$996:A1504&lt;&gt;""),0),0),COUNTA(B$996:B1503))),"")</f>
        <v/>
      </c>
      <c r="L1503" s="27"/>
    </row>
    <row r="1504" customFormat="false" ht="13.8" hidden="false" customHeight="false" outlineLevel="0" collapsed="false">
      <c r="A1504" s="16"/>
      <c r="B1504" s="16"/>
      <c r="C1504" s="26"/>
      <c r="D1504" s="26"/>
      <c r="E1504" s="16"/>
      <c r="F1504" s="18"/>
      <c r="G1504" s="19" t="str">
        <f aca="true">IF(F1504="", "", DATEDIF(F1504, TODAY(), "Y"))</f>
        <v/>
      </c>
      <c r="H1504" s="18"/>
      <c r="I1504" s="18"/>
      <c r="J1504" s="24" t="str">
        <f aca="true">IF(ISBLANK(H1504), "", I1504-TODAY())</f>
        <v/>
      </c>
      <c r="K1504" s="24" t="str">
        <f aca="false" t="array" ref="K1504:K1504">IF(A1504&lt;&gt;"",IF(COUNTIF(A$996:A1505,"&lt;&gt;")=0,COUNTA(B$996:B1504),IFERROR(MATCH(TRUE(),INDEX((A$996:A1505&lt;&gt;""),0),0),COUNTA(B$996:B1504))),"")</f>
        <v/>
      </c>
      <c r="L1504" s="27"/>
    </row>
    <row r="1505" customFormat="false" ht="13.8" hidden="false" customHeight="false" outlineLevel="0" collapsed="false">
      <c r="A1505" s="16"/>
      <c r="B1505" s="16"/>
      <c r="C1505" s="26"/>
      <c r="D1505" s="26"/>
      <c r="E1505" s="16"/>
      <c r="F1505" s="18"/>
      <c r="G1505" s="19" t="str">
        <f aca="true">IF(F1505="", "", DATEDIF(F1505, TODAY(), "Y"))</f>
        <v/>
      </c>
      <c r="H1505" s="18"/>
      <c r="I1505" s="18"/>
      <c r="J1505" s="24" t="str">
        <f aca="true">IF(ISBLANK(H1505), "", I1505-TODAY())</f>
        <v/>
      </c>
      <c r="K1505" s="24" t="str">
        <f aca="false" t="array" ref="K1505:K1505">IF(A1505&lt;&gt;"",IF(COUNTIF(A$996:A1506,"&lt;&gt;")=0,COUNTA(B$996:B1505),IFERROR(MATCH(TRUE(),INDEX((A$996:A1506&lt;&gt;""),0),0),COUNTA(B$996:B1505))),"")</f>
        <v/>
      </c>
      <c r="L1505" s="27"/>
    </row>
    <row r="1506" customFormat="false" ht="13.8" hidden="false" customHeight="false" outlineLevel="0" collapsed="false">
      <c r="A1506" s="16"/>
      <c r="B1506" s="16"/>
      <c r="C1506" s="26"/>
      <c r="D1506" s="26"/>
      <c r="E1506" s="16"/>
      <c r="F1506" s="18"/>
      <c r="G1506" s="19" t="str">
        <f aca="true">IF(F1506="", "", DATEDIF(F1506, TODAY(), "Y"))</f>
        <v/>
      </c>
      <c r="H1506" s="18"/>
      <c r="I1506" s="18"/>
      <c r="J1506" s="24" t="str">
        <f aca="true">IF(ISBLANK(H1506), "", I1506-TODAY())</f>
        <v/>
      </c>
      <c r="K1506" s="24" t="str">
        <f aca="false" t="array" ref="K1506:K1506">IF(A1506&lt;&gt;"",IF(COUNTIF(A$996:A1507,"&lt;&gt;")=0,COUNTA(B$996:B1506),IFERROR(MATCH(TRUE(),INDEX((A$996:A1507&lt;&gt;""),0),0),COUNTA(B$996:B1506))),"")</f>
        <v/>
      </c>
      <c r="L1506" s="27"/>
    </row>
    <row r="1507" customFormat="false" ht="13.8" hidden="false" customHeight="false" outlineLevel="0" collapsed="false">
      <c r="A1507" s="16"/>
      <c r="B1507" s="16"/>
      <c r="C1507" s="26"/>
      <c r="D1507" s="26"/>
      <c r="E1507" s="16"/>
      <c r="F1507" s="18"/>
      <c r="G1507" s="19" t="str">
        <f aca="true">IF(F1507="", "", DATEDIF(F1507, TODAY(), "Y"))</f>
        <v/>
      </c>
      <c r="H1507" s="18"/>
      <c r="I1507" s="18"/>
      <c r="J1507" s="24" t="str">
        <f aca="true">IF(ISBLANK(H1507), "", I1507-TODAY())</f>
        <v/>
      </c>
      <c r="K1507" s="24" t="str">
        <f aca="false" t="array" ref="K1507:K1507">IF(A1507&lt;&gt;"",IF(COUNTIF(A$996:A1508,"&lt;&gt;")=0,COUNTA(B$996:B1507),IFERROR(MATCH(TRUE(),INDEX((A$996:A1508&lt;&gt;""),0),0),COUNTA(B$996:B1507))),"")</f>
        <v/>
      </c>
      <c r="L1507" s="27"/>
    </row>
    <row r="1508" customFormat="false" ht="13.8" hidden="false" customHeight="false" outlineLevel="0" collapsed="false">
      <c r="A1508" s="16"/>
      <c r="B1508" s="16"/>
      <c r="C1508" s="26"/>
      <c r="D1508" s="26"/>
      <c r="E1508" s="16"/>
      <c r="F1508" s="18"/>
      <c r="G1508" s="19" t="str">
        <f aca="true">IF(F1508="", "", DATEDIF(F1508, TODAY(), "Y"))</f>
        <v/>
      </c>
      <c r="H1508" s="18"/>
      <c r="I1508" s="18"/>
      <c r="J1508" s="24" t="str">
        <f aca="true">IF(ISBLANK(H1508), "", I1508-TODAY())</f>
        <v/>
      </c>
      <c r="K1508" s="24" t="str">
        <f aca="false" t="array" ref="K1508:K1508">IF(A1508&lt;&gt;"",IF(COUNTIF(A$996:A1509,"&lt;&gt;")=0,COUNTA(B$996:B1508),IFERROR(MATCH(TRUE(),INDEX((A$996:A1509&lt;&gt;""),0),0),COUNTA(B$996:B1508))),"")</f>
        <v/>
      </c>
      <c r="L1508" s="27"/>
    </row>
    <row r="1509" customFormat="false" ht="13.8" hidden="false" customHeight="false" outlineLevel="0" collapsed="false">
      <c r="A1509" s="16"/>
      <c r="B1509" s="16"/>
      <c r="C1509" s="26"/>
      <c r="D1509" s="26"/>
      <c r="E1509" s="16"/>
      <c r="F1509" s="18"/>
      <c r="G1509" s="19" t="str">
        <f aca="true">IF(F1509="", "", DATEDIF(F1509, TODAY(), "Y"))</f>
        <v/>
      </c>
      <c r="H1509" s="18"/>
      <c r="I1509" s="18"/>
      <c r="J1509" s="24" t="str">
        <f aca="true">IF(ISBLANK(H1509), "", I1509-TODAY())</f>
        <v/>
      </c>
      <c r="K1509" s="24" t="str">
        <f aca="false" t="array" ref="K1509:K1509">IF(A1509&lt;&gt;"",IF(COUNTIF(A$996:A1510,"&lt;&gt;")=0,COUNTA(B$996:B1509),IFERROR(MATCH(TRUE(),INDEX((A$996:A1510&lt;&gt;""),0),0),COUNTA(B$996:B1509))),"")</f>
        <v/>
      </c>
      <c r="L1509" s="27"/>
    </row>
    <row r="1510" customFormat="false" ht="13.8" hidden="false" customHeight="false" outlineLevel="0" collapsed="false">
      <c r="A1510" s="16"/>
      <c r="B1510" s="16"/>
      <c r="C1510" s="26"/>
      <c r="D1510" s="26"/>
      <c r="E1510" s="16"/>
      <c r="F1510" s="18"/>
      <c r="G1510" s="19" t="str">
        <f aca="true">IF(F1510="", "", DATEDIF(F1510, TODAY(), "Y"))</f>
        <v/>
      </c>
      <c r="H1510" s="18"/>
      <c r="I1510" s="18"/>
      <c r="J1510" s="24" t="str">
        <f aca="true">IF(ISBLANK(H1510), "", I1510-TODAY())</f>
        <v/>
      </c>
      <c r="K1510" s="24" t="str">
        <f aca="false" t="array" ref="K1510:K1510">IF(A1510&lt;&gt;"",IF(COUNTIF(A$996:A1511,"&lt;&gt;")=0,COUNTA(B$996:B1510),IFERROR(MATCH(TRUE(),INDEX((A$996:A1511&lt;&gt;""),0),0),COUNTA(B$996:B1510))),"")</f>
        <v/>
      </c>
      <c r="L1510" s="27"/>
    </row>
    <row r="1511" customFormat="false" ht="13.8" hidden="false" customHeight="false" outlineLevel="0" collapsed="false">
      <c r="A1511" s="16"/>
      <c r="B1511" s="16"/>
      <c r="C1511" s="26"/>
      <c r="D1511" s="26"/>
      <c r="E1511" s="16"/>
      <c r="F1511" s="18"/>
      <c r="G1511" s="19" t="str">
        <f aca="true">IF(F1511="", "", DATEDIF(F1511, TODAY(), "Y"))</f>
        <v/>
      </c>
      <c r="H1511" s="18"/>
      <c r="I1511" s="18"/>
      <c r="J1511" s="24" t="str">
        <f aca="true">IF(ISBLANK(H1511), "", I1511-TODAY())</f>
        <v/>
      </c>
      <c r="K1511" s="24" t="str">
        <f aca="false" t="array" ref="K1511:K1511">IF(A1511&lt;&gt;"",IF(COUNTIF(A$996:A1512,"&lt;&gt;")=0,COUNTA(B$996:B1511),IFERROR(MATCH(TRUE(),INDEX((A$996:A1512&lt;&gt;""),0),0),COUNTA(B$996:B1511))),"")</f>
        <v/>
      </c>
      <c r="L1511" s="27"/>
    </row>
    <row r="1512" customFormat="false" ht="13.8" hidden="false" customHeight="false" outlineLevel="0" collapsed="false">
      <c r="A1512" s="16"/>
      <c r="B1512" s="16"/>
      <c r="C1512" s="26"/>
      <c r="D1512" s="26"/>
      <c r="E1512" s="16"/>
      <c r="F1512" s="18"/>
      <c r="G1512" s="19" t="str">
        <f aca="true">IF(F1512="", "", DATEDIF(F1512, TODAY(), "Y"))</f>
        <v/>
      </c>
      <c r="H1512" s="18"/>
      <c r="I1512" s="18"/>
      <c r="J1512" s="24" t="str">
        <f aca="true">IF(ISBLANK(H1512), "", I1512-TODAY())</f>
        <v/>
      </c>
      <c r="K1512" s="24" t="str">
        <f aca="false" t="array" ref="K1512:K1512">IF(A1512&lt;&gt;"",IF(COUNTIF(A$996:A1513,"&lt;&gt;")=0,COUNTA(B$996:B1512),IFERROR(MATCH(TRUE(),INDEX((A$996:A1513&lt;&gt;""),0),0),COUNTA(B$996:B1512))),"")</f>
        <v/>
      </c>
      <c r="L1512" s="27"/>
    </row>
    <row r="1513" customFormat="false" ht="13.8" hidden="false" customHeight="false" outlineLevel="0" collapsed="false">
      <c r="A1513" s="16"/>
      <c r="B1513" s="16"/>
      <c r="C1513" s="26"/>
      <c r="D1513" s="26"/>
      <c r="E1513" s="16"/>
      <c r="F1513" s="18"/>
      <c r="G1513" s="19" t="str">
        <f aca="true">IF(F1513="", "", DATEDIF(F1513, TODAY(), "Y"))</f>
        <v/>
      </c>
      <c r="H1513" s="18"/>
      <c r="I1513" s="18"/>
      <c r="J1513" s="24" t="str">
        <f aca="true">IF(ISBLANK(H1513), "", I1513-TODAY())</f>
        <v/>
      </c>
      <c r="K1513" s="24" t="str">
        <f aca="false" t="array" ref="K1513:K1513">IF(A1513&lt;&gt;"",IF(COUNTIF(A$996:A1514,"&lt;&gt;")=0,COUNTA(B$996:B1513),IFERROR(MATCH(TRUE(),INDEX((A$996:A1514&lt;&gt;""),0),0),COUNTA(B$996:B1513))),"")</f>
        <v/>
      </c>
      <c r="L1513" s="27"/>
    </row>
    <row r="1514" customFormat="false" ht="13.8" hidden="false" customHeight="false" outlineLevel="0" collapsed="false">
      <c r="A1514" s="16"/>
      <c r="B1514" s="16"/>
      <c r="C1514" s="26"/>
      <c r="D1514" s="26"/>
      <c r="E1514" s="16"/>
      <c r="F1514" s="18"/>
      <c r="G1514" s="19" t="str">
        <f aca="true">IF(F1514="", "", DATEDIF(F1514, TODAY(), "Y"))</f>
        <v/>
      </c>
      <c r="H1514" s="18"/>
      <c r="I1514" s="18"/>
      <c r="J1514" s="24" t="str">
        <f aca="true">IF(ISBLANK(H1514), "", I1514-TODAY())</f>
        <v/>
      </c>
      <c r="K1514" s="24" t="str">
        <f aca="false" t="array" ref="K1514:K1514">IF(A1514&lt;&gt;"",IF(COUNTIF(A$996:A1515,"&lt;&gt;")=0,COUNTA(B$996:B1514),IFERROR(MATCH(TRUE(),INDEX((A$996:A1515&lt;&gt;""),0),0),COUNTA(B$996:B1514))),"")</f>
        <v/>
      </c>
      <c r="L1514" s="27"/>
    </row>
    <row r="1515" customFormat="false" ht="13.8" hidden="false" customHeight="false" outlineLevel="0" collapsed="false">
      <c r="A1515" s="16"/>
      <c r="B1515" s="16"/>
      <c r="C1515" s="26"/>
      <c r="D1515" s="26"/>
      <c r="E1515" s="16"/>
      <c r="F1515" s="18"/>
      <c r="G1515" s="19" t="str">
        <f aca="true">IF(F1515="", "", DATEDIF(F1515, TODAY(), "Y"))</f>
        <v/>
      </c>
      <c r="H1515" s="18"/>
      <c r="I1515" s="18"/>
      <c r="J1515" s="24" t="str">
        <f aca="true">IF(ISBLANK(H1515), "", I1515-TODAY())</f>
        <v/>
      </c>
      <c r="K1515" s="24" t="str">
        <f aca="false" t="array" ref="K1515:K1515">IF(A1515&lt;&gt;"",IF(COUNTIF(A$996:A1516,"&lt;&gt;")=0,COUNTA(B$996:B1515),IFERROR(MATCH(TRUE(),INDEX((A$996:A1516&lt;&gt;""),0),0),COUNTA(B$996:B1515))),"")</f>
        <v/>
      </c>
      <c r="L1515" s="27"/>
    </row>
    <row r="1516" customFormat="false" ht="13.8" hidden="false" customHeight="false" outlineLevel="0" collapsed="false">
      <c r="A1516" s="16"/>
      <c r="B1516" s="16"/>
      <c r="C1516" s="26"/>
      <c r="D1516" s="26"/>
      <c r="E1516" s="16"/>
      <c r="F1516" s="18"/>
      <c r="G1516" s="19" t="str">
        <f aca="true">IF(F1516="", "", DATEDIF(F1516, TODAY(), "Y"))</f>
        <v/>
      </c>
      <c r="H1516" s="18"/>
      <c r="I1516" s="18"/>
      <c r="J1516" s="24" t="str">
        <f aca="true">IF(ISBLANK(H1516), "", I1516-TODAY())</f>
        <v/>
      </c>
      <c r="K1516" s="24" t="str">
        <f aca="false" t="array" ref="K1516:K1516">IF(A1516&lt;&gt;"",IF(COUNTIF(A$996:A1517,"&lt;&gt;")=0,COUNTA(B$996:B1516),IFERROR(MATCH(TRUE(),INDEX((A$996:A1517&lt;&gt;""),0),0),COUNTA(B$996:B1516))),"")</f>
        <v/>
      </c>
      <c r="L1516" s="27"/>
    </row>
    <row r="1517" customFormat="false" ht="13.8" hidden="false" customHeight="false" outlineLevel="0" collapsed="false">
      <c r="A1517" s="16"/>
      <c r="B1517" s="16"/>
      <c r="C1517" s="26"/>
      <c r="D1517" s="26"/>
      <c r="E1517" s="16"/>
      <c r="F1517" s="18"/>
      <c r="G1517" s="19" t="str">
        <f aca="true">IF(F1517="", "", DATEDIF(F1517, TODAY(), "Y"))</f>
        <v/>
      </c>
      <c r="H1517" s="18"/>
      <c r="I1517" s="18"/>
      <c r="J1517" s="24" t="str">
        <f aca="true">IF(ISBLANK(H1517), "", I1517-TODAY())</f>
        <v/>
      </c>
      <c r="K1517" s="24" t="str">
        <f aca="false" t="array" ref="K1517:K1517">IF(A1517&lt;&gt;"",IF(COUNTIF(A$996:A1518,"&lt;&gt;")=0,COUNTA(B$996:B1517),IFERROR(MATCH(TRUE(),INDEX((A$996:A1518&lt;&gt;""),0),0),COUNTA(B$996:B1517))),"")</f>
        <v/>
      </c>
      <c r="L1517" s="27"/>
    </row>
    <row r="1518" customFormat="false" ht="13.8" hidden="false" customHeight="false" outlineLevel="0" collapsed="false">
      <c r="A1518" s="16"/>
      <c r="B1518" s="16"/>
      <c r="C1518" s="26"/>
      <c r="D1518" s="26"/>
      <c r="E1518" s="16"/>
      <c r="F1518" s="18"/>
      <c r="G1518" s="19" t="str">
        <f aca="true">IF(F1518="", "", DATEDIF(F1518, TODAY(), "Y"))</f>
        <v/>
      </c>
      <c r="H1518" s="18"/>
      <c r="I1518" s="18"/>
      <c r="J1518" s="24" t="str">
        <f aca="true">IF(ISBLANK(H1518), "", I1518-TODAY())</f>
        <v/>
      </c>
      <c r="K1518" s="24" t="str">
        <f aca="false" t="array" ref="K1518:K1518">IF(A1518&lt;&gt;"",IF(COUNTIF(A$996:A1519,"&lt;&gt;")=0,COUNTA(B$996:B1518),IFERROR(MATCH(TRUE(),INDEX((A$996:A1519&lt;&gt;""),0),0),COUNTA(B$996:B1518))),"")</f>
        <v/>
      </c>
      <c r="L1518" s="27"/>
    </row>
    <row r="1519" customFormat="false" ht="13.8" hidden="false" customHeight="false" outlineLevel="0" collapsed="false">
      <c r="A1519" s="16"/>
      <c r="B1519" s="16"/>
      <c r="C1519" s="26"/>
      <c r="D1519" s="26"/>
      <c r="E1519" s="16"/>
      <c r="F1519" s="18"/>
      <c r="G1519" s="19" t="str">
        <f aca="true">IF(F1519="", "", DATEDIF(F1519, TODAY(), "Y"))</f>
        <v/>
      </c>
      <c r="H1519" s="18"/>
      <c r="I1519" s="18"/>
      <c r="J1519" s="24" t="str">
        <f aca="true">IF(ISBLANK(H1519), "", I1519-TODAY())</f>
        <v/>
      </c>
      <c r="K1519" s="24" t="str">
        <f aca="false" t="array" ref="K1519:K1519">IF(A1519&lt;&gt;"",IF(COUNTIF(A$996:A1520,"&lt;&gt;")=0,COUNTA(B$996:B1519),IFERROR(MATCH(TRUE(),INDEX((A$996:A1520&lt;&gt;""),0),0),COUNTA(B$996:B1519))),"")</f>
        <v/>
      </c>
      <c r="L1519" s="27"/>
    </row>
    <row r="1520" customFormat="false" ht="13.8" hidden="false" customHeight="false" outlineLevel="0" collapsed="false">
      <c r="A1520" s="16"/>
      <c r="B1520" s="16"/>
      <c r="C1520" s="26"/>
      <c r="D1520" s="26"/>
      <c r="E1520" s="16"/>
      <c r="F1520" s="18"/>
      <c r="G1520" s="19" t="str">
        <f aca="true">IF(F1520="", "", DATEDIF(F1520, TODAY(), "Y"))</f>
        <v/>
      </c>
      <c r="H1520" s="18"/>
      <c r="I1520" s="18"/>
      <c r="J1520" s="24" t="str">
        <f aca="true">IF(ISBLANK(H1520), "", I1520-TODAY())</f>
        <v/>
      </c>
      <c r="K1520" s="24" t="str">
        <f aca="false" t="array" ref="K1520:K1520">IF(A1520&lt;&gt;"",IF(COUNTIF(A$996:A1521,"&lt;&gt;")=0,COUNTA(B$996:B1520),IFERROR(MATCH(TRUE(),INDEX((A$996:A1521&lt;&gt;""),0),0),COUNTA(B$996:B1520))),"")</f>
        <v/>
      </c>
      <c r="L1520" s="27"/>
    </row>
    <row r="1521" customFormat="false" ht="13.8" hidden="false" customHeight="false" outlineLevel="0" collapsed="false">
      <c r="A1521" s="16"/>
      <c r="B1521" s="16"/>
      <c r="C1521" s="26"/>
      <c r="D1521" s="26"/>
      <c r="E1521" s="16"/>
      <c r="F1521" s="18"/>
      <c r="G1521" s="19" t="str">
        <f aca="true">IF(F1521="", "", DATEDIF(F1521, TODAY(), "Y"))</f>
        <v/>
      </c>
      <c r="H1521" s="18"/>
      <c r="I1521" s="18"/>
      <c r="J1521" s="24" t="str">
        <f aca="true">IF(ISBLANK(H1521), "", I1521-TODAY())</f>
        <v/>
      </c>
      <c r="K1521" s="24" t="str">
        <f aca="false" t="array" ref="K1521:K1521">IF(A1521&lt;&gt;"",IF(COUNTIF(A$996:A1522,"&lt;&gt;")=0,COUNTA(B$996:B1521),IFERROR(MATCH(TRUE(),INDEX((A$996:A1522&lt;&gt;""),0),0),COUNTA(B$996:B1521))),"")</f>
        <v/>
      </c>
      <c r="L1521" s="27"/>
    </row>
    <row r="1522" customFormat="false" ht="13.8" hidden="false" customHeight="false" outlineLevel="0" collapsed="false">
      <c r="A1522" s="16"/>
      <c r="B1522" s="16"/>
      <c r="C1522" s="26"/>
      <c r="D1522" s="26"/>
      <c r="E1522" s="16"/>
      <c r="F1522" s="18"/>
      <c r="G1522" s="19" t="str">
        <f aca="true">IF(F1522="", "", DATEDIF(F1522, TODAY(), "Y"))</f>
        <v/>
      </c>
      <c r="H1522" s="18"/>
      <c r="I1522" s="18"/>
      <c r="J1522" s="24" t="str">
        <f aca="true">IF(ISBLANK(H1522), "", I1522-TODAY())</f>
        <v/>
      </c>
      <c r="K1522" s="24" t="str">
        <f aca="false" t="array" ref="K1522:K1522">IF(A1522&lt;&gt;"",IF(COUNTIF(A$996:A1523,"&lt;&gt;")=0,COUNTA(B$996:B1522),IFERROR(MATCH(TRUE(),INDEX((A$996:A1523&lt;&gt;""),0),0),COUNTA(B$996:B1522))),"")</f>
        <v/>
      </c>
      <c r="L1522" s="27"/>
    </row>
    <row r="1523" customFormat="false" ht="13.8" hidden="false" customHeight="false" outlineLevel="0" collapsed="false">
      <c r="A1523" s="16"/>
      <c r="B1523" s="16"/>
      <c r="C1523" s="26"/>
      <c r="D1523" s="26"/>
      <c r="E1523" s="16"/>
      <c r="F1523" s="18"/>
      <c r="G1523" s="19" t="str">
        <f aca="true">IF(F1523="", "", DATEDIF(F1523, TODAY(), "Y"))</f>
        <v/>
      </c>
      <c r="H1523" s="18"/>
      <c r="I1523" s="18"/>
      <c r="J1523" s="24" t="str">
        <f aca="true">IF(ISBLANK(H1523), "", I1523-TODAY())</f>
        <v/>
      </c>
      <c r="K1523" s="24" t="str">
        <f aca="false" t="array" ref="K1523:K1523">IF(A1523&lt;&gt;"",IF(COUNTIF(A$996:A1524,"&lt;&gt;")=0,COUNTA(B$996:B1523),IFERROR(MATCH(TRUE(),INDEX((A$996:A1524&lt;&gt;""),0),0),COUNTA(B$996:B1523))),"")</f>
        <v/>
      </c>
      <c r="L1523" s="27"/>
    </row>
    <row r="1524" customFormat="false" ht="13.8" hidden="false" customHeight="false" outlineLevel="0" collapsed="false">
      <c r="A1524" s="16"/>
      <c r="B1524" s="16"/>
      <c r="C1524" s="26"/>
      <c r="D1524" s="26"/>
      <c r="E1524" s="16"/>
      <c r="F1524" s="18"/>
      <c r="G1524" s="19" t="str">
        <f aca="true">IF(F1524="", "", DATEDIF(F1524, TODAY(), "Y"))</f>
        <v/>
      </c>
      <c r="H1524" s="18"/>
      <c r="I1524" s="18"/>
      <c r="J1524" s="24" t="str">
        <f aca="true">IF(ISBLANK(H1524), "", I1524-TODAY())</f>
        <v/>
      </c>
      <c r="K1524" s="24" t="str">
        <f aca="false" t="array" ref="K1524:K1524">IF(A1524&lt;&gt;"",IF(COUNTIF(A$996:A1525,"&lt;&gt;")=0,COUNTA(B$996:B1524),IFERROR(MATCH(TRUE(),INDEX((A$996:A1525&lt;&gt;""),0),0),COUNTA(B$996:B1524))),"")</f>
        <v/>
      </c>
      <c r="L1524" s="27"/>
    </row>
    <row r="1525" customFormat="false" ht="13.8" hidden="false" customHeight="false" outlineLevel="0" collapsed="false">
      <c r="A1525" s="16"/>
      <c r="B1525" s="16"/>
      <c r="C1525" s="26"/>
      <c r="D1525" s="26"/>
      <c r="E1525" s="16"/>
      <c r="F1525" s="18"/>
      <c r="G1525" s="19" t="str">
        <f aca="true">IF(F1525="", "", DATEDIF(F1525, TODAY(), "Y"))</f>
        <v/>
      </c>
      <c r="H1525" s="18"/>
      <c r="I1525" s="18"/>
      <c r="J1525" s="24" t="str">
        <f aca="true">IF(ISBLANK(H1525), "", I1525-TODAY())</f>
        <v/>
      </c>
      <c r="K1525" s="24" t="str">
        <f aca="false" t="array" ref="K1525:K1525">IF(A1525&lt;&gt;"",IF(COUNTIF(A$996:A1526,"&lt;&gt;")=0,COUNTA(B$996:B1525),IFERROR(MATCH(TRUE(),INDEX((A$996:A1526&lt;&gt;""),0),0),COUNTA(B$996:B1525))),"")</f>
        <v/>
      </c>
      <c r="L1525" s="27"/>
    </row>
    <row r="1526" customFormat="false" ht="13.8" hidden="false" customHeight="false" outlineLevel="0" collapsed="false">
      <c r="A1526" s="16"/>
      <c r="B1526" s="16"/>
      <c r="C1526" s="26"/>
      <c r="D1526" s="26"/>
      <c r="E1526" s="16"/>
      <c r="F1526" s="18"/>
      <c r="G1526" s="19" t="str">
        <f aca="true">IF(F1526="", "", DATEDIF(F1526, TODAY(), "Y"))</f>
        <v/>
      </c>
      <c r="H1526" s="18"/>
      <c r="I1526" s="18"/>
      <c r="J1526" s="24" t="str">
        <f aca="true">IF(ISBLANK(H1526), "", I1526-TODAY())</f>
        <v/>
      </c>
      <c r="K1526" s="24" t="str">
        <f aca="false" t="array" ref="K1526:K1526">IF(A1526&lt;&gt;"",IF(COUNTIF(A$996:A1527,"&lt;&gt;")=0,COUNTA(B$996:B1526),IFERROR(MATCH(TRUE(),INDEX((A$996:A1527&lt;&gt;""),0),0),COUNTA(B$996:B1526))),"")</f>
        <v/>
      </c>
      <c r="L1526" s="27"/>
    </row>
    <row r="1527" customFormat="false" ht="13.8" hidden="false" customHeight="false" outlineLevel="0" collapsed="false">
      <c r="A1527" s="16"/>
      <c r="B1527" s="16"/>
      <c r="C1527" s="26"/>
      <c r="D1527" s="26"/>
      <c r="E1527" s="16"/>
      <c r="F1527" s="18"/>
      <c r="G1527" s="19" t="str">
        <f aca="true">IF(F1527="", "", DATEDIF(F1527, TODAY(), "Y"))</f>
        <v/>
      </c>
      <c r="H1527" s="18"/>
      <c r="I1527" s="18"/>
      <c r="J1527" s="24" t="str">
        <f aca="true">IF(ISBLANK(H1527), "", I1527-TODAY())</f>
        <v/>
      </c>
      <c r="K1527" s="24" t="str">
        <f aca="false" t="array" ref="K1527:K1527">IF(A1527&lt;&gt;"",IF(COUNTIF(A$996:A1528,"&lt;&gt;")=0,COUNTA(B$996:B1527),IFERROR(MATCH(TRUE(),INDEX((A$996:A1528&lt;&gt;""),0),0),COUNTA(B$996:B1527))),"")</f>
        <v/>
      </c>
      <c r="L1527" s="27"/>
    </row>
    <row r="1528" customFormat="false" ht="13.8" hidden="false" customHeight="false" outlineLevel="0" collapsed="false">
      <c r="A1528" s="16"/>
      <c r="B1528" s="16"/>
      <c r="C1528" s="26"/>
      <c r="D1528" s="26"/>
      <c r="E1528" s="16"/>
      <c r="F1528" s="18"/>
      <c r="G1528" s="19" t="str">
        <f aca="true">IF(F1528="", "", DATEDIF(F1528, TODAY(), "Y"))</f>
        <v/>
      </c>
      <c r="H1528" s="18"/>
      <c r="I1528" s="18"/>
      <c r="J1528" s="24" t="str">
        <f aca="true">IF(ISBLANK(H1528), "", I1528-TODAY())</f>
        <v/>
      </c>
      <c r="K1528" s="24" t="str">
        <f aca="false" t="array" ref="K1528:K1528">IF(A1528&lt;&gt;"",IF(COUNTIF(A$996:A1529,"&lt;&gt;")=0,COUNTA(B$996:B1528),IFERROR(MATCH(TRUE(),INDEX((A$996:A1529&lt;&gt;""),0),0),COUNTA(B$996:B1528))),"")</f>
        <v/>
      </c>
      <c r="L1528" s="27"/>
    </row>
    <row r="1529" customFormat="false" ht="13.8" hidden="false" customHeight="false" outlineLevel="0" collapsed="false">
      <c r="A1529" s="16"/>
      <c r="B1529" s="16"/>
      <c r="C1529" s="26"/>
      <c r="D1529" s="26"/>
      <c r="E1529" s="16"/>
      <c r="F1529" s="18"/>
      <c r="G1529" s="19" t="str">
        <f aca="true">IF(F1529="", "", DATEDIF(F1529, TODAY(), "Y"))</f>
        <v/>
      </c>
      <c r="H1529" s="18"/>
      <c r="I1529" s="18"/>
      <c r="J1529" s="24" t="str">
        <f aca="true">IF(ISBLANK(H1529), "", I1529-TODAY())</f>
        <v/>
      </c>
      <c r="K1529" s="24" t="str">
        <f aca="false" t="array" ref="K1529:K1529">IF(A1529&lt;&gt;"",IF(COUNTIF(A$996:A1530,"&lt;&gt;")=0,COUNTA(B$996:B1529),IFERROR(MATCH(TRUE(),INDEX((A$996:A1530&lt;&gt;""),0),0),COUNTA(B$996:B1529))),"")</f>
        <v/>
      </c>
      <c r="L1529" s="27"/>
    </row>
    <row r="1530" customFormat="false" ht="13.8" hidden="false" customHeight="false" outlineLevel="0" collapsed="false">
      <c r="A1530" s="16"/>
      <c r="B1530" s="16"/>
      <c r="C1530" s="26"/>
      <c r="D1530" s="26"/>
      <c r="E1530" s="16"/>
      <c r="F1530" s="18"/>
      <c r="G1530" s="19" t="str">
        <f aca="true">IF(F1530="", "", DATEDIF(F1530, TODAY(), "Y"))</f>
        <v/>
      </c>
      <c r="H1530" s="18"/>
      <c r="I1530" s="18"/>
      <c r="J1530" s="24" t="str">
        <f aca="true">IF(ISBLANK(H1530), "", I1530-TODAY())</f>
        <v/>
      </c>
      <c r="K1530" s="24" t="str">
        <f aca="false" t="array" ref="K1530:K1530">IF(A1530&lt;&gt;"",IF(COUNTIF(A$996:A1531,"&lt;&gt;")=0,COUNTA(B$996:B1530),IFERROR(MATCH(TRUE(),INDEX((A$996:A1531&lt;&gt;""),0),0),COUNTA(B$996:B1530))),"")</f>
        <v/>
      </c>
      <c r="L1530" s="27"/>
    </row>
    <row r="1531" customFormat="false" ht="13.8" hidden="false" customHeight="false" outlineLevel="0" collapsed="false">
      <c r="A1531" s="16"/>
      <c r="B1531" s="16"/>
      <c r="C1531" s="26"/>
      <c r="D1531" s="26"/>
      <c r="E1531" s="16"/>
      <c r="F1531" s="18"/>
      <c r="G1531" s="19" t="str">
        <f aca="true">IF(F1531="", "", DATEDIF(F1531, TODAY(), "Y"))</f>
        <v/>
      </c>
      <c r="H1531" s="18"/>
      <c r="I1531" s="18"/>
      <c r="J1531" s="24" t="str">
        <f aca="true">IF(ISBLANK(H1531), "", I1531-TODAY())</f>
        <v/>
      </c>
      <c r="K1531" s="24" t="str">
        <f aca="false" t="array" ref="K1531:K1531">IF(A1531&lt;&gt;"",IF(COUNTIF(A$996:A1532,"&lt;&gt;")=0,COUNTA(B$996:B1531),IFERROR(MATCH(TRUE(),INDEX((A$996:A1532&lt;&gt;""),0),0),COUNTA(B$996:B1531))),"")</f>
        <v/>
      </c>
      <c r="L1531" s="27"/>
    </row>
    <row r="1532" customFormat="false" ht="13.8" hidden="false" customHeight="false" outlineLevel="0" collapsed="false">
      <c r="A1532" s="16"/>
      <c r="B1532" s="16"/>
      <c r="C1532" s="26"/>
      <c r="D1532" s="26"/>
      <c r="E1532" s="16"/>
      <c r="F1532" s="18"/>
      <c r="G1532" s="19" t="str">
        <f aca="true">IF(F1532="", "", DATEDIF(F1532, TODAY(), "Y"))</f>
        <v/>
      </c>
      <c r="H1532" s="18"/>
      <c r="I1532" s="18"/>
      <c r="J1532" s="24" t="str">
        <f aca="true">IF(ISBLANK(H1532), "", I1532-TODAY())</f>
        <v/>
      </c>
      <c r="K1532" s="24" t="str">
        <f aca="false" t="array" ref="K1532:K1532">IF(A1532&lt;&gt;"",IF(COUNTIF(A$996:A1533,"&lt;&gt;")=0,COUNTA(B$996:B1532),IFERROR(MATCH(TRUE(),INDEX((A$996:A1533&lt;&gt;""),0),0),COUNTA(B$996:B1532))),"")</f>
        <v/>
      </c>
      <c r="L1532" s="27"/>
    </row>
    <row r="1533" customFormat="false" ht="13.8" hidden="false" customHeight="false" outlineLevel="0" collapsed="false">
      <c r="A1533" s="16"/>
      <c r="B1533" s="16"/>
      <c r="C1533" s="26"/>
      <c r="D1533" s="26"/>
      <c r="E1533" s="16"/>
      <c r="F1533" s="18"/>
      <c r="G1533" s="19" t="str">
        <f aca="true">IF(F1533="", "", DATEDIF(F1533, TODAY(), "Y"))</f>
        <v/>
      </c>
      <c r="H1533" s="18"/>
      <c r="I1533" s="18"/>
      <c r="J1533" s="24" t="str">
        <f aca="true">IF(ISBLANK(H1533), "", I1533-TODAY())</f>
        <v/>
      </c>
      <c r="K1533" s="24" t="str">
        <f aca="false" t="array" ref="K1533:K1533">IF(A1533&lt;&gt;"",IF(COUNTIF(A$996:A1534,"&lt;&gt;")=0,COUNTA(B$996:B1533),IFERROR(MATCH(TRUE(),INDEX((A$996:A1534&lt;&gt;""),0),0),COUNTA(B$996:B1533))),"")</f>
        <v/>
      </c>
      <c r="L1533" s="27"/>
    </row>
    <row r="1534" customFormat="false" ht="13.8" hidden="false" customHeight="false" outlineLevel="0" collapsed="false">
      <c r="A1534" s="16"/>
      <c r="B1534" s="16"/>
      <c r="C1534" s="26"/>
      <c r="D1534" s="26"/>
      <c r="E1534" s="16"/>
      <c r="F1534" s="18"/>
      <c r="G1534" s="19" t="str">
        <f aca="true">IF(F1534="", "", DATEDIF(F1534, TODAY(), "Y"))</f>
        <v/>
      </c>
      <c r="H1534" s="18"/>
      <c r="I1534" s="18"/>
      <c r="J1534" s="24" t="str">
        <f aca="true">IF(ISBLANK(H1534), "", I1534-TODAY())</f>
        <v/>
      </c>
      <c r="K1534" s="24" t="str">
        <f aca="false" t="array" ref="K1534:K1534">IF(A1534&lt;&gt;"",IF(COUNTIF(A$996:A1535,"&lt;&gt;")=0,COUNTA(B$996:B1534),IFERROR(MATCH(TRUE(),INDEX((A$996:A1535&lt;&gt;""),0),0),COUNTA(B$996:B1534))),"")</f>
        <v/>
      </c>
      <c r="L1534" s="27"/>
    </row>
    <row r="1535" customFormat="false" ht="13.8" hidden="false" customHeight="false" outlineLevel="0" collapsed="false">
      <c r="A1535" s="16"/>
      <c r="B1535" s="16"/>
      <c r="C1535" s="26"/>
      <c r="D1535" s="26"/>
      <c r="E1535" s="16"/>
      <c r="F1535" s="18"/>
      <c r="G1535" s="19" t="str">
        <f aca="true">IF(F1535="", "", DATEDIF(F1535, TODAY(), "Y"))</f>
        <v/>
      </c>
      <c r="H1535" s="18"/>
      <c r="I1535" s="18"/>
      <c r="J1535" s="24" t="str">
        <f aca="true">IF(ISBLANK(H1535), "", I1535-TODAY())</f>
        <v/>
      </c>
      <c r="K1535" s="24" t="str">
        <f aca="false" t="array" ref="K1535:K1535">IF(A1535&lt;&gt;"",IF(COUNTIF(A$996:A1536,"&lt;&gt;")=0,COUNTA(B$996:B1535),IFERROR(MATCH(TRUE(),INDEX((A$996:A1536&lt;&gt;""),0),0),COUNTA(B$996:B1535))),"")</f>
        <v/>
      </c>
      <c r="L1535" s="27"/>
    </row>
    <row r="1536" customFormat="false" ht="13.8" hidden="false" customHeight="false" outlineLevel="0" collapsed="false">
      <c r="A1536" s="16"/>
      <c r="B1536" s="16"/>
      <c r="C1536" s="26"/>
      <c r="D1536" s="26"/>
      <c r="E1536" s="16"/>
      <c r="F1536" s="18"/>
      <c r="G1536" s="19" t="str">
        <f aca="true">IF(F1536="", "", DATEDIF(F1536, TODAY(), "Y"))</f>
        <v/>
      </c>
      <c r="H1536" s="18"/>
      <c r="I1536" s="18"/>
      <c r="J1536" s="24" t="str">
        <f aca="true">IF(ISBLANK(H1536), "", I1536-TODAY())</f>
        <v/>
      </c>
      <c r="K1536" s="24" t="str">
        <f aca="false" t="array" ref="K1536:K1536">IF(A1536&lt;&gt;"",IF(COUNTIF(A$996:A1537,"&lt;&gt;")=0,COUNTA(B$996:B1536),IFERROR(MATCH(TRUE(),INDEX((A$996:A1537&lt;&gt;""),0),0),COUNTA(B$996:B1536))),"")</f>
        <v/>
      </c>
      <c r="L1536" s="27"/>
    </row>
    <row r="1537" customFormat="false" ht="13.8" hidden="false" customHeight="false" outlineLevel="0" collapsed="false">
      <c r="A1537" s="16"/>
      <c r="B1537" s="16"/>
      <c r="C1537" s="26"/>
      <c r="D1537" s="26"/>
      <c r="E1537" s="16"/>
      <c r="F1537" s="18"/>
      <c r="G1537" s="19" t="str">
        <f aca="true">IF(F1537="", "", DATEDIF(F1537, TODAY(), "Y"))</f>
        <v/>
      </c>
      <c r="H1537" s="18"/>
      <c r="I1537" s="18"/>
      <c r="J1537" s="24" t="str">
        <f aca="true">IF(ISBLANK(H1537), "", I1537-TODAY())</f>
        <v/>
      </c>
      <c r="K1537" s="24" t="str">
        <f aca="false" t="array" ref="K1537:K1537">IF(A1537&lt;&gt;"",IF(COUNTIF(A$996:A1538,"&lt;&gt;")=0,COUNTA(B$996:B1537),IFERROR(MATCH(TRUE(),INDEX((A$996:A1538&lt;&gt;""),0),0),COUNTA(B$996:B1537))),"")</f>
        <v/>
      </c>
      <c r="L1537" s="27"/>
    </row>
    <row r="1538" customFormat="false" ht="13.8" hidden="false" customHeight="false" outlineLevel="0" collapsed="false">
      <c r="A1538" s="16"/>
      <c r="B1538" s="16"/>
      <c r="C1538" s="26"/>
      <c r="D1538" s="26"/>
      <c r="E1538" s="16"/>
      <c r="F1538" s="18"/>
      <c r="G1538" s="19" t="str">
        <f aca="true">IF(F1538="", "", DATEDIF(F1538, TODAY(), "Y"))</f>
        <v/>
      </c>
      <c r="H1538" s="18"/>
      <c r="I1538" s="18"/>
      <c r="J1538" s="24" t="str">
        <f aca="true">IF(ISBLANK(H1538), "", I1538-TODAY())</f>
        <v/>
      </c>
      <c r="K1538" s="24" t="str">
        <f aca="false" t="array" ref="K1538:K1538">IF(A1538&lt;&gt;"",IF(COUNTIF(A$996:A1539,"&lt;&gt;")=0,COUNTA(B$996:B1538),IFERROR(MATCH(TRUE(),INDEX((A$996:A1539&lt;&gt;""),0),0),COUNTA(B$996:B1538))),"")</f>
        <v/>
      </c>
      <c r="L1538" s="27"/>
    </row>
    <row r="1539" customFormat="false" ht="13.8" hidden="false" customHeight="false" outlineLevel="0" collapsed="false">
      <c r="A1539" s="16"/>
      <c r="B1539" s="16"/>
      <c r="C1539" s="26"/>
      <c r="D1539" s="26"/>
      <c r="E1539" s="16"/>
      <c r="F1539" s="18"/>
      <c r="G1539" s="19" t="str">
        <f aca="true">IF(F1539="", "", DATEDIF(F1539, TODAY(), "Y"))</f>
        <v/>
      </c>
      <c r="H1539" s="18"/>
      <c r="I1539" s="18"/>
      <c r="J1539" s="24" t="str">
        <f aca="true">IF(ISBLANK(H1539), "", I1539-TODAY())</f>
        <v/>
      </c>
      <c r="K1539" s="24" t="str">
        <f aca="false" t="array" ref="K1539:K1539">IF(A1539&lt;&gt;"",IF(COUNTIF(A$996:A1540,"&lt;&gt;")=0,COUNTA(B$996:B1539),IFERROR(MATCH(TRUE(),INDEX((A$996:A1540&lt;&gt;""),0),0),COUNTA(B$996:B1539))),"")</f>
        <v/>
      </c>
      <c r="L1539" s="27"/>
    </row>
    <row r="1540" customFormat="false" ht="13.8" hidden="false" customHeight="false" outlineLevel="0" collapsed="false">
      <c r="A1540" s="16"/>
      <c r="B1540" s="16"/>
      <c r="C1540" s="26"/>
      <c r="D1540" s="26"/>
      <c r="E1540" s="16"/>
      <c r="F1540" s="18"/>
      <c r="G1540" s="19" t="str">
        <f aca="true">IF(F1540="", "", DATEDIF(F1540, TODAY(), "Y"))</f>
        <v/>
      </c>
      <c r="H1540" s="18"/>
      <c r="I1540" s="18"/>
      <c r="J1540" s="24" t="str">
        <f aca="true">IF(ISBLANK(H1540), "", I1540-TODAY())</f>
        <v/>
      </c>
      <c r="K1540" s="24" t="str">
        <f aca="false" t="array" ref="K1540:K1540">IF(A1540&lt;&gt;"",IF(COUNTIF(A$996:A1541,"&lt;&gt;")=0,COUNTA(B$996:B1540),IFERROR(MATCH(TRUE(),INDEX((A$996:A1541&lt;&gt;""),0),0),COUNTA(B$996:B1540))),"")</f>
        <v/>
      </c>
      <c r="L1540" s="27"/>
    </row>
    <row r="1541" customFormat="false" ht="13.8" hidden="false" customHeight="false" outlineLevel="0" collapsed="false">
      <c r="A1541" s="16"/>
      <c r="B1541" s="16"/>
      <c r="C1541" s="26"/>
      <c r="D1541" s="26"/>
      <c r="E1541" s="16"/>
      <c r="F1541" s="18"/>
      <c r="G1541" s="19" t="str">
        <f aca="true">IF(F1541="", "", DATEDIF(F1541, TODAY(), "Y"))</f>
        <v/>
      </c>
      <c r="H1541" s="18"/>
      <c r="I1541" s="18"/>
      <c r="J1541" s="24" t="str">
        <f aca="true">IF(ISBLANK(H1541), "", I1541-TODAY())</f>
        <v/>
      </c>
      <c r="K1541" s="24" t="str">
        <f aca="false" t="array" ref="K1541:K1541">IF(A1541&lt;&gt;"",IF(COUNTIF(A$996:A1542,"&lt;&gt;")=0,COUNTA(B$996:B1541),IFERROR(MATCH(TRUE(),INDEX((A$996:A1542&lt;&gt;""),0),0),COUNTA(B$996:B1541))),"")</f>
        <v/>
      </c>
      <c r="L1541" s="27"/>
    </row>
    <row r="1542" customFormat="false" ht="13.8" hidden="false" customHeight="false" outlineLevel="0" collapsed="false">
      <c r="A1542" s="16"/>
      <c r="B1542" s="16"/>
      <c r="C1542" s="26"/>
      <c r="D1542" s="26"/>
      <c r="E1542" s="16"/>
      <c r="F1542" s="18"/>
      <c r="G1542" s="19" t="str">
        <f aca="true">IF(F1542="", "", DATEDIF(F1542, TODAY(), "Y"))</f>
        <v/>
      </c>
      <c r="H1542" s="18"/>
      <c r="I1542" s="18"/>
      <c r="J1542" s="24" t="str">
        <f aca="true">IF(ISBLANK(H1542), "", I1542-TODAY())</f>
        <v/>
      </c>
      <c r="K1542" s="24" t="str">
        <f aca="false" t="array" ref="K1542:K1542">IF(A1542&lt;&gt;"",IF(COUNTIF(A$996:A1543,"&lt;&gt;")=0,COUNTA(B$996:B1542),IFERROR(MATCH(TRUE(),INDEX((A$996:A1543&lt;&gt;""),0),0),COUNTA(B$996:B1542))),"")</f>
        <v/>
      </c>
      <c r="L1542" s="27"/>
    </row>
    <row r="1543" customFormat="false" ht="13.8" hidden="false" customHeight="false" outlineLevel="0" collapsed="false">
      <c r="A1543" s="16"/>
      <c r="B1543" s="16"/>
      <c r="C1543" s="26"/>
      <c r="D1543" s="26"/>
      <c r="E1543" s="16"/>
      <c r="F1543" s="18"/>
      <c r="G1543" s="19" t="str">
        <f aca="true">IF(F1543="", "", DATEDIF(F1543, TODAY(), "Y"))</f>
        <v/>
      </c>
      <c r="H1543" s="18"/>
      <c r="I1543" s="18"/>
      <c r="J1543" s="24" t="str">
        <f aca="true">IF(ISBLANK(H1543), "", I1543-TODAY())</f>
        <v/>
      </c>
      <c r="K1543" s="24" t="str">
        <f aca="false" t="array" ref="K1543:K1543">IF(A1543&lt;&gt;"",IF(COUNTIF(A$996:A1544,"&lt;&gt;")=0,COUNTA(B$996:B1543),IFERROR(MATCH(TRUE(),INDEX((A$996:A1544&lt;&gt;""),0),0),COUNTA(B$996:B1543))),"")</f>
        <v/>
      </c>
      <c r="L1543" s="27"/>
    </row>
    <row r="1544" customFormat="false" ht="13.8" hidden="false" customHeight="false" outlineLevel="0" collapsed="false">
      <c r="A1544" s="16"/>
      <c r="B1544" s="16"/>
      <c r="C1544" s="26"/>
      <c r="D1544" s="26"/>
      <c r="E1544" s="16"/>
      <c r="F1544" s="18"/>
      <c r="G1544" s="19" t="str">
        <f aca="true">IF(F1544="", "", DATEDIF(F1544, TODAY(), "Y"))</f>
        <v/>
      </c>
      <c r="H1544" s="18"/>
      <c r="I1544" s="18"/>
      <c r="J1544" s="24" t="str">
        <f aca="true">IF(ISBLANK(H1544), "", I1544-TODAY())</f>
        <v/>
      </c>
      <c r="K1544" s="24" t="str">
        <f aca="false" t="array" ref="K1544:K1544">IF(A1544&lt;&gt;"",IF(COUNTIF(A$996:A1545,"&lt;&gt;")=0,COUNTA(B$996:B1544),IFERROR(MATCH(TRUE(),INDEX((A$996:A1545&lt;&gt;""),0),0),COUNTA(B$996:B1544))),"")</f>
        <v/>
      </c>
      <c r="L1544" s="27"/>
    </row>
    <row r="1545" customFormat="false" ht="13.8" hidden="false" customHeight="false" outlineLevel="0" collapsed="false">
      <c r="A1545" s="16"/>
      <c r="B1545" s="16"/>
      <c r="C1545" s="26"/>
      <c r="D1545" s="26"/>
      <c r="E1545" s="16"/>
      <c r="F1545" s="18"/>
      <c r="G1545" s="19" t="str">
        <f aca="true">IF(F1545="", "", DATEDIF(F1545, TODAY(), "Y"))</f>
        <v/>
      </c>
      <c r="H1545" s="18"/>
      <c r="I1545" s="18"/>
      <c r="J1545" s="24" t="str">
        <f aca="true">IF(ISBLANK(H1545), "", I1545-TODAY())</f>
        <v/>
      </c>
      <c r="K1545" s="24" t="str">
        <f aca="false" t="array" ref="K1545:K1545">IF(A1545&lt;&gt;"",IF(COUNTIF(A$996:A1546,"&lt;&gt;")=0,COUNTA(B$996:B1545),IFERROR(MATCH(TRUE(),INDEX((A$996:A1546&lt;&gt;""),0),0),COUNTA(B$996:B1545))),"")</f>
        <v/>
      </c>
      <c r="L1545" s="27"/>
    </row>
    <row r="1546" customFormat="false" ht="13.8" hidden="false" customHeight="false" outlineLevel="0" collapsed="false">
      <c r="A1546" s="16"/>
      <c r="B1546" s="16"/>
      <c r="C1546" s="26"/>
      <c r="D1546" s="26"/>
      <c r="E1546" s="16"/>
      <c r="F1546" s="18"/>
      <c r="G1546" s="19" t="str">
        <f aca="true">IF(F1546="", "", DATEDIF(F1546, TODAY(), "Y"))</f>
        <v/>
      </c>
      <c r="H1546" s="18"/>
      <c r="I1546" s="18"/>
      <c r="J1546" s="24" t="str">
        <f aca="true">IF(ISBLANK(H1546), "", I1546-TODAY())</f>
        <v/>
      </c>
      <c r="K1546" s="24" t="str">
        <f aca="false" t="array" ref="K1546:K1546">IF(A1546&lt;&gt;"",IF(COUNTIF(A$996:A1547,"&lt;&gt;")=0,COUNTA(B$996:B1546),IFERROR(MATCH(TRUE(),INDEX((A$996:A1547&lt;&gt;""),0),0),COUNTA(B$996:B1546))),"")</f>
        <v/>
      </c>
      <c r="L1546" s="27"/>
    </row>
    <row r="1547" customFormat="false" ht="13.8" hidden="false" customHeight="false" outlineLevel="0" collapsed="false">
      <c r="A1547" s="16"/>
      <c r="B1547" s="16"/>
      <c r="C1547" s="26"/>
      <c r="D1547" s="26"/>
      <c r="E1547" s="16"/>
      <c r="F1547" s="18"/>
      <c r="G1547" s="19" t="str">
        <f aca="true">IF(F1547="", "", DATEDIF(F1547, TODAY(), "Y"))</f>
        <v/>
      </c>
      <c r="H1547" s="18"/>
      <c r="I1547" s="18"/>
      <c r="J1547" s="24" t="str">
        <f aca="true">IF(ISBLANK(H1547), "", I1547-TODAY())</f>
        <v/>
      </c>
      <c r="K1547" s="24" t="str">
        <f aca="false" t="array" ref="K1547:K1547">IF(A1547&lt;&gt;"",IF(COUNTIF(A$996:A1548,"&lt;&gt;")=0,COUNTA(B$996:B1547),IFERROR(MATCH(TRUE(),INDEX((A$996:A1548&lt;&gt;""),0),0),COUNTA(B$996:B1547))),"")</f>
        <v/>
      </c>
      <c r="L1547" s="27"/>
    </row>
    <row r="1548" customFormat="false" ht="13.8" hidden="false" customHeight="false" outlineLevel="0" collapsed="false">
      <c r="A1548" s="16"/>
      <c r="B1548" s="16"/>
      <c r="C1548" s="26"/>
      <c r="D1548" s="26"/>
      <c r="E1548" s="16"/>
      <c r="F1548" s="18"/>
      <c r="G1548" s="19" t="str">
        <f aca="true">IF(F1548="", "", DATEDIF(F1548, TODAY(), "Y"))</f>
        <v/>
      </c>
      <c r="H1548" s="18"/>
      <c r="I1548" s="18"/>
      <c r="J1548" s="24" t="str">
        <f aca="true">IF(ISBLANK(H1548), "", I1548-TODAY())</f>
        <v/>
      </c>
      <c r="K1548" s="24" t="str">
        <f aca="false" t="array" ref="K1548:K1548">IF(A1548&lt;&gt;"",IF(COUNTIF(A$996:A1549,"&lt;&gt;")=0,COUNTA(B$996:B1548),IFERROR(MATCH(TRUE(),INDEX((A$996:A1549&lt;&gt;""),0),0),COUNTA(B$996:B1548))),"")</f>
        <v/>
      </c>
      <c r="L1548" s="27"/>
    </row>
    <row r="1549" customFormat="false" ht="13.8" hidden="false" customHeight="false" outlineLevel="0" collapsed="false">
      <c r="A1549" s="16"/>
      <c r="B1549" s="16"/>
      <c r="C1549" s="26"/>
      <c r="D1549" s="26"/>
      <c r="E1549" s="16"/>
      <c r="F1549" s="18"/>
      <c r="G1549" s="19" t="str">
        <f aca="true">IF(F1549="", "", DATEDIF(F1549, TODAY(), "Y"))</f>
        <v/>
      </c>
      <c r="H1549" s="18"/>
      <c r="I1549" s="18"/>
      <c r="J1549" s="24" t="str">
        <f aca="true">IF(ISBLANK(H1549), "", I1549-TODAY())</f>
        <v/>
      </c>
      <c r="K1549" s="24" t="str">
        <f aca="false" t="array" ref="K1549:K1549">IF(A1549&lt;&gt;"",IF(COUNTIF(A$996:A1550,"&lt;&gt;")=0,COUNTA(B$996:B1549),IFERROR(MATCH(TRUE(),INDEX((A$996:A1550&lt;&gt;""),0),0),COUNTA(B$996:B1549))),"")</f>
        <v/>
      </c>
      <c r="L1549" s="27"/>
    </row>
    <row r="1550" customFormat="false" ht="13.8" hidden="false" customHeight="false" outlineLevel="0" collapsed="false">
      <c r="A1550" s="16"/>
      <c r="B1550" s="16"/>
      <c r="C1550" s="26"/>
      <c r="D1550" s="26"/>
      <c r="E1550" s="16"/>
      <c r="F1550" s="18"/>
      <c r="G1550" s="19" t="str">
        <f aca="true">IF(F1550="", "", DATEDIF(F1550, TODAY(), "Y"))</f>
        <v/>
      </c>
      <c r="H1550" s="18"/>
      <c r="I1550" s="18"/>
      <c r="J1550" s="24" t="str">
        <f aca="true">IF(ISBLANK(H1550), "", I1550-TODAY())</f>
        <v/>
      </c>
      <c r="K1550" s="24" t="str">
        <f aca="false" t="array" ref="K1550:K1550">IF(A1550&lt;&gt;"",IF(COUNTIF(A$996:A1551,"&lt;&gt;")=0,COUNTA(B$996:B1550),IFERROR(MATCH(TRUE(),INDEX((A$996:A1551&lt;&gt;""),0),0),COUNTA(B$996:B1550))),"")</f>
        <v/>
      </c>
      <c r="L1550" s="27"/>
    </row>
    <row r="1551" customFormat="false" ht="13.8" hidden="false" customHeight="false" outlineLevel="0" collapsed="false">
      <c r="A1551" s="16"/>
      <c r="B1551" s="16"/>
      <c r="C1551" s="26"/>
      <c r="D1551" s="26"/>
      <c r="E1551" s="16"/>
      <c r="F1551" s="18"/>
      <c r="G1551" s="19" t="str">
        <f aca="true">IF(F1551="", "", DATEDIF(F1551, TODAY(), "Y"))</f>
        <v/>
      </c>
      <c r="H1551" s="18"/>
      <c r="I1551" s="18"/>
      <c r="J1551" s="24" t="str">
        <f aca="true">IF(ISBLANK(H1551), "", I1551-TODAY())</f>
        <v/>
      </c>
      <c r="K1551" s="24" t="str">
        <f aca="false" t="array" ref="K1551:K1551">IF(A1551&lt;&gt;"",IF(COUNTIF(A$996:A1552,"&lt;&gt;")=0,COUNTA(B$996:B1551),IFERROR(MATCH(TRUE(),INDEX((A$996:A1552&lt;&gt;""),0),0),COUNTA(B$996:B1551))),"")</f>
        <v/>
      </c>
      <c r="L1551" s="27"/>
    </row>
    <row r="1552" customFormat="false" ht="13.8" hidden="false" customHeight="false" outlineLevel="0" collapsed="false">
      <c r="A1552" s="16"/>
      <c r="B1552" s="16"/>
      <c r="C1552" s="26"/>
      <c r="D1552" s="26"/>
      <c r="E1552" s="16"/>
      <c r="F1552" s="18"/>
      <c r="G1552" s="19" t="str">
        <f aca="true">IF(F1552="", "", DATEDIF(F1552, TODAY(), "Y"))</f>
        <v/>
      </c>
      <c r="H1552" s="18"/>
      <c r="I1552" s="18"/>
      <c r="J1552" s="24" t="str">
        <f aca="true">IF(ISBLANK(H1552), "", I1552-TODAY())</f>
        <v/>
      </c>
      <c r="K1552" s="24" t="str">
        <f aca="false" t="array" ref="K1552:K1552">IF(A1552&lt;&gt;"",IF(COUNTIF(A$996:A1553,"&lt;&gt;")=0,COUNTA(B$996:B1552),IFERROR(MATCH(TRUE(),INDEX((A$996:A1553&lt;&gt;""),0),0),COUNTA(B$996:B1552))),"")</f>
        <v/>
      </c>
      <c r="L1552" s="27"/>
    </row>
    <row r="1553" customFormat="false" ht="13.8" hidden="false" customHeight="false" outlineLevel="0" collapsed="false">
      <c r="A1553" s="16"/>
      <c r="B1553" s="16"/>
      <c r="C1553" s="26"/>
      <c r="D1553" s="26"/>
      <c r="E1553" s="16"/>
      <c r="F1553" s="18"/>
      <c r="G1553" s="19" t="str">
        <f aca="true">IF(F1553="", "", DATEDIF(F1553, TODAY(), "Y"))</f>
        <v/>
      </c>
      <c r="H1553" s="18"/>
      <c r="I1553" s="18"/>
      <c r="J1553" s="24" t="str">
        <f aca="true">IF(ISBLANK(H1553), "", I1553-TODAY())</f>
        <v/>
      </c>
      <c r="K1553" s="24" t="str">
        <f aca="false" t="array" ref="K1553:K1553">IF(A1553&lt;&gt;"",IF(COUNTIF(A$996:A1554,"&lt;&gt;")=0,COUNTA(B$996:B1553),IFERROR(MATCH(TRUE(),INDEX((A$996:A1554&lt;&gt;""),0),0),COUNTA(B$996:B1553))),"")</f>
        <v/>
      </c>
      <c r="L1553" s="27"/>
    </row>
    <row r="1554" customFormat="false" ht="13.8" hidden="false" customHeight="false" outlineLevel="0" collapsed="false">
      <c r="A1554" s="16"/>
      <c r="B1554" s="16"/>
      <c r="C1554" s="26"/>
      <c r="D1554" s="26"/>
      <c r="E1554" s="16"/>
      <c r="F1554" s="18"/>
      <c r="G1554" s="19" t="str">
        <f aca="true">IF(F1554="", "", DATEDIF(F1554, TODAY(), "Y"))</f>
        <v/>
      </c>
      <c r="H1554" s="18"/>
      <c r="I1554" s="18"/>
      <c r="J1554" s="24" t="str">
        <f aca="true">IF(ISBLANK(H1554), "", I1554-TODAY())</f>
        <v/>
      </c>
      <c r="K1554" s="24" t="str">
        <f aca="false" t="array" ref="K1554:K1554">IF(A1554&lt;&gt;"",IF(COUNTIF(A$996:A1555,"&lt;&gt;")=0,COUNTA(B$996:B1554),IFERROR(MATCH(TRUE(),INDEX((A$996:A1555&lt;&gt;""),0),0),COUNTA(B$996:B1554))),"")</f>
        <v/>
      </c>
      <c r="L1554" s="27"/>
    </row>
    <row r="1555" customFormat="false" ht="13.8" hidden="false" customHeight="false" outlineLevel="0" collapsed="false">
      <c r="A1555" s="16"/>
      <c r="B1555" s="16"/>
      <c r="C1555" s="26"/>
      <c r="D1555" s="26"/>
      <c r="E1555" s="16"/>
      <c r="F1555" s="18"/>
      <c r="G1555" s="19" t="str">
        <f aca="true">IF(F1555="", "", DATEDIF(F1555, TODAY(), "Y"))</f>
        <v/>
      </c>
      <c r="H1555" s="18"/>
      <c r="I1555" s="18"/>
      <c r="J1555" s="24" t="str">
        <f aca="true">IF(ISBLANK(H1555), "", I1555-TODAY())</f>
        <v/>
      </c>
      <c r="K1555" s="24" t="str">
        <f aca="false" t="array" ref="K1555:K1555">IF(A1555&lt;&gt;"",IF(COUNTIF(A$996:A1556,"&lt;&gt;")=0,COUNTA(B$996:B1555),IFERROR(MATCH(TRUE(),INDEX((A$996:A1556&lt;&gt;""),0),0),COUNTA(B$996:B1555))),"")</f>
        <v/>
      </c>
      <c r="L1555" s="27"/>
    </row>
    <row r="1556" customFormat="false" ht="13.8" hidden="false" customHeight="false" outlineLevel="0" collapsed="false">
      <c r="A1556" s="16"/>
      <c r="B1556" s="16"/>
      <c r="C1556" s="26"/>
      <c r="D1556" s="26"/>
      <c r="E1556" s="16"/>
      <c r="F1556" s="18"/>
      <c r="G1556" s="19" t="str">
        <f aca="true">IF(F1556="", "", DATEDIF(F1556, TODAY(), "Y"))</f>
        <v/>
      </c>
      <c r="H1556" s="18"/>
      <c r="I1556" s="18"/>
      <c r="J1556" s="24" t="str">
        <f aca="true">IF(ISBLANK(H1556), "", I1556-TODAY())</f>
        <v/>
      </c>
      <c r="K1556" s="24" t="str">
        <f aca="false" t="array" ref="K1556:K1556">IF(A1556&lt;&gt;"",IF(COUNTIF(A$996:A1557,"&lt;&gt;")=0,COUNTA(B$996:B1556),IFERROR(MATCH(TRUE(),INDEX((A$996:A1557&lt;&gt;""),0),0),COUNTA(B$996:B1556))),"")</f>
        <v/>
      </c>
      <c r="L1556" s="27"/>
    </row>
    <row r="1557" customFormat="false" ht="13.8" hidden="false" customHeight="false" outlineLevel="0" collapsed="false">
      <c r="A1557" s="16"/>
      <c r="B1557" s="16"/>
      <c r="C1557" s="26"/>
      <c r="D1557" s="26"/>
      <c r="E1557" s="16"/>
      <c r="F1557" s="18"/>
      <c r="G1557" s="19" t="str">
        <f aca="true">IF(F1557="", "", DATEDIF(F1557, TODAY(), "Y"))</f>
        <v/>
      </c>
      <c r="H1557" s="18"/>
      <c r="I1557" s="18"/>
      <c r="J1557" s="24" t="str">
        <f aca="true">IF(ISBLANK(H1557), "", I1557-TODAY())</f>
        <v/>
      </c>
      <c r="K1557" s="24" t="str">
        <f aca="false" t="array" ref="K1557:K1557">IF(A1557&lt;&gt;"",IF(COUNTIF(A$996:A1558,"&lt;&gt;")=0,COUNTA(B$996:B1557),IFERROR(MATCH(TRUE(),INDEX((A$996:A1558&lt;&gt;""),0),0),COUNTA(B$996:B1557))),"")</f>
        <v/>
      </c>
      <c r="L1557" s="27"/>
    </row>
    <row r="1558" customFormat="false" ht="13.8" hidden="false" customHeight="false" outlineLevel="0" collapsed="false">
      <c r="A1558" s="16"/>
      <c r="B1558" s="16"/>
      <c r="C1558" s="26"/>
      <c r="D1558" s="26"/>
      <c r="E1558" s="16"/>
      <c r="F1558" s="18"/>
      <c r="G1558" s="19" t="str">
        <f aca="true">IF(F1558="", "", DATEDIF(F1558, TODAY(), "Y"))</f>
        <v/>
      </c>
      <c r="H1558" s="18"/>
      <c r="I1558" s="18"/>
      <c r="J1558" s="24" t="str">
        <f aca="true">IF(ISBLANK(H1558), "", I1558-TODAY())</f>
        <v/>
      </c>
      <c r="K1558" s="24" t="str">
        <f aca="false" t="array" ref="K1558:K1558">IF(A1558&lt;&gt;"",IF(COUNTIF(A$996:A1559,"&lt;&gt;")=0,COUNTA(B$996:B1558),IFERROR(MATCH(TRUE(),INDEX((A$996:A1559&lt;&gt;""),0),0),COUNTA(B$996:B1558))),"")</f>
        <v/>
      </c>
      <c r="L1558" s="27"/>
    </row>
    <row r="1559" customFormat="false" ht="13.8" hidden="false" customHeight="false" outlineLevel="0" collapsed="false">
      <c r="A1559" s="16"/>
      <c r="B1559" s="16"/>
      <c r="C1559" s="26"/>
      <c r="D1559" s="26"/>
      <c r="E1559" s="16"/>
      <c r="F1559" s="18"/>
      <c r="G1559" s="19" t="str">
        <f aca="true">IF(F1559="", "", DATEDIF(F1559, TODAY(), "Y"))</f>
        <v/>
      </c>
      <c r="H1559" s="18"/>
      <c r="I1559" s="18"/>
      <c r="J1559" s="24" t="str">
        <f aca="true">IF(ISBLANK(H1559), "", I1559-TODAY())</f>
        <v/>
      </c>
      <c r="K1559" s="24" t="str">
        <f aca="false" t="array" ref="K1559:K1559">IF(A1559&lt;&gt;"",IF(COUNTIF(A$996:A1560,"&lt;&gt;")=0,COUNTA(B$996:B1559),IFERROR(MATCH(TRUE(),INDEX((A$996:A1560&lt;&gt;""),0),0),COUNTA(B$996:B1559))),"")</f>
        <v/>
      </c>
      <c r="L1559" s="27"/>
    </row>
    <row r="1560" customFormat="false" ht="13.8" hidden="false" customHeight="false" outlineLevel="0" collapsed="false">
      <c r="A1560" s="16"/>
      <c r="B1560" s="16"/>
      <c r="C1560" s="26"/>
      <c r="D1560" s="26"/>
      <c r="E1560" s="16"/>
      <c r="F1560" s="18"/>
      <c r="G1560" s="19" t="str">
        <f aca="true">IF(F1560="", "", DATEDIF(F1560, TODAY(), "Y"))</f>
        <v/>
      </c>
      <c r="H1560" s="18"/>
      <c r="I1560" s="18"/>
      <c r="J1560" s="24" t="str">
        <f aca="true">IF(ISBLANK(H1560), "", I1560-TODAY())</f>
        <v/>
      </c>
      <c r="K1560" s="24" t="str">
        <f aca="false" t="array" ref="K1560:K1560">IF(A1560&lt;&gt;"",IF(COUNTIF(A$996:A1561,"&lt;&gt;")=0,COUNTA(B$996:B1560),IFERROR(MATCH(TRUE(),INDEX((A$996:A1561&lt;&gt;""),0),0),COUNTA(B$996:B1560))),"")</f>
        <v/>
      </c>
      <c r="L1560" s="27"/>
    </row>
    <row r="1561" customFormat="false" ht="13.8" hidden="false" customHeight="false" outlineLevel="0" collapsed="false">
      <c r="A1561" s="16"/>
      <c r="B1561" s="16"/>
      <c r="C1561" s="26"/>
      <c r="D1561" s="26"/>
      <c r="E1561" s="16"/>
      <c r="F1561" s="18"/>
      <c r="G1561" s="19" t="str">
        <f aca="true">IF(F1561="", "", DATEDIF(F1561, TODAY(), "Y"))</f>
        <v/>
      </c>
      <c r="H1561" s="18"/>
      <c r="I1561" s="18"/>
      <c r="J1561" s="24" t="str">
        <f aca="true">IF(ISBLANK(H1561), "", I1561-TODAY())</f>
        <v/>
      </c>
      <c r="K1561" s="24" t="str">
        <f aca="false" t="array" ref="K1561:K1561">IF(A1561&lt;&gt;"",IF(COUNTIF(A$996:A1562,"&lt;&gt;")=0,COUNTA(B$996:B1561),IFERROR(MATCH(TRUE(),INDEX((A$996:A1562&lt;&gt;""),0),0),COUNTA(B$996:B1561))),"")</f>
        <v/>
      </c>
      <c r="L1561" s="27"/>
    </row>
    <row r="1562" customFormat="false" ht="13.8" hidden="false" customHeight="false" outlineLevel="0" collapsed="false">
      <c r="A1562" s="16"/>
      <c r="B1562" s="16"/>
      <c r="C1562" s="26"/>
      <c r="D1562" s="26"/>
      <c r="E1562" s="16"/>
      <c r="F1562" s="18"/>
      <c r="G1562" s="19" t="str">
        <f aca="true">IF(F1562="", "", DATEDIF(F1562, TODAY(), "Y"))</f>
        <v/>
      </c>
      <c r="H1562" s="18"/>
      <c r="I1562" s="18"/>
      <c r="J1562" s="24" t="str">
        <f aca="true">IF(ISBLANK(H1562), "", I1562-TODAY())</f>
        <v/>
      </c>
      <c r="K1562" s="24" t="str">
        <f aca="false" t="array" ref="K1562:K1562">IF(A1562&lt;&gt;"",IF(COUNTIF(A$996:A1563,"&lt;&gt;")=0,COUNTA(B$996:B1562),IFERROR(MATCH(TRUE(),INDEX((A$996:A1563&lt;&gt;""),0),0),COUNTA(B$996:B1562))),"")</f>
        <v/>
      </c>
      <c r="L1562" s="27"/>
    </row>
    <row r="1563" customFormat="false" ht="13.8" hidden="false" customHeight="false" outlineLevel="0" collapsed="false">
      <c r="A1563" s="16"/>
      <c r="B1563" s="16"/>
      <c r="C1563" s="26"/>
      <c r="D1563" s="26"/>
      <c r="E1563" s="16"/>
      <c r="F1563" s="18"/>
      <c r="G1563" s="19" t="str">
        <f aca="true">IF(F1563="", "", DATEDIF(F1563, TODAY(), "Y"))</f>
        <v/>
      </c>
      <c r="H1563" s="18"/>
      <c r="I1563" s="18"/>
      <c r="J1563" s="24" t="str">
        <f aca="true">IF(ISBLANK(H1563), "", I1563-TODAY())</f>
        <v/>
      </c>
      <c r="K1563" s="24" t="str">
        <f aca="false" t="array" ref="K1563:K1563">IF(A1563&lt;&gt;"",IF(COUNTIF(A$996:A1564,"&lt;&gt;")=0,COUNTA(B$996:B1563),IFERROR(MATCH(TRUE(),INDEX((A$996:A1564&lt;&gt;""),0),0),COUNTA(B$996:B1563))),"")</f>
        <v/>
      </c>
      <c r="L1563" s="27"/>
    </row>
    <row r="1564" customFormat="false" ht="13.8" hidden="false" customHeight="false" outlineLevel="0" collapsed="false">
      <c r="A1564" s="16"/>
      <c r="B1564" s="16"/>
      <c r="C1564" s="26"/>
      <c r="D1564" s="26"/>
      <c r="E1564" s="16"/>
      <c r="F1564" s="18"/>
      <c r="G1564" s="19" t="str">
        <f aca="true">IF(F1564="", "", DATEDIF(F1564, TODAY(), "Y"))</f>
        <v/>
      </c>
      <c r="H1564" s="18"/>
      <c r="I1564" s="18"/>
      <c r="J1564" s="24" t="str">
        <f aca="true">IF(ISBLANK(H1564), "", I1564-TODAY())</f>
        <v/>
      </c>
      <c r="K1564" s="24" t="str">
        <f aca="false" t="array" ref="K1564:K1564">IF(A1564&lt;&gt;"",IF(COUNTIF(A$996:A1565,"&lt;&gt;")=0,COUNTA(B$996:B1564),IFERROR(MATCH(TRUE(),INDEX((A$996:A1565&lt;&gt;""),0),0),COUNTA(B$996:B1564))),"")</f>
        <v/>
      </c>
      <c r="L1564" s="27"/>
    </row>
    <row r="1565" customFormat="false" ht="13.8" hidden="false" customHeight="false" outlineLevel="0" collapsed="false">
      <c r="A1565" s="16"/>
      <c r="B1565" s="16"/>
      <c r="C1565" s="26"/>
      <c r="D1565" s="26"/>
      <c r="E1565" s="16"/>
      <c r="F1565" s="18"/>
      <c r="G1565" s="19" t="str">
        <f aca="true">IF(F1565="", "", DATEDIF(F1565, TODAY(), "Y"))</f>
        <v/>
      </c>
      <c r="H1565" s="18"/>
      <c r="I1565" s="18"/>
      <c r="J1565" s="24" t="str">
        <f aca="true">IF(ISBLANK(H1565), "", I1565-TODAY())</f>
        <v/>
      </c>
      <c r="K1565" s="24" t="str">
        <f aca="false" t="array" ref="K1565:K1565">IF(A1565&lt;&gt;"",IF(COUNTIF(A$996:A1566,"&lt;&gt;")=0,COUNTA(B$996:B1565),IFERROR(MATCH(TRUE(),INDEX((A$996:A1566&lt;&gt;""),0),0),COUNTA(B$996:B1565))),"")</f>
        <v/>
      </c>
      <c r="L1565" s="27"/>
    </row>
    <row r="1566" customFormat="false" ht="13.8" hidden="false" customHeight="false" outlineLevel="0" collapsed="false">
      <c r="A1566" s="16"/>
      <c r="B1566" s="16"/>
      <c r="C1566" s="26"/>
      <c r="D1566" s="26"/>
      <c r="E1566" s="16"/>
      <c r="F1566" s="18"/>
      <c r="G1566" s="19" t="str">
        <f aca="true">IF(F1566="", "", DATEDIF(F1566, TODAY(), "Y"))</f>
        <v/>
      </c>
      <c r="H1566" s="18"/>
      <c r="I1566" s="18"/>
      <c r="J1566" s="24" t="str">
        <f aca="true">IF(ISBLANK(H1566), "", I1566-TODAY())</f>
        <v/>
      </c>
      <c r="K1566" s="24" t="str">
        <f aca="false" t="array" ref="K1566:K1566">IF(A1566&lt;&gt;"",IF(COUNTIF(A$996:A1567,"&lt;&gt;")=0,COUNTA(B$996:B1566),IFERROR(MATCH(TRUE(),INDEX((A$996:A1567&lt;&gt;""),0),0),COUNTA(B$996:B1566))),"")</f>
        <v/>
      </c>
      <c r="L1566" s="27"/>
    </row>
    <row r="1567" customFormat="false" ht="13.8" hidden="false" customHeight="false" outlineLevel="0" collapsed="false">
      <c r="A1567" s="16"/>
      <c r="B1567" s="16"/>
      <c r="C1567" s="26"/>
      <c r="D1567" s="26"/>
      <c r="E1567" s="16"/>
      <c r="F1567" s="18"/>
      <c r="G1567" s="19" t="str">
        <f aca="true">IF(F1567="", "", DATEDIF(F1567, TODAY(), "Y"))</f>
        <v/>
      </c>
      <c r="H1567" s="18"/>
      <c r="I1567" s="18"/>
      <c r="J1567" s="24" t="str">
        <f aca="true">IF(ISBLANK(H1567), "", I1567-TODAY())</f>
        <v/>
      </c>
      <c r="K1567" s="24" t="str">
        <f aca="false" t="array" ref="K1567:K1567">IF(A1567&lt;&gt;"",IF(COUNTIF(A$996:A1568,"&lt;&gt;")=0,COUNTA(B$996:B1567),IFERROR(MATCH(TRUE(),INDEX((A$996:A1568&lt;&gt;""),0),0),COUNTA(B$996:B1567))),"")</f>
        <v/>
      </c>
      <c r="L1567" s="27"/>
    </row>
    <row r="1568" customFormat="false" ht="13.8" hidden="false" customHeight="false" outlineLevel="0" collapsed="false">
      <c r="A1568" s="16"/>
      <c r="B1568" s="16"/>
      <c r="C1568" s="26"/>
      <c r="D1568" s="26"/>
      <c r="E1568" s="16"/>
      <c r="F1568" s="18"/>
      <c r="G1568" s="19" t="str">
        <f aca="true">IF(F1568="", "", DATEDIF(F1568, TODAY(), "Y"))</f>
        <v/>
      </c>
      <c r="H1568" s="18"/>
      <c r="I1568" s="18"/>
      <c r="J1568" s="24" t="str">
        <f aca="true">IF(ISBLANK(H1568), "", I1568-TODAY())</f>
        <v/>
      </c>
      <c r="K1568" s="24" t="str">
        <f aca="false" t="array" ref="K1568:K1568">IF(A1568&lt;&gt;"",IF(COUNTIF(A$996:A1569,"&lt;&gt;")=0,COUNTA(B$996:B1568),IFERROR(MATCH(TRUE(),INDEX((A$996:A1569&lt;&gt;""),0),0),COUNTA(B$996:B1568))),"")</f>
        <v/>
      </c>
      <c r="L1568" s="27"/>
    </row>
    <row r="1569" customFormat="false" ht="13.8" hidden="false" customHeight="false" outlineLevel="0" collapsed="false">
      <c r="A1569" s="16"/>
      <c r="B1569" s="16"/>
      <c r="C1569" s="26"/>
      <c r="D1569" s="26"/>
      <c r="E1569" s="16"/>
      <c r="F1569" s="18"/>
      <c r="G1569" s="19" t="str">
        <f aca="true">IF(F1569="", "", DATEDIF(F1569, TODAY(), "Y"))</f>
        <v/>
      </c>
      <c r="H1569" s="18"/>
      <c r="I1569" s="18"/>
      <c r="J1569" s="24" t="str">
        <f aca="true">IF(ISBLANK(H1569), "", I1569-TODAY())</f>
        <v/>
      </c>
      <c r="K1569" s="24" t="str">
        <f aca="false" t="array" ref="K1569:K1569">IF(A1569&lt;&gt;"",IF(COUNTIF(A$996:A1570,"&lt;&gt;")=0,COUNTA(B$996:B1569),IFERROR(MATCH(TRUE(),INDEX((A$996:A1570&lt;&gt;""),0),0),COUNTA(B$996:B1569))),"")</f>
        <v/>
      </c>
      <c r="L1569" s="27"/>
    </row>
    <row r="1570" customFormat="false" ht="13.8" hidden="false" customHeight="false" outlineLevel="0" collapsed="false">
      <c r="A1570" s="16"/>
      <c r="B1570" s="16"/>
      <c r="C1570" s="26"/>
      <c r="D1570" s="26"/>
      <c r="E1570" s="16"/>
      <c r="F1570" s="18"/>
      <c r="G1570" s="19" t="str">
        <f aca="true">IF(F1570="", "", DATEDIF(F1570, TODAY(), "Y"))</f>
        <v/>
      </c>
      <c r="H1570" s="18"/>
      <c r="I1570" s="18"/>
      <c r="J1570" s="24" t="str">
        <f aca="true">IF(ISBLANK(H1570), "", I1570-TODAY())</f>
        <v/>
      </c>
      <c r="K1570" s="24" t="str">
        <f aca="false" t="array" ref="K1570:K1570">IF(A1570&lt;&gt;"",IF(COUNTIF(A$996:A1571,"&lt;&gt;")=0,COUNTA(B$996:B1570),IFERROR(MATCH(TRUE(),INDEX((A$996:A1571&lt;&gt;""),0),0),COUNTA(B$996:B1570))),"")</f>
        <v/>
      </c>
      <c r="L1570" s="27"/>
    </row>
    <row r="1571" customFormat="false" ht="13.8" hidden="false" customHeight="false" outlineLevel="0" collapsed="false">
      <c r="A1571" s="16"/>
      <c r="B1571" s="16"/>
      <c r="C1571" s="26"/>
      <c r="D1571" s="26"/>
      <c r="E1571" s="16"/>
      <c r="F1571" s="18"/>
      <c r="G1571" s="19" t="str">
        <f aca="true">IF(F1571="", "", DATEDIF(F1571, TODAY(), "Y"))</f>
        <v/>
      </c>
      <c r="H1571" s="18"/>
      <c r="I1571" s="18"/>
      <c r="J1571" s="24" t="str">
        <f aca="true">IF(ISBLANK(H1571), "", I1571-TODAY())</f>
        <v/>
      </c>
      <c r="K1571" s="24" t="str">
        <f aca="false" t="array" ref="K1571:K1571">IF(A1571&lt;&gt;"",IF(COUNTIF(A$996:A1572,"&lt;&gt;")=0,COUNTA(B$996:B1571),IFERROR(MATCH(TRUE(),INDEX((A$996:A1572&lt;&gt;""),0),0),COUNTA(B$996:B1571))),"")</f>
        <v/>
      </c>
      <c r="L1571" s="27"/>
    </row>
    <row r="1572" customFormat="false" ht="13.8" hidden="false" customHeight="false" outlineLevel="0" collapsed="false">
      <c r="A1572" s="16"/>
      <c r="B1572" s="16"/>
      <c r="C1572" s="26"/>
      <c r="D1572" s="26"/>
      <c r="E1572" s="16"/>
      <c r="F1572" s="18"/>
      <c r="G1572" s="19" t="str">
        <f aca="true">IF(F1572="", "", DATEDIF(F1572, TODAY(), "Y"))</f>
        <v/>
      </c>
      <c r="H1572" s="18"/>
      <c r="I1572" s="18"/>
      <c r="J1572" s="24" t="str">
        <f aca="true">IF(ISBLANK(H1572), "", I1572-TODAY())</f>
        <v/>
      </c>
      <c r="K1572" s="24" t="str">
        <f aca="false" t="array" ref="K1572:K1572">IF(A1572&lt;&gt;"",IF(COUNTIF(A$996:A1573,"&lt;&gt;")=0,COUNTA(B$996:B1572),IFERROR(MATCH(TRUE(),INDEX((A$996:A1573&lt;&gt;""),0),0),COUNTA(B$996:B1572))),"")</f>
        <v/>
      </c>
      <c r="L1572" s="27"/>
    </row>
    <row r="1573" customFormat="false" ht="13.8" hidden="false" customHeight="false" outlineLevel="0" collapsed="false">
      <c r="A1573" s="16"/>
      <c r="B1573" s="16"/>
      <c r="C1573" s="26"/>
      <c r="D1573" s="26"/>
      <c r="E1573" s="16"/>
      <c r="F1573" s="18"/>
      <c r="G1573" s="19" t="str">
        <f aca="true">IF(F1573="", "", DATEDIF(F1573, TODAY(), "Y"))</f>
        <v/>
      </c>
      <c r="H1573" s="18"/>
      <c r="I1573" s="18"/>
      <c r="J1573" s="24" t="str">
        <f aca="true">IF(ISBLANK(H1573), "", I1573-TODAY())</f>
        <v/>
      </c>
      <c r="K1573" s="24" t="str">
        <f aca="false" t="array" ref="K1573:K1573">IF(A1573&lt;&gt;"",IF(COUNTIF(A$996:A1574,"&lt;&gt;")=0,COUNTA(B$996:B1573),IFERROR(MATCH(TRUE(),INDEX((A$996:A1574&lt;&gt;""),0),0),COUNTA(B$996:B1573))),"")</f>
        <v/>
      </c>
      <c r="L1573" s="27"/>
    </row>
    <row r="1574" customFormat="false" ht="13.8" hidden="false" customHeight="false" outlineLevel="0" collapsed="false">
      <c r="A1574" s="16"/>
      <c r="B1574" s="16"/>
      <c r="C1574" s="26"/>
      <c r="D1574" s="26"/>
      <c r="E1574" s="16"/>
      <c r="F1574" s="18"/>
      <c r="G1574" s="19" t="str">
        <f aca="true">IF(F1574="", "", DATEDIF(F1574, TODAY(), "Y"))</f>
        <v/>
      </c>
      <c r="H1574" s="18"/>
      <c r="I1574" s="18"/>
      <c r="J1574" s="24" t="str">
        <f aca="true">IF(ISBLANK(H1574), "", I1574-TODAY())</f>
        <v/>
      </c>
      <c r="K1574" s="24" t="str">
        <f aca="false" t="array" ref="K1574:K1574">IF(A1574&lt;&gt;"",IF(COUNTIF(A$996:A1575,"&lt;&gt;")=0,COUNTA(B$996:B1574),IFERROR(MATCH(TRUE(),INDEX((A$996:A1575&lt;&gt;""),0),0),COUNTA(B$996:B1574))),"")</f>
        <v/>
      </c>
      <c r="L1574" s="27"/>
    </row>
    <row r="1575" customFormat="false" ht="13.8" hidden="false" customHeight="false" outlineLevel="0" collapsed="false">
      <c r="A1575" s="16"/>
      <c r="B1575" s="16"/>
      <c r="C1575" s="26"/>
      <c r="D1575" s="26"/>
      <c r="E1575" s="16"/>
      <c r="F1575" s="18"/>
      <c r="G1575" s="19" t="str">
        <f aca="true">IF(F1575="", "", DATEDIF(F1575, TODAY(), "Y"))</f>
        <v/>
      </c>
      <c r="H1575" s="18"/>
      <c r="I1575" s="18"/>
      <c r="J1575" s="24" t="str">
        <f aca="true">IF(ISBLANK(H1575), "", I1575-TODAY())</f>
        <v/>
      </c>
      <c r="K1575" s="24" t="str">
        <f aca="false" t="array" ref="K1575:K1575">IF(A1575&lt;&gt;"",IF(COUNTIF(A$996:A1576,"&lt;&gt;")=0,COUNTA(B$996:B1575),IFERROR(MATCH(TRUE(),INDEX((A$996:A1576&lt;&gt;""),0),0),COUNTA(B$996:B1575))),"")</f>
        <v/>
      </c>
      <c r="L1575" s="27"/>
    </row>
    <row r="1576" customFormat="false" ht="13.8" hidden="false" customHeight="false" outlineLevel="0" collapsed="false">
      <c r="A1576" s="16"/>
      <c r="B1576" s="16"/>
      <c r="C1576" s="26"/>
      <c r="D1576" s="26"/>
      <c r="E1576" s="16"/>
      <c r="F1576" s="18"/>
      <c r="G1576" s="19" t="str">
        <f aca="true">IF(F1576="", "", DATEDIF(F1576, TODAY(), "Y"))</f>
        <v/>
      </c>
      <c r="H1576" s="18"/>
      <c r="I1576" s="18"/>
      <c r="J1576" s="24" t="str">
        <f aca="true">IF(ISBLANK(H1576), "", I1576-TODAY())</f>
        <v/>
      </c>
      <c r="K1576" s="24" t="str">
        <f aca="false" t="array" ref="K1576:K1576">IF(A1576&lt;&gt;"",IF(COUNTIF(A$996:A1577,"&lt;&gt;")=0,COUNTA(B$996:B1576),IFERROR(MATCH(TRUE(),INDEX((A$996:A1577&lt;&gt;""),0),0),COUNTA(B$996:B1576))),"")</f>
        <v/>
      </c>
      <c r="L1576" s="27"/>
    </row>
    <row r="1577" customFormat="false" ht="13.8" hidden="false" customHeight="false" outlineLevel="0" collapsed="false">
      <c r="A1577" s="16"/>
      <c r="B1577" s="16"/>
      <c r="C1577" s="26"/>
      <c r="D1577" s="26"/>
      <c r="E1577" s="16"/>
      <c r="F1577" s="18"/>
      <c r="G1577" s="19" t="str">
        <f aca="true">IF(F1577="", "", DATEDIF(F1577, TODAY(), "Y"))</f>
        <v/>
      </c>
      <c r="H1577" s="18"/>
      <c r="I1577" s="18"/>
      <c r="J1577" s="24" t="str">
        <f aca="true">IF(ISBLANK(H1577), "", I1577-TODAY())</f>
        <v/>
      </c>
      <c r="K1577" s="24" t="str">
        <f aca="false" t="array" ref="K1577:K1577">IF(A1577&lt;&gt;"",IF(COUNTIF(A$996:A1578,"&lt;&gt;")=0,COUNTA(B$996:B1577),IFERROR(MATCH(TRUE(),INDEX((A$996:A1578&lt;&gt;""),0),0),COUNTA(B$996:B1577))),"")</f>
        <v/>
      </c>
      <c r="L1577" s="27"/>
    </row>
    <row r="1578" customFormat="false" ht="13.8" hidden="false" customHeight="false" outlineLevel="0" collapsed="false">
      <c r="A1578" s="16"/>
      <c r="B1578" s="16"/>
      <c r="C1578" s="26"/>
      <c r="D1578" s="26"/>
      <c r="E1578" s="16"/>
      <c r="F1578" s="18"/>
      <c r="G1578" s="19" t="str">
        <f aca="true">IF(F1578="", "", DATEDIF(F1578, TODAY(), "Y"))</f>
        <v/>
      </c>
      <c r="H1578" s="18"/>
      <c r="I1578" s="18"/>
      <c r="J1578" s="24" t="str">
        <f aca="true">IF(ISBLANK(H1578), "", I1578-TODAY())</f>
        <v/>
      </c>
      <c r="K1578" s="24" t="str">
        <f aca="false" t="array" ref="K1578:K1578">IF(A1578&lt;&gt;"",IF(COUNTIF(A$996:A1579,"&lt;&gt;")=0,COUNTA(B$996:B1578),IFERROR(MATCH(TRUE(),INDEX((A$996:A1579&lt;&gt;""),0),0),COUNTA(B$996:B1578))),"")</f>
        <v/>
      </c>
      <c r="L1578" s="27"/>
    </row>
    <row r="1579" customFormat="false" ht="13.8" hidden="false" customHeight="false" outlineLevel="0" collapsed="false">
      <c r="A1579" s="16"/>
      <c r="B1579" s="16"/>
      <c r="C1579" s="26"/>
      <c r="D1579" s="26"/>
      <c r="E1579" s="16"/>
      <c r="F1579" s="18"/>
      <c r="G1579" s="19" t="str">
        <f aca="true">IF(F1579="", "", DATEDIF(F1579, TODAY(), "Y"))</f>
        <v/>
      </c>
      <c r="H1579" s="18"/>
      <c r="I1579" s="18"/>
      <c r="J1579" s="24" t="str">
        <f aca="true">IF(ISBLANK(H1579), "", I1579-TODAY())</f>
        <v/>
      </c>
      <c r="K1579" s="24" t="str">
        <f aca="false" t="array" ref="K1579:K1579">IF(A1579&lt;&gt;"",IF(COUNTIF(A$996:A1580,"&lt;&gt;")=0,COUNTA(B$996:B1579),IFERROR(MATCH(TRUE(),INDEX((A$996:A1580&lt;&gt;""),0),0),COUNTA(B$996:B1579))),"")</f>
        <v/>
      </c>
      <c r="L1579" s="27"/>
    </row>
    <row r="1580" customFormat="false" ht="13.8" hidden="false" customHeight="false" outlineLevel="0" collapsed="false">
      <c r="A1580" s="16"/>
      <c r="B1580" s="16"/>
      <c r="C1580" s="26"/>
      <c r="D1580" s="26"/>
      <c r="E1580" s="16"/>
      <c r="F1580" s="18"/>
      <c r="G1580" s="19" t="str">
        <f aca="true">IF(F1580="", "", DATEDIF(F1580, TODAY(), "Y"))</f>
        <v/>
      </c>
      <c r="H1580" s="18"/>
      <c r="I1580" s="18"/>
      <c r="J1580" s="24" t="str">
        <f aca="true">IF(ISBLANK(H1580), "", I1580-TODAY())</f>
        <v/>
      </c>
      <c r="K1580" s="24" t="str">
        <f aca="false" t="array" ref="K1580:K1580">IF(A1580&lt;&gt;"",IF(COUNTIF(A$996:A1581,"&lt;&gt;")=0,COUNTA(B$996:B1580),IFERROR(MATCH(TRUE(),INDEX((A$996:A1581&lt;&gt;""),0),0),COUNTA(B$996:B1580))),"")</f>
        <v/>
      </c>
      <c r="L1580" s="27"/>
    </row>
    <row r="1581" customFormat="false" ht="13.8" hidden="false" customHeight="false" outlineLevel="0" collapsed="false">
      <c r="A1581" s="16"/>
      <c r="B1581" s="16"/>
      <c r="C1581" s="26"/>
      <c r="D1581" s="26"/>
      <c r="E1581" s="16"/>
      <c r="F1581" s="18"/>
      <c r="G1581" s="19" t="str">
        <f aca="true">IF(F1581="", "", DATEDIF(F1581, TODAY(), "Y"))</f>
        <v/>
      </c>
      <c r="H1581" s="18"/>
      <c r="I1581" s="18"/>
      <c r="J1581" s="24" t="str">
        <f aca="true">IF(ISBLANK(H1581), "", I1581-TODAY())</f>
        <v/>
      </c>
      <c r="K1581" s="24" t="str">
        <f aca="false" t="array" ref="K1581:K1581">IF(A1581&lt;&gt;"",IF(COUNTIF(A$996:A1582,"&lt;&gt;")=0,COUNTA(B$996:B1581),IFERROR(MATCH(TRUE(),INDEX((A$996:A1582&lt;&gt;""),0),0),COUNTA(B$996:B1581))),"")</f>
        <v/>
      </c>
      <c r="L1581" s="27"/>
    </row>
    <row r="1582" customFormat="false" ht="13.8" hidden="false" customHeight="false" outlineLevel="0" collapsed="false">
      <c r="A1582" s="16"/>
      <c r="B1582" s="16"/>
      <c r="C1582" s="26"/>
      <c r="D1582" s="26"/>
      <c r="E1582" s="16"/>
      <c r="F1582" s="18"/>
      <c r="G1582" s="19" t="str">
        <f aca="true">IF(F1582="", "", DATEDIF(F1582, TODAY(), "Y"))</f>
        <v/>
      </c>
      <c r="H1582" s="18"/>
      <c r="I1582" s="18"/>
      <c r="J1582" s="24" t="str">
        <f aca="true">IF(ISBLANK(H1582), "", I1582-TODAY())</f>
        <v/>
      </c>
      <c r="K1582" s="24" t="str">
        <f aca="false" t="array" ref="K1582:K1582">IF(A1582&lt;&gt;"",IF(COUNTIF(A$996:A1583,"&lt;&gt;")=0,COUNTA(B$996:B1582),IFERROR(MATCH(TRUE(),INDEX((A$996:A1583&lt;&gt;""),0),0),COUNTA(B$996:B1582))),"")</f>
        <v/>
      </c>
      <c r="L1582" s="27"/>
    </row>
    <row r="1583" customFormat="false" ht="13.8" hidden="false" customHeight="false" outlineLevel="0" collapsed="false">
      <c r="A1583" s="16"/>
      <c r="B1583" s="16"/>
      <c r="C1583" s="26"/>
      <c r="D1583" s="26"/>
      <c r="E1583" s="16"/>
      <c r="F1583" s="18"/>
      <c r="G1583" s="19" t="str">
        <f aca="true">IF(F1583="", "", DATEDIF(F1583, TODAY(), "Y"))</f>
        <v/>
      </c>
      <c r="H1583" s="18"/>
      <c r="I1583" s="18"/>
      <c r="J1583" s="24" t="str">
        <f aca="true">IF(ISBLANK(H1583), "", I1583-TODAY())</f>
        <v/>
      </c>
      <c r="K1583" s="24" t="str">
        <f aca="false" t="array" ref="K1583:K1583">IF(A1583&lt;&gt;"",IF(COUNTIF(A$996:A1584,"&lt;&gt;")=0,COUNTA(B$996:B1583),IFERROR(MATCH(TRUE(),INDEX((A$996:A1584&lt;&gt;""),0),0),COUNTA(B$996:B1583))),"")</f>
        <v/>
      </c>
      <c r="L1583" s="27"/>
    </row>
    <row r="1584" customFormat="false" ht="13.8" hidden="false" customHeight="false" outlineLevel="0" collapsed="false">
      <c r="A1584" s="16"/>
      <c r="B1584" s="16"/>
      <c r="C1584" s="26"/>
      <c r="D1584" s="26"/>
      <c r="E1584" s="16"/>
      <c r="F1584" s="18"/>
      <c r="G1584" s="19" t="str">
        <f aca="true">IF(F1584="", "", DATEDIF(F1584, TODAY(), "Y"))</f>
        <v/>
      </c>
      <c r="H1584" s="18"/>
      <c r="I1584" s="18"/>
      <c r="J1584" s="24" t="str">
        <f aca="true">IF(ISBLANK(H1584), "", I1584-TODAY())</f>
        <v/>
      </c>
      <c r="K1584" s="24" t="str">
        <f aca="false" t="array" ref="K1584:K1584">IF(A1584&lt;&gt;"",IF(COUNTIF(A$996:A1585,"&lt;&gt;")=0,COUNTA(B$996:B1584),IFERROR(MATCH(TRUE(),INDEX((A$996:A1585&lt;&gt;""),0),0),COUNTA(B$996:B1584))),"")</f>
        <v/>
      </c>
      <c r="L1584" s="27"/>
    </row>
    <row r="1585" customFormat="false" ht="13.8" hidden="false" customHeight="false" outlineLevel="0" collapsed="false">
      <c r="A1585" s="16"/>
      <c r="B1585" s="16"/>
      <c r="C1585" s="26"/>
      <c r="D1585" s="26"/>
      <c r="E1585" s="16"/>
      <c r="F1585" s="18"/>
      <c r="G1585" s="19" t="str">
        <f aca="true">IF(F1585="", "", DATEDIF(F1585, TODAY(), "Y"))</f>
        <v/>
      </c>
      <c r="H1585" s="18"/>
      <c r="I1585" s="18"/>
      <c r="J1585" s="24" t="str">
        <f aca="true">IF(ISBLANK(H1585), "", I1585-TODAY())</f>
        <v/>
      </c>
      <c r="K1585" s="24" t="str">
        <f aca="false" t="array" ref="K1585:K1585">IF(A1585&lt;&gt;"",IF(COUNTIF(A$996:A1586,"&lt;&gt;")=0,COUNTA(B$996:B1585),IFERROR(MATCH(TRUE(),INDEX((A$996:A1586&lt;&gt;""),0),0),COUNTA(B$996:B1585))),"")</f>
        <v/>
      </c>
      <c r="L1585" s="27"/>
    </row>
    <row r="1586" customFormat="false" ht="13.8" hidden="false" customHeight="false" outlineLevel="0" collapsed="false">
      <c r="A1586" s="16"/>
      <c r="B1586" s="16"/>
      <c r="C1586" s="26"/>
      <c r="D1586" s="26"/>
      <c r="E1586" s="16"/>
      <c r="F1586" s="18"/>
      <c r="G1586" s="19" t="str">
        <f aca="true">IF(F1586="", "", DATEDIF(F1586, TODAY(), "Y"))</f>
        <v/>
      </c>
      <c r="H1586" s="18"/>
      <c r="I1586" s="18"/>
      <c r="J1586" s="24" t="str">
        <f aca="true">IF(ISBLANK(H1586), "", I1586-TODAY())</f>
        <v/>
      </c>
      <c r="K1586" s="24" t="str">
        <f aca="false" t="array" ref="K1586:K1586">IF(A1586&lt;&gt;"",IF(COUNTIF(A$996:A1587,"&lt;&gt;")=0,COUNTA(B$996:B1586),IFERROR(MATCH(TRUE(),INDEX((A$996:A1587&lt;&gt;""),0),0),COUNTA(B$996:B1586))),"")</f>
        <v/>
      </c>
      <c r="L1586" s="27"/>
    </row>
    <row r="1587" customFormat="false" ht="13.8" hidden="false" customHeight="false" outlineLevel="0" collapsed="false">
      <c r="A1587" s="16"/>
      <c r="B1587" s="16"/>
      <c r="C1587" s="26"/>
      <c r="D1587" s="26"/>
      <c r="E1587" s="16"/>
      <c r="F1587" s="18"/>
      <c r="G1587" s="19" t="str">
        <f aca="true">IF(F1587="", "", DATEDIF(F1587, TODAY(), "Y"))</f>
        <v/>
      </c>
      <c r="H1587" s="18"/>
      <c r="I1587" s="18"/>
      <c r="J1587" s="24" t="str">
        <f aca="true">IF(ISBLANK(H1587), "", I1587-TODAY())</f>
        <v/>
      </c>
      <c r="K1587" s="24" t="str">
        <f aca="false" t="array" ref="K1587:K1587">IF(A1587&lt;&gt;"",IF(COUNTIF(A$996:A1588,"&lt;&gt;")=0,COUNTA(B$996:B1587),IFERROR(MATCH(TRUE(),INDEX((A$996:A1588&lt;&gt;""),0),0),COUNTA(B$996:B1587))),"")</f>
        <v/>
      </c>
      <c r="L1587" s="27"/>
    </row>
    <row r="1588" customFormat="false" ht="13.8" hidden="false" customHeight="false" outlineLevel="0" collapsed="false">
      <c r="A1588" s="16"/>
      <c r="B1588" s="16"/>
      <c r="C1588" s="26"/>
      <c r="D1588" s="26"/>
      <c r="E1588" s="16"/>
      <c r="F1588" s="18"/>
      <c r="G1588" s="19" t="str">
        <f aca="true">IF(F1588="", "", DATEDIF(F1588, TODAY(), "Y"))</f>
        <v/>
      </c>
      <c r="H1588" s="18"/>
      <c r="I1588" s="18"/>
      <c r="J1588" s="24" t="str">
        <f aca="true">IF(ISBLANK(H1588), "", I1588-TODAY())</f>
        <v/>
      </c>
      <c r="K1588" s="24" t="str">
        <f aca="false" t="array" ref="K1588:K1588">IF(A1588&lt;&gt;"",IF(COUNTIF(A$996:A1589,"&lt;&gt;")=0,COUNTA(B$996:B1588),IFERROR(MATCH(TRUE(),INDEX((A$996:A1589&lt;&gt;""),0),0),COUNTA(B$996:B1588))),"")</f>
        <v/>
      </c>
      <c r="L1588" s="27"/>
    </row>
    <row r="1589" customFormat="false" ht="13.8" hidden="false" customHeight="false" outlineLevel="0" collapsed="false">
      <c r="A1589" s="16"/>
      <c r="B1589" s="16"/>
      <c r="C1589" s="26"/>
      <c r="D1589" s="26"/>
      <c r="E1589" s="16"/>
      <c r="F1589" s="18"/>
      <c r="G1589" s="19" t="str">
        <f aca="true">IF(F1589="", "", DATEDIF(F1589, TODAY(), "Y"))</f>
        <v/>
      </c>
      <c r="H1589" s="18"/>
      <c r="I1589" s="18"/>
      <c r="J1589" s="24" t="str">
        <f aca="true">IF(ISBLANK(H1589), "", I1589-TODAY())</f>
        <v/>
      </c>
      <c r="K1589" s="24" t="str">
        <f aca="false" t="array" ref="K1589:K1589">IF(A1589&lt;&gt;"",IF(COUNTIF(A$996:A1590,"&lt;&gt;")=0,COUNTA(B$996:B1589),IFERROR(MATCH(TRUE(),INDEX((A$996:A1590&lt;&gt;""),0),0),COUNTA(B$996:B1589))),"")</f>
        <v/>
      </c>
      <c r="L1589" s="27"/>
    </row>
    <row r="1590" customFormat="false" ht="13.8" hidden="false" customHeight="false" outlineLevel="0" collapsed="false">
      <c r="A1590" s="16"/>
      <c r="B1590" s="16"/>
      <c r="C1590" s="26"/>
      <c r="D1590" s="26"/>
      <c r="E1590" s="16"/>
      <c r="F1590" s="18"/>
      <c r="G1590" s="19" t="str">
        <f aca="true">IF(F1590="", "", DATEDIF(F1590, TODAY(), "Y"))</f>
        <v/>
      </c>
      <c r="H1590" s="18"/>
      <c r="I1590" s="18"/>
      <c r="J1590" s="24" t="str">
        <f aca="true">IF(ISBLANK(H1590), "", I1590-TODAY())</f>
        <v/>
      </c>
      <c r="K1590" s="24" t="str">
        <f aca="false" t="array" ref="K1590:K1590">IF(A1590&lt;&gt;"",IF(COUNTIF(A$996:A1591,"&lt;&gt;")=0,COUNTA(B$996:B1590),IFERROR(MATCH(TRUE(),INDEX((A$996:A1591&lt;&gt;""),0),0),COUNTA(B$996:B1590))),"")</f>
        <v/>
      </c>
      <c r="L1590" s="27"/>
    </row>
    <row r="1591" customFormat="false" ht="13.8" hidden="false" customHeight="false" outlineLevel="0" collapsed="false">
      <c r="A1591" s="16"/>
      <c r="B1591" s="16"/>
      <c r="C1591" s="26"/>
      <c r="D1591" s="26"/>
      <c r="E1591" s="16"/>
      <c r="F1591" s="18"/>
      <c r="G1591" s="19" t="str">
        <f aca="true">IF(F1591="", "", DATEDIF(F1591, TODAY(), "Y"))</f>
        <v/>
      </c>
      <c r="H1591" s="18"/>
      <c r="I1591" s="18"/>
      <c r="J1591" s="24" t="str">
        <f aca="true">IF(ISBLANK(H1591), "", I1591-TODAY())</f>
        <v/>
      </c>
      <c r="K1591" s="24" t="str">
        <f aca="false" t="array" ref="K1591:K1591">IF(A1591&lt;&gt;"",IF(COUNTIF(A$996:A1592,"&lt;&gt;")=0,COUNTA(B$996:B1591),IFERROR(MATCH(TRUE(),INDEX((A$996:A1592&lt;&gt;""),0),0),COUNTA(B$996:B1591))),"")</f>
        <v/>
      </c>
      <c r="L1591" s="27"/>
    </row>
    <row r="1592" customFormat="false" ht="13.8" hidden="false" customHeight="false" outlineLevel="0" collapsed="false">
      <c r="A1592" s="16"/>
      <c r="B1592" s="16"/>
      <c r="C1592" s="26"/>
      <c r="D1592" s="26"/>
      <c r="E1592" s="16"/>
      <c r="F1592" s="18"/>
      <c r="G1592" s="19" t="str">
        <f aca="true">IF(F1592="", "", DATEDIF(F1592, TODAY(), "Y"))</f>
        <v/>
      </c>
      <c r="H1592" s="18"/>
      <c r="I1592" s="18"/>
      <c r="J1592" s="24" t="str">
        <f aca="true">IF(ISBLANK(H1592), "", I1592-TODAY())</f>
        <v/>
      </c>
      <c r="K1592" s="24" t="str">
        <f aca="false" t="array" ref="K1592:K1592">IF(A1592&lt;&gt;"",IF(COUNTIF(A$996:A1593,"&lt;&gt;")=0,COUNTA(B$996:B1592),IFERROR(MATCH(TRUE(),INDEX((A$996:A1593&lt;&gt;""),0),0),COUNTA(B$996:B1592))),"")</f>
        <v/>
      </c>
      <c r="L1592" s="27"/>
    </row>
    <row r="1593" customFormat="false" ht="13.8" hidden="false" customHeight="false" outlineLevel="0" collapsed="false">
      <c r="A1593" s="16"/>
      <c r="B1593" s="16"/>
      <c r="C1593" s="26"/>
      <c r="D1593" s="26"/>
      <c r="E1593" s="16"/>
      <c r="F1593" s="18"/>
      <c r="G1593" s="19" t="str">
        <f aca="true">IF(F1593="", "", DATEDIF(F1593, TODAY(), "Y"))</f>
        <v/>
      </c>
      <c r="H1593" s="18"/>
      <c r="I1593" s="18"/>
      <c r="J1593" s="24" t="str">
        <f aca="true">IF(ISBLANK(H1593), "", I1593-TODAY())</f>
        <v/>
      </c>
      <c r="K1593" s="24" t="str">
        <f aca="false" t="array" ref="K1593:K1593">IF(A1593&lt;&gt;"",IF(COUNTIF(A$996:A1594,"&lt;&gt;")=0,COUNTA(B$996:B1593),IFERROR(MATCH(TRUE(),INDEX((A$996:A1594&lt;&gt;""),0),0),COUNTA(B$996:B1593))),"")</f>
        <v/>
      </c>
      <c r="L1593" s="27"/>
    </row>
    <row r="1594" customFormat="false" ht="13.8" hidden="false" customHeight="false" outlineLevel="0" collapsed="false">
      <c r="A1594" s="16"/>
      <c r="B1594" s="16"/>
      <c r="C1594" s="26"/>
      <c r="D1594" s="26"/>
      <c r="E1594" s="16"/>
      <c r="F1594" s="18"/>
      <c r="G1594" s="19" t="str">
        <f aca="true">IF(F1594="", "", DATEDIF(F1594, TODAY(), "Y"))</f>
        <v/>
      </c>
      <c r="H1594" s="18"/>
      <c r="I1594" s="18"/>
      <c r="J1594" s="24" t="str">
        <f aca="true">IF(ISBLANK(H1594), "", I1594-TODAY())</f>
        <v/>
      </c>
      <c r="K1594" s="24" t="str">
        <f aca="false" t="array" ref="K1594:K1594">IF(A1594&lt;&gt;"",IF(COUNTIF(A$996:A1595,"&lt;&gt;")=0,COUNTA(B$996:B1594),IFERROR(MATCH(TRUE(),INDEX((A$996:A1595&lt;&gt;""),0),0),COUNTA(B$996:B1594))),"")</f>
        <v/>
      </c>
      <c r="L1594" s="27"/>
    </row>
    <row r="1595" customFormat="false" ht="13.8" hidden="false" customHeight="false" outlineLevel="0" collapsed="false">
      <c r="A1595" s="16"/>
      <c r="B1595" s="16"/>
      <c r="C1595" s="26"/>
      <c r="D1595" s="26"/>
      <c r="E1595" s="16"/>
      <c r="F1595" s="18"/>
      <c r="G1595" s="19" t="str">
        <f aca="true">IF(F1595="", "", DATEDIF(F1595, TODAY(), "Y"))</f>
        <v/>
      </c>
      <c r="H1595" s="18"/>
      <c r="I1595" s="18"/>
      <c r="J1595" s="24" t="str">
        <f aca="true">IF(ISBLANK(H1595), "", I1595-TODAY())</f>
        <v/>
      </c>
      <c r="K1595" s="24" t="str">
        <f aca="false" t="array" ref="K1595:K1595">IF(A1595&lt;&gt;"",IF(COUNTIF(A$996:A1596,"&lt;&gt;")=0,COUNTA(B$996:B1595),IFERROR(MATCH(TRUE(),INDEX((A$996:A1596&lt;&gt;""),0),0),COUNTA(B$996:B1595))),"")</f>
        <v/>
      </c>
      <c r="L1595" s="27"/>
    </row>
    <row r="1596" customFormat="false" ht="13.8" hidden="false" customHeight="false" outlineLevel="0" collapsed="false">
      <c r="A1596" s="16"/>
      <c r="B1596" s="16"/>
      <c r="C1596" s="26"/>
      <c r="D1596" s="26"/>
      <c r="E1596" s="16"/>
      <c r="F1596" s="18"/>
      <c r="G1596" s="19" t="str">
        <f aca="true">IF(F1596="", "", DATEDIF(F1596, TODAY(), "Y"))</f>
        <v/>
      </c>
      <c r="H1596" s="18"/>
      <c r="I1596" s="18"/>
      <c r="J1596" s="24" t="str">
        <f aca="true">IF(ISBLANK(H1596), "", I1596-TODAY())</f>
        <v/>
      </c>
      <c r="K1596" s="24" t="str">
        <f aca="false" t="array" ref="K1596:K1596">IF(A1596&lt;&gt;"",IF(COUNTIF(A$996:A1597,"&lt;&gt;")=0,COUNTA(B$996:B1596),IFERROR(MATCH(TRUE(),INDEX((A$996:A1597&lt;&gt;""),0),0),COUNTA(B$996:B1596))),"")</f>
        <v/>
      </c>
      <c r="L1596" s="27"/>
    </row>
    <row r="1597" customFormat="false" ht="13.8" hidden="false" customHeight="false" outlineLevel="0" collapsed="false">
      <c r="A1597" s="16"/>
      <c r="B1597" s="16"/>
      <c r="C1597" s="26"/>
      <c r="D1597" s="26"/>
      <c r="E1597" s="16"/>
      <c r="F1597" s="18"/>
      <c r="G1597" s="19" t="str">
        <f aca="true">IF(F1597="", "", DATEDIF(F1597, TODAY(), "Y"))</f>
        <v/>
      </c>
      <c r="H1597" s="18"/>
      <c r="I1597" s="18"/>
      <c r="J1597" s="24" t="str">
        <f aca="true">IF(ISBLANK(H1597), "", I1597-TODAY())</f>
        <v/>
      </c>
      <c r="K1597" s="24" t="str">
        <f aca="false" t="array" ref="K1597:K1597">IF(A1597&lt;&gt;"",IF(COUNTIF(A$996:A1598,"&lt;&gt;")=0,COUNTA(B$996:B1597),IFERROR(MATCH(TRUE(),INDEX((A$996:A1598&lt;&gt;""),0),0),COUNTA(B$996:B1597))),"")</f>
        <v/>
      </c>
      <c r="L1597" s="27"/>
    </row>
    <row r="1598" customFormat="false" ht="13.8" hidden="false" customHeight="false" outlineLevel="0" collapsed="false">
      <c r="A1598" s="16"/>
      <c r="B1598" s="16"/>
      <c r="C1598" s="26"/>
      <c r="D1598" s="26"/>
      <c r="E1598" s="16"/>
      <c r="F1598" s="18"/>
      <c r="G1598" s="19" t="str">
        <f aca="true">IF(F1598="", "", DATEDIF(F1598, TODAY(), "Y"))</f>
        <v/>
      </c>
      <c r="H1598" s="18"/>
      <c r="I1598" s="18"/>
      <c r="J1598" s="24" t="str">
        <f aca="true">IF(ISBLANK(H1598), "", I1598-TODAY())</f>
        <v/>
      </c>
      <c r="K1598" s="24" t="str">
        <f aca="false" t="array" ref="K1598:K1598">IF(A1598&lt;&gt;"",IF(COUNTIF(A$996:A1599,"&lt;&gt;")=0,COUNTA(B$996:B1598),IFERROR(MATCH(TRUE(),INDEX((A$996:A1599&lt;&gt;""),0),0),COUNTA(B$996:B1598))),"")</f>
        <v/>
      </c>
      <c r="L1598" s="27"/>
    </row>
    <row r="1599" customFormat="false" ht="13.8" hidden="false" customHeight="false" outlineLevel="0" collapsed="false">
      <c r="A1599" s="16"/>
      <c r="B1599" s="16"/>
      <c r="C1599" s="26"/>
      <c r="D1599" s="26"/>
      <c r="E1599" s="16"/>
      <c r="F1599" s="18"/>
      <c r="G1599" s="19" t="str">
        <f aca="true">IF(F1599="", "", DATEDIF(F1599, TODAY(), "Y"))</f>
        <v/>
      </c>
      <c r="H1599" s="18"/>
      <c r="I1599" s="18"/>
      <c r="J1599" s="24" t="str">
        <f aca="true">IF(ISBLANK(H1599), "", I1599-TODAY())</f>
        <v/>
      </c>
      <c r="K1599" s="24" t="str">
        <f aca="false" t="array" ref="K1599:K1599">IF(A1599&lt;&gt;"",IF(COUNTIF(A$996:A1600,"&lt;&gt;")=0,COUNTA(B$996:B1599),IFERROR(MATCH(TRUE(),INDEX((A$996:A1600&lt;&gt;""),0),0),COUNTA(B$996:B1599))),"")</f>
        <v/>
      </c>
      <c r="L1599" s="27"/>
    </row>
    <row r="1600" customFormat="false" ht="13.8" hidden="false" customHeight="false" outlineLevel="0" collapsed="false">
      <c r="A1600" s="16"/>
      <c r="B1600" s="16"/>
      <c r="C1600" s="26"/>
      <c r="D1600" s="26"/>
      <c r="E1600" s="16"/>
      <c r="F1600" s="18"/>
      <c r="G1600" s="19" t="str">
        <f aca="true">IF(F1600="", "", DATEDIF(F1600, TODAY(), "Y"))</f>
        <v/>
      </c>
      <c r="H1600" s="18"/>
      <c r="I1600" s="18"/>
      <c r="J1600" s="24" t="str">
        <f aca="true">IF(ISBLANK(H1600), "", I1600-TODAY())</f>
        <v/>
      </c>
      <c r="K1600" s="24" t="str">
        <f aca="false" t="array" ref="K1600:K1600">IF(A1600&lt;&gt;"",IF(COUNTIF(A$996:A1601,"&lt;&gt;")=0,COUNTA(B$996:B1600),IFERROR(MATCH(TRUE(),INDEX((A$996:A1601&lt;&gt;""),0),0),COUNTA(B$996:B1600))),"")</f>
        <v/>
      </c>
      <c r="L1600" s="27"/>
    </row>
    <row r="1601" customFormat="false" ht="13.8" hidden="false" customHeight="false" outlineLevel="0" collapsed="false">
      <c r="A1601" s="16"/>
      <c r="B1601" s="16"/>
      <c r="C1601" s="26"/>
      <c r="D1601" s="26"/>
      <c r="E1601" s="16"/>
      <c r="F1601" s="18"/>
      <c r="G1601" s="19" t="str">
        <f aca="true">IF(F1601="", "", DATEDIF(F1601, TODAY(), "Y"))</f>
        <v/>
      </c>
      <c r="H1601" s="18"/>
      <c r="I1601" s="18"/>
      <c r="J1601" s="24" t="str">
        <f aca="true">IF(ISBLANK(H1601), "", I1601-TODAY())</f>
        <v/>
      </c>
      <c r="K1601" s="24" t="str">
        <f aca="false" t="array" ref="K1601:K1601">IF(A1601&lt;&gt;"",IF(COUNTIF(A$996:A1602,"&lt;&gt;")=0,COUNTA(B$996:B1601),IFERROR(MATCH(TRUE(),INDEX((A$996:A1602&lt;&gt;""),0),0),COUNTA(B$996:B1601))),"")</f>
        <v/>
      </c>
      <c r="L1601" s="27"/>
    </row>
    <row r="1602" customFormat="false" ht="13.8" hidden="false" customHeight="false" outlineLevel="0" collapsed="false">
      <c r="A1602" s="16"/>
      <c r="B1602" s="16"/>
      <c r="C1602" s="26"/>
      <c r="D1602" s="26"/>
      <c r="E1602" s="16"/>
      <c r="F1602" s="18"/>
      <c r="G1602" s="19" t="str">
        <f aca="true">IF(F1602="", "", DATEDIF(F1602, TODAY(), "Y"))</f>
        <v/>
      </c>
      <c r="H1602" s="18"/>
      <c r="I1602" s="18"/>
      <c r="J1602" s="24" t="str">
        <f aca="true">IF(ISBLANK(H1602), "", I1602-TODAY())</f>
        <v/>
      </c>
      <c r="K1602" s="24" t="str">
        <f aca="false" t="array" ref="K1602:K1602">IF(A1602&lt;&gt;"",IF(COUNTIF(A$996:A1603,"&lt;&gt;")=0,COUNTA(B$996:B1602),IFERROR(MATCH(TRUE(),INDEX((A$996:A1603&lt;&gt;""),0),0),COUNTA(B$996:B1602))),"")</f>
        <v/>
      </c>
      <c r="L1602" s="27"/>
    </row>
    <row r="1603" customFormat="false" ht="13.8" hidden="false" customHeight="false" outlineLevel="0" collapsed="false">
      <c r="A1603" s="16"/>
      <c r="B1603" s="16"/>
      <c r="C1603" s="26"/>
      <c r="D1603" s="26"/>
      <c r="E1603" s="16"/>
      <c r="F1603" s="18"/>
      <c r="G1603" s="19" t="str">
        <f aca="true">IF(F1603="", "", DATEDIF(F1603, TODAY(), "Y"))</f>
        <v/>
      </c>
      <c r="H1603" s="18"/>
      <c r="I1603" s="18"/>
      <c r="J1603" s="24" t="str">
        <f aca="true">IF(ISBLANK(H1603), "", I1603-TODAY())</f>
        <v/>
      </c>
      <c r="K1603" s="24" t="str">
        <f aca="false" t="array" ref="K1603:K1603">IF(A1603&lt;&gt;"",IF(COUNTIF(A$996:A1604,"&lt;&gt;")=0,COUNTA(B$996:B1603),IFERROR(MATCH(TRUE(),INDEX((A$996:A1604&lt;&gt;""),0),0),COUNTA(B$996:B1603))),"")</f>
        <v/>
      </c>
      <c r="L1603" s="27"/>
    </row>
    <row r="1604" customFormat="false" ht="13.8" hidden="false" customHeight="false" outlineLevel="0" collapsed="false">
      <c r="A1604" s="16"/>
      <c r="B1604" s="16"/>
      <c r="C1604" s="26"/>
      <c r="D1604" s="26"/>
      <c r="E1604" s="16"/>
      <c r="F1604" s="18"/>
      <c r="G1604" s="19" t="str">
        <f aca="true">IF(F1604="", "", DATEDIF(F1604, TODAY(), "Y"))</f>
        <v/>
      </c>
      <c r="H1604" s="18"/>
      <c r="I1604" s="18"/>
      <c r="J1604" s="24" t="str">
        <f aca="true">IF(ISBLANK(H1604), "", I1604-TODAY())</f>
        <v/>
      </c>
      <c r="K1604" s="24" t="str">
        <f aca="false" t="array" ref="K1604:K1604">IF(A1604&lt;&gt;"",IF(COUNTIF(A$996:A1605,"&lt;&gt;")=0,COUNTA(B$996:B1604),IFERROR(MATCH(TRUE(),INDEX((A$996:A1605&lt;&gt;""),0),0),COUNTA(B$996:B1604))),"")</f>
        <v/>
      </c>
      <c r="L1604" s="27"/>
    </row>
    <row r="1605" customFormat="false" ht="13.8" hidden="false" customHeight="false" outlineLevel="0" collapsed="false">
      <c r="A1605" s="16"/>
      <c r="B1605" s="16"/>
      <c r="C1605" s="26"/>
      <c r="D1605" s="26"/>
      <c r="E1605" s="16"/>
      <c r="F1605" s="18"/>
      <c r="G1605" s="19" t="str">
        <f aca="true">IF(F1605="", "", DATEDIF(F1605, TODAY(), "Y"))</f>
        <v/>
      </c>
      <c r="H1605" s="18"/>
      <c r="I1605" s="18"/>
      <c r="J1605" s="24" t="str">
        <f aca="true">IF(ISBLANK(H1605), "", I1605-TODAY())</f>
        <v/>
      </c>
      <c r="K1605" s="24" t="str">
        <f aca="false" t="array" ref="K1605:K1605">IF(A1605&lt;&gt;"",IF(COUNTIF(A$996:A1606,"&lt;&gt;")=0,COUNTA(B$996:B1605),IFERROR(MATCH(TRUE(),INDEX((A$996:A1606&lt;&gt;""),0),0),COUNTA(B$996:B1605))),"")</f>
        <v/>
      </c>
      <c r="L1605" s="27"/>
    </row>
    <row r="1606" customFormat="false" ht="13.8" hidden="false" customHeight="false" outlineLevel="0" collapsed="false">
      <c r="A1606" s="16"/>
      <c r="B1606" s="16"/>
      <c r="C1606" s="26"/>
      <c r="D1606" s="26"/>
      <c r="E1606" s="16"/>
      <c r="F1606" s="18"/>
      <c r="G1606" s="19" t="str">
        <f aca="true">IF(F1606="", "", DATEDIF(F1606, TODAY(), "Y"))</f>
        <v/>
      </c>
      <c r="H1606" s="18"/>
      <c r="I1606" s="18"/>
      <c r="J1606" s="24" t="str">
        <f aca="true">IF(ISBLANK(H1606), "", I1606-TODAY())</f>
        <v/>
      </c>
      <c r="K1606" s="24" t="str">
        <f aca="false" t="array" ref="K1606:K1606">IF(A1606&lt;&gt;"",IF(COUNTIF(A$996:A1607,"&lt;&gt;")=0,COUNTA(B$996:B1606),IFERROR(MATCH(TRUE(),INDEX((A$996:A1607&lt;&gt;""),0),0),COUNTA(B$996:B1606))),"")</f>
        <v/>
      </c>
      <c r="L1606" s="27"/>
    </row>
    <row r="1607" customFormat="false" ht="13.8" hidden="false" customHeight="false" outlineLevel="0" collapsed="false">
      <c r="A1607" s="16"/>
      <c r="B1607" s="16"/>
      <c r="C1607" s="26"/>
      <c r="D1607" s="26"/>
      <c r="E1607" s="16"/>
      <c r="F1607" s="18"/>
      <c r="G1607" s="19" t="str">
        <f aca="true">IF(F1607="", "", DATEDIF(F1607, TODAY(), "Y"))</f>
        <v/>
      </c>
      <c r="H1607" s="18"/>
      <c r="I1607" s="18"/>
      <c r="J1607" s="24" t="str">
        <f aca="true">IF(ISBLANK(H1607), "", I1607-TODAY())</f>
        <v/>
      </c>
      <c r="K1607" s="24" t="str">
        <f aca="false" t="array" ref="K1607:K1607">IF(A1607&lt;&gt;"",IF(COUNTIF(A$996:A1608,"&lt;&gt;")=0,COUNTA(B$996:B1607),IFERROR(MATCH(TRUE(),INDEX((A$996:A1608&lt;&gt;""),0),0),COUNTA(B$996:B1607))),"")</f>
        <v/>
      </c>
      <c r="L1607" s="27"/>
    </row>
    <row r="1608" customFormat="false" ht="13.8" hidden="false" customHeight="false" outlineLevel="0" collapsed="false">
      <c r="A1608" s="16"/>
      <c r="B1608" s="16"/>
      <c r="C1608" s="26"/>
      <c r="D1608" s="26"/>
      <c r="E1608" s="16"/>
      <c r="F1608" s="18"/>
      <c r="G1608" s="19" t="str">
        <f aca="true">IF(F1608="", "", DATEDIF(F1608, TODAY(), "Y"))</f>
        <v/>
      </c>
      <c r="H1608" s="18"/>
      <c r="I1608" s="18"/>
      <c r="J1608" s="24" t="str">
        <f aca="true">IF(ISBLANK(H1608), "", I1608-TODAY())</f>
        <v/>
      </c>
      <c r="K1608" s="24" t="str">
        <f aca="false" t="array" ref="K1608:K1608">IF(A1608&lt;&gt;"",IF(COUNTIF(A$996:A1609,"&lt;&gt;")=0,COUNTA(B$996:B1608),IFERROR(MATCH(TRUE(),INDEX((A$996:A1609&lt;&gt;""),0),0),COUNTA(B$996:B1608))),"")</f>
        <v/>
      </c>
      <c r="L1608" s="27"/>
    </row>
    <row r="1609" customFormat="false" ht="13.8" hidden="false" customHeight="false" outlineLevel="0" collapsed="false">
      <c r="A1609" s="16"/>
      <c r="B1609" s="16"/>
      <c r="C1609" s="26"/>
      <c r="D1609" s="26"/>
      <c r="E1609" s="16"/>
      <c r="F1609" s="18"/>
      <c r="G1609" s="19" t="str">
        <f aca="true">IF(F1609="", "", DATEDIF(F1609, TODAY(), "Y"))</f>
        <v/>
      </c>
      <c r="H1609" s="18"/>
      <c r="I1609" s="18"/>
      <c r="J1609" s="24" t="str">
        <f aca="true">IF(ISBLANK(H1609), "", I1609-TODAY())</f>
        <v/>
      </c>
      <c r="K1609" s="24" t="str">
        <f aca="false" t="array" ref="K1609:K1609">IF(A1609&lt;&gt;"",IF(COUNTIF(A$996:A1610,"&lt;&gt;")=0,COUNTA(B$996:B1609),IFERROR(MATCH(TRUE(),INDEX((A$996:A1610&lt;&gt;""),0),0),COUNTA(B$996:B1609))),"")</f>
        <v/>
      </c>
      <c r="L1609" s="27"/>
    </row>
    <row r="1610" customFormat="false" ht="13.8" hidden="false" customHeight="false" outlineLevel="0" collapsed="false">
      <c r="A1610" s="16"/>
      <c r="B1610" s="16"/>
      <c r="C1610" s="26"/>
      <c r="D1610" s="26"/>
      <c r="E1610" s="16"/>
      <c r="F1610" s="18"/>
      <c r="G1610" s="19" t="str">
        <f aca="true">IF(F1610="", "", DATEDIF(F1610, TODAY(), "Y"))</f>
        <v/>
      </c>
      <c r="H1610" s="18"/>
      <c r="I1610" s="18"/>
      <c r="J1610" s="24" t="str">
        <f aca="true">IF(ISBLANK(H1610), "", I1610-TODAY())</f>
        <v/>
      </c>
      <c r="K1610" s="24" t="str">
        <f aca="false" t="array" ref="K1610:K1610">IF(A1610&lt;&gt;"",IF(COUNTIF(A$996:A1611,"&lt;&gt;")=0,COUNTA(B$996:B1610),IFERROR(MATCH(TRUE(),INDEX((A$996:A1611&lt;&gt;""),0),0),COUNTA(B$996:B1610))),"")</f>
        <v/>
      </c>
      <c r="L1610" s="27"/>
    </row>
    <row r="1611" customFormat="false" ht="13.8" hidden="false" customHeight="false" outlineLevel="0" collapsed="false">
      <c r="A1611" s="16"/>
      <c r="B1611" s="16"/>
      <c r="C1611" s="26"/>
      <c r="D1611" s="26"/>
      <c r="E1611" s="16"/>
      <c r="F1611" s="18"/>
      <c r="G1611" s="19" t="str">
        <f aca="true">IF(F1611="", "", DATEDIF(F1611, TODAY(), "Y"))</f>
        <v/>
      </c>
      <c r="H1611" s="18"/>
      <c r="I1611" s="18"/>
      <c r="J1611" s="24" t="str">
        <f aca="true">IF(ISBLANK(H1611), "", I1611-TODAY())</f>
        <v/>
      </c>
      <c r="K1611" s="24" t="str">
        <f aca="false" t="array" ref="K1611:K1611">IF(A1611&lt;&gt;"",IF(COUNTIF(A$996:A1612,"&lt;&gt;")=0,COUNTA(B$996:B1611),IFERROR(MATCH(TRUE(),INDEX((A$996:A1612&lt;&gt;""),0),0),COUNTA(B$996:B1611))),"")</f>
        <v/>
      </c>
      <c r="L1611" s="27"/>
    </row>
    <row r="1612" customFormat="false" ht="13.8" hidden="false" customHeight="false" outlineLevel="0" collapsed="false">
      <c r="A1612" s="16"/>
      <c r="B1612" s="16"/>
      <c r="C1612" s="26"/>
      <c r="D1612" s="26"/>
      <c r="E1612" s="16"/>
      <c r="F1612" s="18"/>
      <c r="G1612" s="19" t="str">
        <f aca="true">IF(F1612="", "", DATEDIF(F1612, TODAY(), "Y"))</f>
        <v/>
      </c>
      <c r="H1612" s="18"/>
      <c r="I1612" s="18"/>
      <c r="J1612" s="24" t="str">
        <f aca="true">IF(ISBLANK(H1612), "", I1612-TODAY())</f>
        <v/>
      </c>
      <c r="K1612" s="24" t="str">
        <f aca="false" t="array" ref="K1612:K1612">IF(A1612&lt;&gt;"",IF(COUNTIF(A$996:A1613,"&lt;&gt;")=0,COUNTA(B$996:B1612),IFERROR(MATCH(TRUE(),INDEX((A$996:A1613&lt;&gt;""),0),0),COUNTA(B$996:B1612))),"")</f>
        <v/>
      </c>
      <c r="L1612" s="27"/>
    </row>
    <row r="1613" customFormat="false" ht="13.8" hidden="false" customHeight="false" outlineLevel="0" collapsed="false">
      <c r="A1613" s="16"/>
      <c r="B1613" s="16"/>
      <c r="C1613" s="26"/>
      <c r="D1613" s="26"/>
      <c r="E1613" s="16"/>
      <c r="F1613" s="18"/>
      <c r="G1613" s="19" t="str">
        <f aca="true">IF(F1613="", "", DATEDIF(F1613, TODAY(), "Y"))</f>
        <v/>
      </c>
      <c r="H1613" s="18"/>
      <c r="I1613" s="18"/>
      <c r="J1613" s="24" t="str">
        <f aca="true">IF(ISBLANK(H1613), "", I1613-TODAY())</f>
        <v/>
      </c>
      <c r="K1613" s="24" t="str">
        <f aca="false" t="array" ref="K1613:K1613">IF(A1613&lt;&gt;"",IF(COUNTIF(A$996:A1614,"&lt;&gt;")=0,COUNTA(B$996:B1613),IFERROR(MATCH(TRUE(),INDEX((A$996:A1614&lt;&gt;""),0),0),COUNTA(B$996:B1613))),"")</f>
        <v/>
      </c>
      <c r="L1613" s="27"/>
    </row>
    <row r="1614" customFormat="false" ht="13.8" hidden="false" customHeight="false" outlineLevel="0" collapsed="false">
      <c r="A1614" s="16"/>
      <c r="B1614" s="16"/>
      <c r="C1614" s="26"/>
      <c r="D1614" s="26"/>
      <c r="E1614" s="16"/>
      <c r="F1614" s="18"/>
      <c r="G1614" s="19" t="str">
        <f aca="true">IF(F1614="", "", DATEDIF(F1614, TODAY(), "Y"))</f>
        <v/>
      </c>
      <c r="H1614" s="18"/>
      <c r="I1614" s="18"/>
      <c r="J1614" s="24" t="str">
        <f aca="true">IF(ISBLANK(H1614), "", I1614-TODAY())</f>
        <v/>
      </c>
      <c r="K1614" s="24" t="str">
        <f aca="false" t="array" ref="K1614:K1614">IF(A1614&lt;&gt;"",IF(COUNTIF(A$996:A1615,"&lt;&gt;")=0,COUNTA(B$996:B1614),IFERROR(MATCH(TRUE(),INDEX((A$996:A1615&lt;&gt;""),0),0),COUNTA(B$996:B1614))),"")</f>
        <v/>
      </c>
      <c r="L1614" s="27"/>
    </row>
    <row r="1615" customFormat="false" ht="13.8" hidden="false" customHeight="false" outlineLevel="0" collapsed="false">
      <c r="A1615" s="16"/>
      <c r="B1615" s="16"/>
      <c r="C1615" s="26"/>
      <c r="D1615" s="26"/>
      <c r="E1615" s="16"/>
      <c r="F1615" s="18"/>
      <c r="G1615" s="19" t="str">
        <f aca="true">IF(F1615="", "", DATEDIF(F1615, TODAY(), "Y"))</f>
        <v/>
      </c>
      <c r="H1615" s="18"/>
      <c r="I1615" s="18"/>
      <c r="J1615" s="24" t="str">
        <f aca="true">IF(ISBLANK(H1615), "", I1615-TODAY())</f>
        <v/>
      </c>
      <c r="K1615" s="24" t="str">
        <f aca="false" t="array" ref="K1615:K1615">IF(A1615&lt;&gt;"",IF(COUNTIF(A$996:A1616,"&lt;&gt;")=0,COUNTA(B$996:B1615),IFERROR(MATCH(TRUE(),INDEX((A$996:A1616&lt;&gt;""),0),0),COUNTA(B$996:B1615))),"")</f>
        <v/>
      </c>
      <c r="L1615" s="27"/>
    </row>
    <row r="1616" customFormat="false" ht="13.8" hidden="false" customHeight="false" outlineLevel="0" collapsed="false">
      <c r="A1616" s="16"/>
      <c r="B1616" s="16"/>
      <c r="C1616" s="26"/>
      <c r="D1616" s="26"/>
      <c r="E1616" s="16"/>
      <c r="F1616" s="18"/>
      <c r="G1616" s="19" t="str">
        <f aca="true">IF(F1616="", "", DATEDIF(F1616, TODAY(), "Y"))</f>
        <v/>
      </c>
      <c r="H1616" s="18"/>
      <c r="I1616" s="18"/>
      <c r="J1616" s="24" t="str">
        <f aca="true">IF(ISBLANK(H1616), "", I1616-TODAY())</f>
        <v/>
      </c>
      <c r="K1616" s="24" t="str">
        <f aca="false" t="array" ref="K1616:K1616">IF(A1616&lt;&gt;"",IF(COUNTIF(A$996:A1617,"&lt;&gt;")=0,COUNTA(B$996:B1616),IFERROR(MATCH(TRUE(),INDEX((A$996:A1617&lt;&gt;""),0),0),COUNTA(B$996:B1616))),"")</f>
        <v/>
      </c>
      <c r="L1616" s="27"/>
    </row>
    <row r="1617" customFormat="false" ht="13.8" hidden="false" customHeight="false" outlineLevel="0" collapsed="false">
      <c r="A1617" s="16"/>
      <c r="B1617" s="16"/>
      <c r="C1617" s="26"/>
      <c r="D1617" s="26"/>
      <c r="E1617" s="16"/>
      <c r="F1617" s="18"/>
      <c r="G1617" s="19" t="str">
        <f aca="true">IF(F1617="", "", DATEDIF(F1617, TODAY(), "Y"))</f>
        <v/>
      </c>
      <c r="H1617" s="18"/>
      <c r="I1617" s="18"/>
      <c r="J1617" s="24" t="str">
        <f aca="true">IF(ISBLANK(H1617), "", I1617-TODAY())</f>
        <v/>
      </c>
      <c r="K1617" s="24" t="str">
        <f aca="false" t="array" ref="K1617:K1617">IF(A1617&lt;&gt;"",IF(COUNTIF(A$996:A1618,"&lt;&gt;")=0,COUNTA(B$996:B1617),IFERROR(MATCH(TRUE(),INDEX((A$996:A1618&lt;&gt;""),0),0),COUNTA(B$996:B1617))),"")</f>
        <v/>
      </c>
      <c r="L1617" s="27"/>
    </row>
    <row r="1618" customFormat="false" ht="13.8" hidden="false" customHeight="false" outlineLevel="0" collapsed="false">
      <c r="A1618" s="16"/>
      <c r="B1618" s="16"/>
      <c r="C1618" s="26"/>
      <c r="D1618" s="26"/>
      <c r="E1618" s="16"/>
      <c r="F1618" s="18"/>
      <c r="G1618" s="19" t="str">
        <f aca="true">IF(F1618="", "", DATEDIF(F1618, TODAY(), "Y"))</f>
        <v/>
      </c>
      <c r="H1618" s="18"/>
      <c r="I1618" s="18"/>
      <c r="J1618" s="24" t="str">
        <f aca="true">IF(ISBLANK(H1618), "", I1618-TODAY())</f>
        <v/>
      </c>
      <c r="K1618" s="24" t="str">
        <f aca="false" t="array" ref="K1618:K1618">IF(A1618&lt;&gt;"",IF(COUNTIF(A$996:A1619,"&lt;&gt;")=0,COUNTA(B$996:B1618),IFERROR(MATCH(TRUE(),INDEX((A$996:A1619&lt;&gt;""),0),0),COUNTA(B$996:B1618))),"")</f>
        <v/>
      </c>
      <c r="L1618" s="27"/>
    </row>
    <row r="1619" customFormat="false" ht="13.8" hidden="false" customHeight="false" outlineLevel="0" collapsed="false">
      <c r="A1619" s="16"/>
      <c r="B1619" s="16"/>
      <c r="C1619" s="26"/>
      <c r="D1619" s="26"/>
      <c r="E1619" s="16"/>
      <c r="F1619" s="18"/>
      <c r="G1619" s="19" t="str">
        <f aca="true">IF(F1619="", "", DATEDIF(F1619, TODAY(), "Y"))</f>
        <v/>
      </c>
      <c r="H1619" s="18"/>
      <c r="I1619" s="18"/>
      <c r="J1619" s="24" t="str">
        <f aca="true">IF(ISBLANK(H1619), "", I1619-TODAY())</f>
        <v/>
      </c>
      <c r="K1619" s="24" t="str">
        <f aca="false" t="array" ref="K1619:K1619">IF(A1619&lt;&gt;"",IF(COUNTIF(A$996:A1620,"&lt;&gt;")=0,COUNTA(B$996:B1619),IFERROR(MATCH(TRUE(),INDEX((A$996:A1620&lt;&gt;""),0),0),COUNTA(B$996:B1619))),"")</f>
        <v/>
      </c>
      <c r="L1619" s="27"/>
    </row>
    <row r="1620" customFormat="false" ht="13.8" hidden="false" customHeight="false" outlineLevel="0" collapsed="false">
      <c r="A1620" s="16"/>
      <c r="B1620" s="16"/>
      <c r="C1620" s="26"/>
      <c r="D1620" s="26"/>
      <c r="E1620" s="16"/>
      <c r="F1620" s="18"/>
      <c r="G1620" s="19" t="str">
        <f aca="true">IF(F1620="", "", DATEDIF(F1620, TODAY(), "Y"))</f>
        <v/>
      </c>
      <c r="H1620" s="18"/>
      <c r="I1620" s="18"/>
      <c r="J1620" s="24" t="str">
        <f aca="true">IF(ISBLANK(H1620), "", I1620-TODAY())</f>
        <v/>
      </c>
      <c r="K1620" s="24" t="str">
        <f aca="false" t="array" ref="K1620:K1620">IF(A1620&lt;&gt;"",IF(COUNTIF(A$996:A1621,"&lt;&gt;")=0,COUNTA(B$996:B1620),IFERROR(MATCH(TRUE(),INDEX((A$996:A1621&lt;&gt;""),0),0),COUNTA(B$996:B1620))),"")</f>
        <v/>
      </c>
      <c r="L1620" s="27"/>
    </row>
    <row r="1621" customFormat="false" ht="13.8" hidden="false" customHeight="false" outlineLevel="0" collapsed="false">
      <c r="A1621" s="16"/>
      <c r="B1621" s="16"/>
      <c r="C1621" s="26"/>
      <c r="D1621" s="26"/>
      <c r="E1621" s="16"/>
      <c r="F1621" s="18"/>
      <c r="G1621" s="19" t="str">
        <f aca="true">IF(F1621="", "", DATEDIF(F1621, TODAY(), "Y"))</f>
        <v/>
      </c>
      <c r="H1621" s="18"/>
      <c r="I1621" s="18"/>
      <c r="J1621" s="24" t="str">
        <f aca="true">IF(ISBLANK(H1621), "", I1621-TODAY())</f>
        <v/>
      </c>
      <c r="K1621" s="24" t="str">
        <f aca="false" t="array" ref="K1621:K1621">IF(A1621&lt;&gt;"",IF(COUNTIF(A$996:A1622,"&lt;&gt;")=0,COUNTA(B$996:B1621),IFERROR(MATCH(TRUE(),INDEX((A$996:A1622&lt;&gt;""),0),0),COUNTA(B$996:B1621))),"")</f>
        <v/>
      </c>
      <c r="L1621" s="27"/>
    </row>
    <row r="1622" customFormat="false" ht="13.8" hidden="false" customHeight="false" outlineLevel="0" collapsed="false">
      <c r="A1622" s="16"/>
      <c r="B1622" s="16"/>
      <c r="C1622" s="26"/>
      <c r="D1622" s="26"/>
      <c r="E1622" s="16"/>
      <c r="F1622" s="18"/>
      <c r="G1622" s="19" t="str">
        <f aca="true">IF(F1622="", "", DATEDIF(F1622, TODAY(), "Y"))</f>
        <v/>
      </c>
      <c r="H1622" s="18"/>
      <c r="I1622" s="18"/>
      <c r="J1622" s="24" t="str">
        <f aca="true">IF(ISBLANK(H1622), "", I1622-TODAY())</f>
        <v/>
      </c>
      <c r="K1622" s="24" t="str">
        <f aca="false" t="array" ref="K1622:K1622">IF(A1622&lt;&gt;"",IF(COUNTIF(A$996:A1623,"&lt;&gt;")=0,COUNTA(B$996:B1622),IFERROR(MATCH(TRUE(),INDEX((A$996:A1623&lt;&gt;""),0),0),COUNTA(B$996:B1622))),"")</f>
        <v/>
      </c>
      <c r="L1622" s="27"/>
    </row>
    <row r="1623" customFormat="false" ht="13.8" hidden="false" customHeight="false" outlineLevel="0" collapsed="false">
      <c r="A1623" s="16"/>
      <c r="B1623" s="16"/>
      <c r="C1623" s="26"/>
      <c r="D1623" s="26"/>
      <c r="E1623" s="16"/>
      <c r="F1623" s="18"/>
      <c r="G1623" s="19" t="str">
        <f aca="true">IF(F1623="", "", DATEDIF(F1623, TODAY(), "Y"))</f>
        <v/>
      </c>
      <c r="H1623" s="18"/>
      <c r="I1623" s="18"/>
      <c r="J1623" s="24" t="str">
        <f aca="true">IF(ISBLANK(H1623), "", I1623-TODAY())</f>
        <v/>
      </c>
      <c r="K1623" s="24" t="str">
        <f aca="false" t="array" ref="K1623:K1623">IF(A1623&lt;&gt;"",IF(COUNTIF(A$996:A1624,"&lt;&gt;")=0,COUNTA(B$996:B1623),IFERROR(MATCH(TRUE(),INDEX((A$996:A1624&lt;&gt;""),0),0),COUNTA(B$996:B1623))),"")</f>
        <v/>
      </c>
      <c r="L1623" s="27"/>
    </row>
    <row r="1624" customFormat="false" ht="13.8" hidden="false" customHeight="false" outlineLevel="0" collapsed="false">
      <c r="A1624" s="16"/>
      <c r="B1624" s="16"/>
      <c r="C1624" s="26"/>
      <c r="D1624" s="26"/>
      <c r="E1624" s="16"/>
      <c r="F1624" s="18"/>
      <c r="G1624" s="19" t="str">
        <f aca="true">IF(F1624="", "", DATEDIF(F1624, TODAY(), "Y"))</f>
        <v/>
      </c>
      <c r="H1624" s="18"/>
      <c r="I1624" s="18"/>
      <c r="J1624" s="24" t="str">
        <f aca="true">IF(ISBLANK(H1624), "", I1624-TODAY())</f>
        <v/>
      </c>
      <c r="K1624" s="24" t="str">
        <f aca="false" t="array" ref="K1624:K1624">IF(A1624&lt;&gt;"",IF(COUNTIF(A$996:A1625,"&lt;&gt;")=0,COUNTA(B$996:B1624),IFERROR(MATCH(TRUE(),INDEX((A$996:A1625&lt;&gt;""),0),0),COUNTA(B$996:B1624))),"")</f>
        <v/>
      </c>
      <c r="L1624" s="27"/>
    </row>
    <row r="1625" customFormat="false" ht="13.8" hidden="false" customHeight="false" outlineLevel="0" collapsed="false">
      <c r="A1625" s="16"/>
      <c r="B1625" s="16"/>
      <c r="C1625" s="26"/>
      <c r="D1625" s="26"/>
      <c r="E1625" s="16"/>
      <c r="F1625" s="18"/>
      <c r="G1625" s="19" t="str">
        <f aca="true">IF(F1625="", "", DATEDIF(F1625, TODAY(), "Y"))</f>
        <v/>
      </c>
      <c r="H1625" s="18"/>
      <c r="I1625" s="18"/>
      <c r="J1625" s="24" t="str">
        <f aca="true">IF(ISBLANK(H1625), "", I1625-TODAY())</f>
        <v/>
      </c>
      <c r="K1625" s="24" t="str">
        <f aca="false" t="array" ref="K1625:K1625">IF(A1625&lt;&gt;"",IF(COUNTIF(A$996:A1626,"&lt;&gt;")=0,COUNTA(B$996:B1625),IFERROR(MATCH(TRUE(),INDEX((A$996:A1626&lt;&gt;""),0),0),COUNTA(B$996:B1625))),"")</f>
        <v/>
      </c>
      <c r="L1625" s="27"/>
    </row>
    <row r="1626" customFormat="false" ht="13.8" hidden="false" customHeight="false" outlineLevel="0" collapsed="false">
      <c r="A1626" s="16"/>
      <c r="B1626" s="16"/>
      <c r="C1626" s="26"/>
      <c r="D1626" s="26"/>
      <c r="E1626" s="16"/>
      <c r="F1626" s="18"/>
      <c r="G1626" s="19" t="str">
        <f aca="true">IF(F1626="", "", DATEDIF(F1626, TODAY(), "Y"))</f>
        <v/>
      </c>
      <c r="H1626" s="18"/>
      <c r="I1626" s="18"/>
      <c r="J1626" s="24" t="str">
        <f aca="true">IF(ISBLANK(H1626), "", I1626-TODAY())</f>
        <v/>
      </c>
      <c r="K1626" s="24" t="str">
        <f aca="false" t="array" ref="K1626:K1626">IF(A1626&lt;&gt;"",IF(COUNTIF(A$996:A1627,"&lt;&gt;")=0,COUNTA(B$996:B1626),IFERROR(MATCH(TRUE(),INDEX((A$996:A1627&lt;&gt;""),0),0),COUNTA(B$996:B1626))),"")</f>
        <v/>
      </c>
      <c r="L1626" s="27"/>
    </row>
    <row r="1627" customFormat="false" ht="13.8" hidden="false" customHeight="false" outlineLevel="0" collapsed="false">
      <c r="A1627" s="16"/>
      <c r="B1627" s="16"/>
      <c r="C1627" s="26"/>
      <c r="D1627" s="26"/>
      <c r="E1627" s="16"/>
      <c r="F1627" s="18"/>
      <c r="G1627" s="19" t="str">
        <f aca="true">IF(F1627="", "", DATEDIF(F1627, TODAY(), "Y"))</f>
        <v/>
      </c>
      <c r="H1627" s="18"/>
      <c r="I1627" s="18"/>
      <c r="J1627" s="24" t="str">
        <f aca="true">IF(ISBLANK(H1627), "", I1627-TODAY())</f>
        <v/>
      </c>
      <c r="K1627" s="24" t="str">
        <f aca="false" t="array" ref="K1627:K1627">IF(A1627&lt;&gt;"",IF(COUNTIF(A$996:A1628,"&lt;&gt;")=0,COUNTA(B$996:B1627),IFERROR(MATCH(TRUE(),INDEX((A$996:A1628&lt;&gt;""),0),0),COUNTA(B$996:B1627))),"")</f>
        <v/>
      </c>
      <c r="L1627" s="27"/>
    </row>
    <row r="1628" customFormat="false" ht="13.8" hidden="false" customHeight="false" outlineLevel="0" collapsed="false">
      <c r="A1628" s="16"/>
      <c r="B1628" s="16"/>
      <c r="C1628" s="26"/>
      <c r="D1628" s="26"/>
      <c r="E1628" s="16"/>
      <c r="F1628" s="18"/>
      <c r="G1628" s="19" t="str">
        <f aca="true">IF(F1628="", "", DATEDIF(F1628, TODAY(), "Y"))</f>
        <v/>
      </c>
      <c r="H1628" s="18"/>
      <c r="I1628" s="18"/>
      <c r="J1628" s="24" t="str">
        <f aca="true">IF(ISBLANK(H1628), "", I1628-TODAY())</f>
        <v/>
      </c>
      <c r="K1628" s="24" t="str">
        <f aca="false" t="array" ref="K1628:K1628">IF(A1628&lt;&gt;"",IF(COUNTIF(A$996:A1629,"&lt;&gt;")=0,COUNTA(B$996:B1628),IFERROR(MATCH(TRUE(),INDEX((A$996:A1629&lt;&gt;""),0),0),COUNTA(B$996:B1628))),"")</f>
        <v/>
      </c>
      <c r="L1628" s="27"/>
    </row>
    <row r="1629" customFormat="false" ht="13.8" hidden="false" customHeight="false" outlineLevel="0" collapsed="false">
      <c r="A1629" s="16"/>
      <c r="B1629" s="16"/>
      <c r="C1629" s="26"/>
      <c r="D1629" s="26"/>
      <c r="E1629" s="16"/>
      <c r="F1629" s="18"/>
      <c r="G1629" s="19" t="str">
        <f aca="true">IF(F1629="", "", DATEDIF(F1629, TODAY(), "Y"))</f>
        <v/>
      </c>
      <c r="H1629" s="18"/>
      <c r="I1629" s="18"/>
      <c r="J1629" s="24" t="str">
        <f aca="true">IF(ISBLANK(H1629), "", I1629-TODAY())</f>
        <v/>
      </c>
      <c r="K1629" s="24" t="str">
        <f aca="false" t="array" ref="K1629:K1629">IF(A1629&lt;&gt;"",IF(COUNTIF(A$996:A1630,"&lt;&gt;")=0,COUNTA(B$996:B1629),IFERROR(MATCH(TRUE(),INDEX((A$996:A1630&lt;&gt;""),0),0),COUNTA(B$996:B1629))),"")</f>
        <v/>
      </c>
      <c r="L1629" s="27"/>
    </row>
    <row r="1630" customFormat="false" ht="13.8" hidden="false" customHeight="false" outlineLevel="0" collapsed="false">
      <c r="A1630" s="16"/>
      <c r="B1630" s="16"/>
      <c r="C1630" s="26"/>
      <c r="D1630" s="26"/>
      <c r="E1630" s="16"/>
      <c r="F1630" s="18"/>
      <c r="G1630" s="19" t="str">
        <f aca="true">IF(F1630="", "", DATEDIF(F1630, TODAY(), "Y"))</f>
        <v/>
      </c>
      <c r="H1630" s="18"/>
      <c r="I1630" s="18"/>
      <c r="J1630" s="24" t="str">
        <f aca="true">IF(ISBLANK(H1630), "", I1630-TODAY())</f>
        <v/>
      </c>
      <c r="K1630" s="24" t="str">
        <f aca="false" t="array" ref="K1630:K1630">IF(A1630&lt;&gt;"",IF(COUNTIF(A$996:A1631,"&lt;&gt;")=0,COUNTA(B$996:B1630),IFERROR(MATCH(TRUE(),INDEX((A$996:A1631&lt;&gt;""),0),0),COUNTA(B$996:B1630))),"")</f>
        <v/>
      </c>
      <c r="L1630" s="27"/>
    </row>
    <row r="1631" customFormat="false" ht="13.8" hidden="false" customHeight="false" outlineLevel="0" collapsed="false">
      <c r="A1631" s="16"/>
      <c r="B1631" s="16"/>
      <c r="C1631" s="26"/>
      <c r="D1631" s="26"/>
      <c r="E1631" s="16"/>
      <c r="F1631" s="18"/>
      <c r="G1631" s="19" t="str">
        <f aca="true">IF(F1631="", "", DATEDIF(F1631, TODAY(), "Y"))</f>
        <v/>
      </c>
      <c r="H1631" s="18"/>
      <c r="I1631" s="18"/>
      <c r="J1631" s="24" t="str">
        <f aca="true">IF(ISBLANK(H1631), "", I1631-TODAY())</f>
        <v/>
      </c>
      <c r="K1631" s="24" t="str">
        <f aca="false" t="array" ref="K1631:K1631">IF(A1631&lt;&gt;"",IF(COUNTIF(A$996:A1632,"&lt;&gt;")=0,COUNTA(B$996:B1631),IFERROR(MATCH(TRUE(),INDEX((A$996:A1632&lt;&gt;""),0),0),COUNTA(B$996:B1631))),"")</f>
        <v/>
      </c>
      <c r="L1631" s="27"/>
    </row>
    <row r="1632" customFormat="false" ht="13.8" hidden="false" customHeight="false" outlineLevel="0" collapsed="false">
      <c r="A1632" s="16"/>
      <c r="B1632" s="16"/>
      <c r="C1632" s="26"/>
      <c r="D1632" s="26"/>
      <c r="E1632" s="16"/>
      <c r="F1632" s="18"/>
      <c r="G1632" s="19" t="str">
        <f aca="true">IF(F1632="", "", DATEDIF(F1632, TODAY(), "Y"))</f>
        <v/>
      </c>
      <c r="H1632" s="18"/>
      <c r="I1632" s="18"/>
      <c r="J1632" s="24" t="str">
        <f aca="true">IF(ISBLANK(H1632), "", I1632-TODAY())</f>
        <v/>
      </c>
      <c r="K1632" s="24" t="str">
        <f aca="false" t="array" ref="K1632:K1632">IF(A1632&lt;&gt;"",IF(COUNTIF(A$996:A1633,"&lt;&gt;")=0,COUNTA(B$996:B1632),IFERROR(MATCH(TRUE(),INDEX((A$996:A1633&lt;&gt;""),0),0),COUNTA(B$996:B1632))),"")</f>
        <v/>
      </c>
      <c r="L1632" s="27"/>
    </row>
    <row r="1633" customFormat="false" ht="13.8" hidden="false" customHeight="false" outlineLevel="0" collapsed="false">
      <c r="A1633" s="16"/>
      <c r="B1633" s="16"/>
      <c r="C1633" s="26"/>
      <c r="D1633" s="26"/>
      <c r="E1633" s="16"/>
      <c r="F1633" s="18"/>
      <c r="G1633" s="19" t="str">
        <f aca="true">IF(F1633="", "", DATEDIF(F1633, TODAY(), "Y"))</f>
        <v/>
      </c>
      <c r="H1633" s="18"/>
      <c r="I1633" s="18"/>
      <c r="J1633" s="24" t="str">
        <f aca="true">IF(ISBLANK(H1633), "", I1633-TODAY())</f>
        <v/>
      </c>
      <c r="K1633" s="24" t="str">
        <f aca="false" t="array" ref="K1633:K1633">IF(A1633&lt;&gt;"",IF(COUNTIF(A$996:A1634,"&lt;&gt;")=0,COUNTA(B$996:B1633),IFERROR(MATCH(TRUE(),INDEX((A$996:A1634&lt;&gt;""),0),0),COUNTA(B$996:B1633))),"")</f>
        <v/>
      </c>
      <c r="L1633" s="27"/>
    </row>
    <row r="1634" customFormat="false" ht="13.8" hidden="false" customHeight="false" outlineLevel="0" collapsed="false">
      <c r="A1634" s="16"/>
      <c r="B1634" s="16"/>
      <c r="C1634" s="26"/>
      <c r="D1634" s="26"/>
      <c r="E1634" s="16"/>
      <c r="F1634" s="18"/>
      <c r="G1634" s="19" t="str">
        <f aca="true">IF(F1634="", "", DATEDIF(F1634, TODAY(), "Y"))</f>
        <v/>
      </c>
      <c r="H1634" s="18"/>
      <c r="I1634" s="18"/>
      <c r="J1634" s="24" t="str">
        <f aca="true">IF(ISBLANK(H1634), "", I1634-TODAY())</f>
        <v/>
      </c>
      <c r="K1634" s="24" t="str">
        <f aca="false" t="array" ref="K1634:K1634">IF(A1634&lt;&gt;"",IF(COUNTIF(A$996:A1635,"&lt;&gt;")=0,COUNTA(B$996:B1634),IFERROR(MATCH(TRUE(),INDEX((A$996:A1635&lt;&gt;""),0),0),COUNTA(B$996:B1634))),"")</f>
        <v/>
      </c>
      <c r="L1634" s="27"/>
    </row>
    <row r="1635" customFormat="false" ht="13.8" hidden="false" customHeight="false" outlineLevel="0" collapsed="false">
      <c r="A1635" s="16"/>
      <c r="B1635" s="16"/>
      <c r="C1635" s="26"/>
      <c r="D1635" s="26"/>
      <c r="E1635" s="16"/>
      <c r="F1635" s="18"/>
      <c r="G1635" s="19" t="str">
        <f aca="true">IF(F1635="", "", DATEDIF(F1635, TODAY(), "Y"))</f>
        <v/>
      </c>
      <c r="H1635" s="18"/>
      <c r="I1635" s="18"/>
      <c r="J1635" s="24" t="str">
        <f aca="true">IF(ISBLANK(H1635), "", I1635-TODAY())</f>
        <v/>
      </c>
      <c r="K1635" s="24" t="str">
        <f aca="false" t="array" ref="K1635:K1635">IF(A1635&lt;&gt;"",IF(COUNTIF(A$996:A1636,"&lt;&gt;")=0,COUNTA(B$996:B1635),IFERROR(MATCH(TRUE(),INDEX((A$996:A1636&lt;&gt;""),0),0),COUNTA(B$996:B1635))),"")</f>
        <v/>
      </c>
      <c r="L1635" s="27"/>
    </row>
    <row r="1636" customFormat="false" ht="13.8" hidden="false" customHeight="false" outlineLevel="0" collapsed="false">
      <c r="A1636" s="16"/>
      <c r="B1636" s="16"/>
      <c r="C1636" s="26"/>
      <c r="D1636" s="26"/>
      <c r="E1636" s="16"/>
      <c r="F1636" s="18"/>
      <c r="G1636" s="19" t="str">
        <f aca="true">IF(F1636="", "", DATEDIF(F1636, TODAY(), "Y"))</f>
        <v/>
      </c>
      <c r="H1636" s="18"/>
      <c r="I1636" s="18"/>
      <c r="J1636" s="24" t="str">
        <f aca="true">IF(ISBLANK(H1636), "", I1636-TODAY())</f>
        <v/>
      </c>
      <c r="K1636" s="24" t="str">
        <f aca="false" t="array" ref="K1636:K1636">IF(A1636&lt;&gt;"",IF(COUNTIF(A$996:A1637,"&lt;&gt;")=0,COUNTA(B$996:B1636),IFERROR(MATCH(TRUE(),INDEX((A$996:A1637&lt;&gt;""),0),0),COUNTA(B$996:B1636))),"")</f>
        <v/>
      </c>
      <c r="L1636" s="27"/>
    </row>
    <row r="1637" customFormat="false" ht="13.8" hidden="false" customHeight="false" outlineLevel="0" collapsed="false">
      <c r="A1637" s="16"/>
      <c r="B1637" s="16"/>
      <c r="C1637" s="26"/>
      <c r="D1637" s="26"/>
      <c r="E1637" s="16"/>
      <c r="F1637" s="18"/>
      <c r="G1637" s="19" t="str">
        <f aca="true">IF(F1637="", "", DATEDIF(F1637, TODAY(), "Y"))</f>
        <v/>
      </c>
      <c r="H1637" s="18"/>
      <c r="I1637" s="18"/>
      <c r="J1637" s="24" t="str">
        <f aca="true">IF(ISBLANK(H1637), "", I1637-TODAY())</f>
        <v/>
      </c>
      <c r="K1637" s="24" t="str">
        <f aca="false" t="array" ref="K1637:K1637">IF(A1637&lt;&gt;"",IF(COUNTIF(A$996:A1638,"&lt;&gt;")=0,COUNTA(B$996:B1637),IFERROR(MATCH(TRUE(),INDEX((A$996:A1638&lt;&gt;""),0),0),COUNTA(B$996:B1637))),"")</f>
        <v/>
      </c>
      <c r="L1637" s="27"/>
    </row>
    <row r="1638" customFormat="false" ht="13.8" hidden="false" customHeight="false" outlineLevel="0" collapsed="false">
      <c r="A1638" s="16"/>
      <c r="B1638" s="16"/>
      <c r="C1638" s="26"/>
      <c r="D1638" s="26"/>
      <c r="E1638" s="16"/>
      <c r="F1638" s="18"/>
      <c r="G1638" s="19" t="str">
        <f aca="true">IF(F1638="", "", DATEDIF(F1638, TODAY(), "Y"))</f>
        <v/>
      </c>
      <c r="H1638" s="18"/>
      <c r="I1638" s="18"/>
      <c r="J1638" s="24" t="str">
        <f aca="true">IF(ISBLANK(H1638), "", I1638-TODAY())</f>
        <v/>
      </c>
      <c r="K1638" s="24" t="str">
        <f aca="false" t="array" ref="K1638:K1638">IF(A1638&lt;&gt;"",IF(COUNTIF(A$996:A1639,"&lt;&gt;")=0,COUNTA(B$996:B1638),IFERROR(MATCH(TRUE(),INDEX((A$996:A1639&lt;&gt;""),0),0),COUNTA(B$996:B1638))),"")</f>
        <v/>
      </c>
      <c r="L1638" s="27"/>
    </row>
    <row r="1639" customFormat="false" ht="13.8" hidden="false" customHeight="false" outlineLevel="0" collapsed="false">
      <c r="A1639" s="16"/>
      <c r="B1639" s="16"/>
      <c r="C1639" s="26"/>
      <c r="D1639" s="26"/>
      <c r="E1639" s="16"/>
      <c r="F1639" s="18"/>
      <c r="G1639" s="19" t="str">
        <f aca="true">IF(F1639="", "", DATEDIF(F1639, TODAY(), "Y"))</f>
        <v/>
      </c>
      <c r="H1639" s="18"/>
      <c r="I1639" s="18"/>
      <c r="J1639" s="24" t="str">
        <f aca="true">IF(ISBLANK(H1639), "", I1639-TODAY())</f>
        <v/>
      </c>
      <c r="K1639" s="24" t="str">
        <f aca="false" t="array" ref="K1639:K1639">IF(A1639&lt;&gt;"",IF(COUNTIF(A$996:A1640,"&lt;&gt;")=0,COUNTA(B$996:B1639),IFERROR(MATCH(TRUE(),INDEX((A$996:A1640&lt;&gt;""),0),0),COUNTA(B$996:B1639))),"")</f>
        <v/>
      </c>
      <c r="L1639" s="27"/>
    </row>
    <row r="1640" customFormat="false" ht="13.8" hidden="false" customHeight="false" outlineLevel="0" collapsed="false">
      <c r="A1640" s="16"/>
      <c r="B1640" s="16"/>
      <c r="C1640" s="26"/>
      <c r="D1640" s="26"/>
      <c r="E1640" s="16"/>
      <c r="F1640" s="18"/>
      <c r="G1640" s="19" t="str">
        <f aca="true">IF(F1640="", "", DATEDIF(F1640, TODAY(), "Y"))</f>
        <v/>
      </c>
      <c r="H1640" s="18"/>
      <c r="I1640" s="18"/>
      <c r="J1640" s="24" t="str">
        <f aca="true">IF(ISBLANK(H1640), "", I1640-TODAY())</f>
        <v/>
      </c>
      <c r="K1640" s="24" t="str">
        <f aca="false" t="array" ref="K1640:K1640">IF(A1640&lt;&gt;"",IF(COUNTIF(A$996:A1641,"&lt;&gt;")=0,COUNTA(B$996:B1640),IFERROR(MATCH(TRUE(),INDEX((A$996:A1641&lt;&gt;""),0),0),COUNTA(B$996:B1640))),"")</f>
        <v/>
      </c>
      <c r="L1640" s="27"/>
    </row>
    <row r="1641" customFormat="false" ht="13.8" hidden="false" customHeight="false" outlineLevel="0" collapsed="false">
      <c r="A1641" s="16"/>
      <c r="B1641" s="16"/>
      <c r="C1641" s="26"/>
      <c r="D1641" s="26"/>
      <c r="E1641" s="16"/>
      <c r="F1641" s="18"/>
      <c r="G1641" s="19" t="str">
        <f aca="true">IF(F1641="", "", DATEDIF(F1641, TODAY(), "Y"))</f>
        <v/>
      </c>
      <c r="H1641" s="18"/>
      <c r="I1641" s="18"/>
      <c r="J1641" s="24" t="str">
        <f aca="true">IF(ISBLANK(H1641), "", I1641-TODAY())</f>
        <v/>
      </c>
      <c r="K1641" s="24" t="str">
        <f aca="false" t="array" ref="K1641:K1641">IF(A1641&lt;&gt;"",IF(COUNTIF(A$996:A1642,"&lt;&gt;")=0,COUNTA(B$996:B1641),IFERROR(MATCH(TRUE(),INDEX((A$996:A1642&lt;&gt;""),0),0),COUNTA(B$996:B1641))),"")</f>
        <v/>
      </c>
      <c r="L1641" s="27"/>
    </row>
    <row r="1642" customFormat="false" ht="13.8" hidden="false" customHeight="false" outlineLevel="0" collapsed="false">
      <c r="A1642" s="16"/>
      <c r="B1642" s="16"/>
      <c r="C1642" s="26"/>
      <c r="D1642" s="26"/>
      <c r="E1642" s="16"/>
      <c r="F1642" s="18"/>
      <c r="G1642" s="19" t="str">
        <f aca="true">IF(F1642="", "", DATEDIF(F1642, TODAY(), "Y"))</f>
        <v/>
      </c>
      <c r="H1642" s="18"/>
      <c r="I1642" s="18"/>
      <c r="J1642" s="24" t="str">
        <f aca="true">IF(ISBLANK(H1642), "", I1642-TODAY())</f>
        <v/>
      </c>
      <c r="K1642" s="24" t="str">
        <f aca="false" t="array" ref="K1642:K1642">IF(A1642&lt;&gt;"",IF(COUNTIF(A$996:A1643,"&lt;&gt;")=0,COUNTA(B$996:B1642),IFERROR(MATCH(TRUE(),INDEX((A$996:A1643&lt;&gt;""),0),0),COUNTA(B$996:B1642))),"")</f>
        <v/>
      </c>
      <c r="L1642" s="27"/>
    </row>
    <row r="1643" customFormat="false" ht="13.8" hidden="false" customHeight="false" outlineLevel="0" collapsed="false">
      <c r="A1643" s="16"/>
      <c r="B1643" s="16"/>
      <c r="C1643" s="26"/>
      <c r="D1643" s="26"/>
      <c r="E1643" s="16"/>
      <c r="F1643" s="18"/>
      <c r="G1643" s="19" t="str">
        <f aca="true">IF(F1643="", "", DATEDIF(F1643, TODAY(), "Y"))</f>
        <v/>
      </c>
      <c r="H1643" s="18"/>
      <c r="I1643" s="18"/>
      <c r="J1643" s="24" t="str">
        <f aca="true">IF(ISBLANK(H1643), "", I1643-TODAY())</f>
        <v/>
      </c>
      <c r="K1643" s="24" t="str">
        <f aca="false" t="array" ref="K1643:K1643">IF(A1643&lt;&gt;"",IF(COUNTIF(A$996:A1644,"&lt;&gt;")=0,COUNTA(B$996:B1643),IFERROR(MATCH(TRUE(),INDEX((A$996:A1644&lt;&gt;""),0),0),COUNTA(B$996:B1643))),"")</f>
        <v/>
      </c>
      <c r="L1643" s="27"/>
    </row>
    <row r="1644" customFormat="false" ht="13.8" hidden="false" customHeight="false" outlineLevel="0" collapsed="false">
      <c r="A1644" s="16"/>
      <c r="B1644" s="16"/>
      <c r="C1644" s="26"/>
      <c r="D1644" s="26"/>
      <c r="E1644" s="16"/>
      <c r="F1644" s="18"/>
      <c r="G1644" s="19" t="str">
        <f aca="true">IF(F1644="", "", DATEDIF(F1644, TODAY(), "Y"))</f>
        <v/>
      </c>
      <c r="H1644" s="18"/>
      <c r="I1644" s="18"/>
      <c r="J1644" s="24" t="str">
        <f aca="true">IF(ISBLANK(H1644), "", I1644-TODAY())</f>
        <v/>
      </c>
      <c r="K1644" s="24" t="str">
        <f aca="false" t="array" ref="K1644:K1644">IF(A1644&lt;&gt;"",IF(COUNTIF(A$996:A1645,"&lt;&gt;")=0,COUNTA(B$996:B1644),IFERROR(MATCH(TRUE(),INDEX((A$996:A1645&lt;&gt;""),0),0),COUNTA(B$996:B1644))),"")</f>
        <v/>
      </c>
      <c r="L1644" s="27"/>
    </row>
    <row r="1645" customFormat="false" ht="13.8" hidden="false" customHeight="false" outlineLevel="0" collapsed="false">
      <c r="A1645" s="16"/>
      <c r="B1645" s="16"/>
      <c r="C1645" s="26"/>
      <c r="D1645" s="26"/>
      <c r="E1645" s="16"/>
      <c r="F1645" s="18"/>
      <c r="G1645" s="19" t="str">
        <f aca="true">IF(F1645="", "", DATEDIF(F1645, TODAY(), "Y"))</f>
        <v/>
      </c>
      <c r="H1645" s="18"/>
      <c r="I1645" s="18"/>
      <c r="J1645" s="24" t="str">
        <f aca="true">IF(ISBLANK(H1645), "", I1645-TODAY())</f>
        <v/>
      </c>
      <c r="K1645" s="24" t="str">
        <f aca="false" t="array" ref="K1645:K1645">IF(A1645&lt;&gt;"",IF(COUNTIF(A$996:A1646,"&lt;&gt;")=0,COUNTA(B$996:B1645),IFERROR(MATCH(TRUE(),INDEX((A$996:A1646&lt;&gt;""),0),0),COUNTA(B$996:B1645))),"")</f>
        <v/>
      </c>
      <c r="L1645" s="27"/>
    </row>
    <row r="1646" customFormat="false" ht="13.8" hidden="false" customHeight="false" outlineLevel="0" collapsed="false">
      <c r="A1646" s="16"/>
      <c r="B1646" s="16"/>
      <c r="C1646" s="26"/>
      <c r="D1646" s="26"/>
      <c r="E1646" s="16"/>
      <c r="F1646" s="18"/>
      <c r="G1646" s="19" t="str">
        <f aca="true">IF(F1646="", "", DATEDIF(F1646, TODAY(), "Y"))</f>
        <v/>
      </c>
      <c r="H1646" s="18"/>
      <c r="I1646" s="18"/>
      <c r="J1646" s="24" t="str">
        <f aca="true">IF(ISBLANK(H1646), "", I1646-TODAY())</f>
        <v/>
      </c>
      <c r="K1646" s="24" t="str">
        <f aca="false" t="array" ref="K1646:K1646">IF(A1646&lt;&gt;"",IF(COUNTIF(A$996:A1647,"&lt;&gt;")=0,COUNTA(B$996:B1646),IFERROR(MATCH(TRUE(),INDEX((A$996:A1647&lt;&gt;""),0),0),COUNTA(B$996:B1646))),"")</f>
        <v/>
      </c>
      <c r="L1646" s="27"/>
    </row>
    <row r="1647" customFormat="false" ht="13.8" hidden="false" customHeight="false" outlineLevel="0" collapsed="false">
      <c r="A1647" s="16"/>
      <c r="B1647" s="16"/>
      <c r="C1647" s="26"/>
      <c r="D1647" s="26"/>
      <c r="E1647" s="16"/>
      <c r="F1647" s="18"/>
      <c r="G1647" s="19" t="str">
        <f aca="true">IF(F1647="", "", DATEDIF(F1647, TODAY(), "Y"))</f>
        <v/>
      </c>
      <c r="H1647" s="18"/>
      <c r="I1647" s="18"/>
      <c r="J1647" s="24" t="str">
        <f aca="true">IF(ISBLANK(H1647), "", I1647-TODAY())</f>
        <v/>
      </c>
      <c r="K1647" s="24" t="str">
        <f aca="false" t="array" ref="K1647:K1647">IF(A1647&lt;&gt;"",IF(COUNTIF(A$996:A1648,"&lt;&gt;")=0,COUNTA(B$996:B1647),IFERROR(MATCH(TRUE(),INDEX((A$996:A1648&lt;&gt;""),0),0),COUNTA(B$996:B1647))),"")</f>
        <v/>
      </c>
      <c r="L1647" s="27"/>
    </row>
    <row r="1648" customFormat="false" ht="13.8" hidden="false" customHeight="false" outlineLevel="0" collapsed="false">
      <c r="A1648" s="16"/>
      <c r="B1648" s="16"/>
      <c r="C1648" s="26"/>
      <c r="D1648" s="26"/>
      <c r="E1648" s="16"/>
      <c r="F1648" s="18"/>
      <c r="G1648" s="19" t="str">
        <f aca="true">IF(F1648="", "", DATEDIF(F1648, TODAY(), "Y"))</f>
        <v/>
      </c>
      <c r="H1648" s="18"/>
      <c r="I1648" s="18"/>
      <c r="J1648" s="24" t="str">
        <f aca="true">IF(ISBLANK(H1648), "", I1648-TODAY())</f>
        <v/>
      </c>
      <c r="K1648" s="24" t="str">
        <f aca="false" t="array" ref="K1648:K1648">IF(A1648&lt;&gt;"",IF(COUNTIF(A$996:A1649,"&lt;&gt;")=0,COUNTA(B$996:B1648),IFERROR(MATCH(TRUE(),INDEX((A$996:A1649&lt;&gt;""),0),0),COUNTA(B$996:B1648))),"")</f>
        <v/>
      </c>
      <c r="L1648" s="27"/>
    </row>
    <row r="1649" customFormat="false" ht="13.8" hidden="false" customHeight="false" outlineLevel="0" collapsed="false">
      <c r="A1649" s="16"/>
      <c r="B1649" s="16"/>
      <c r="C1649" s="26"/>
      <c r="D1649" s="26"/>
      <c r="E1649" s="16"/>
      <c r="F1649" s="18"/>
      <c r="G1649" s="19" t="str">
        <f aca="true">IF(F1649="", "", DATEDIF(F1649, TODAY(), "Y"))</f>
        <v/>
      </c>
      <c r="H1649" s="18"/>
      <c r="I1649" s="18"/>
      <c r="J1649" s="24" t="str">
        <f aca="true">IF(ISBLANK(H1649), "", I1649-TODAY())</f>
        <v/>
      </c>
      <c r="K1649" s="24" t="str">
        <f aca="false" t="array" ref="K1649:K1649">IF(A1649&lt;&gt;"",IF(COUNTIF(A$996:A1650,"&lt;&gt;")=0,COUNTA(B$996:B1649),IFERROR(MATCH(TRUE(),INDEX((A$996:A1650&lt;&gt;""),0),0),COUNTA(B$996:B1649))),"")</f>
        <v/>
      </c>
      <c r="L1649" s="27"/>
    </row>
    <row r="1650" customFormat="false" ht="13.8" hidden="false" customHeight="false" outlineLevel="0" collapsed="false">
      <c r="A1650" s="16"/>
      <c r="B1650" s="16"/>
      <c r="C1650" s="26"/>
      <c r="D1650" s="26"/>
      <c r="E1650" s="16"/>
      <c r="F1650" s="18"/>
      <c r="G1650" s="19" t="str">
        <f aca="true">IF(F1650="", "", DATEDIF(F1650, TODAY(), "Y"))</f>
        <v/>
      </c>
      <c r="H1650" s="18"/>
      <c r="I1650" s="18"/>
      <c r="J1650" s="24" t="str">
        <f aca="true">IF(ISBLANK(H1650), "", I1650-TODAY())</f>
        <v/>
      </c>
      <c r="K1650" s="24" t="str">
        <f aca="false" t="array" ref="K1650:K1650">IF(A1650&lt;&gt;"",IF(COUNTIF(A$996:A1651,"&lt;&gt;")=0,COUNTA(B$996:B1650),IFERROR(MATCH(TRUE(),INDEX((A$996:A1651&lt;&gt;""),0),0),COUNTA(B$996:B1650))),"")</f>
        <v/>
      </c>
      <c r="L1650" s="27"/>
    </row>
    <row r="1651" customFormat="false" ht="13.8" hidden="false" customHeight="false" outlineLevel="0" collapsed="false">
      <c r="A1651" s="16"/>
      <c r="B1651" s="16"/>
      <c r="C1651" s="26"/>
      <c r="D1651" s="26"/>
      <c r="E1651" s="16"/>
      <c r="F1651" s="18"/>
      <c r="G1651" s="19" t="str">
        <f aca="true">IF(F1651="", "", DATEDIF(F1651, TODAY(), "Y"))</f>
        <v/>
      </c>
      <c r="H1651" s="18"/>
      <c r="I1651" s="18"/>
      <c r="J1651" s="24" t="str">
        <f aca="true">IF(ISBLANK(H1651), "", I1651-TODAY())</f>
        <v/>
      </c>
      <c r="K1651" s="24" t="str">
        <f aca="false" t="array" ref="K1651:K1651">IF(A1651&lt;&gt;"",IF(COUNTIF(A$996:A1652,"&lt;&gt;")=0,COUNTA(B$996:B1651),IFERROR(MATCH(TRUE(),INDEX((A$996:A1652&lt;&gt;""),0),0),COUNTA(B$996:B1651))),"")</f>
        <v/>
      </c>
      <c r="L1651" s="27"/>
    </row>
    <row r="1652" customFormat="false" ht="13.8" hidden="false" customHeight="false" outlineLevel="0" collapsed="false">
      <c r="A1652" s="16"/>
      <c r="B1652" s="16"/>
      <c r="C1652" s="26"/>
      <c r="D1652" s="26"/>
      <c r="E1652" s="16"/>
      <c r="F1652" s="18"/>
      <c r="G1652" s="19" t="str">
        <f aca="true">IF(F1652="", "", DATEDIF(F1652, TODAY(), "Y"))</f>
        <v/>
      </c>
      <c r="H1652" s="18"/>
      <c r="I1652" s="18"/>
      <c r="J1652" s="24" t="str">
        <f aca="true">IF(ISBLANK(H1652), "", I1652-TODAY())</f>
        <v/>
      </c>
      <c r="K1652" s="24" t="str">
        <f aca="false" t="array" ref="K1652:K1652">IF(A1652&lt;&gt;"",IF(COUNTIF(A$996:A1653,"&lt;&gt;")=0,COUNTA(B$996:B1652),IFERROR(MATCH(TRUE(),INDEX((A$996:A1653&lt;&gt;""),0),0),COUNTA(B$996:B1652))),"")</f>
        <v/>
      </c>
      <c r="L1652" s="27"/>
    </row>
    <row r="1653" customFormat="false" ht="13.8" hidden="false" customHeight="false" outlineLevel="0" collapsed="false">
      <c r="A1653" s="16"/>
      <c r="B1653" s="16"/>
      <c r="C1653" s="26"/>
      <c r="D1653" s="26"/>
      <c r="E1653" s="16"/>
      <c r="F1653" s="18"/>
      <c r="G1653" s="19" t="str">
        <f aca="true">IF(F1653="", "", DATEDIF(F1653, TODAY(), "Y"))</f>
        <v/>
      </c>
      <c r="H1653" s="18"/>
      <c r="I1653" s="18"/>
      <c r="J1653" s="24" t="str">
        <f aca="true">IF(ISBLANK(H1653), "", I1653-TODAY())</f>
        <v/>
      </c>
      <c r="K1653" s="24" t="str">
        <f aca="false" t="array" ref="K1653:K1653">IF(A1653&lt;&gt;"",IF(COUNTIF(A$996:A1654,"&lt;&gt;")=0,COUNTA(B$996:B1653),IFERROR(MATCH(TRUE(),INDEX((A$996:A1654&lt;&gt;""),0),0),COUNTA(B$996:B1653))),"")</f>
        <v/>
      </c>
      <c r="L1653" s="27"/>
    </row>
    <row r="1654" customFormat="false" ht="13.8" hidden="false" customHeight="false" outlineLevel="0" collapsed="false">
      <c r="A1654" s="16"/>
      <c r="B1654" s="16"/>
      <c r="C1654" s="26"/>
      <c r="D1654" s="26"/>
      <c r="E1654" s="16"/>
      <c r="F1654" s="18"/>
      <c r="G1654" s="19" t="str">
        <f aca="true">IF(F1654="", "", DATEDIF(F1654, TODAY(), "Y"))</f>
        <v/>
      </c>
      <c r="H1654" s="18"/>
      <c r="I1654" s="18"/>
      <c r="J1654" s="24" t="str">
        <f aca="true">IF(ISBLANK(H1654), "", I1654-TODAY())</f>
        <v/>
      </c>
      <c r="K1654" s="24" t="str">
        <f aca="false" t="array" ref="K1654:K1654">IF(A1654&lt;&gt;"",IF(COUNTIF(A$996:A1655,"&lt;&gt;")=0,COUNTA(B$996:B1654),IFERROR(MATCH(TRUE(),INDEX((A$996:A1655&lt;&gt;""),0),0),COUNTA(B$996:B1654))),"")</f>
        <v/>
      </c>
      <c r="L1654" s="27"/>
    </row>
    <row r="1655" customFormat="false" ht="13.8" hidden="false" customHeight="false" outlineLevel="0" collapsed="false">
      <c r="A1655" s="16"/>
      <c r="B1655" s="16"/>
      <c r="C1655" s="26"/>
      <c r="D1655" s="26"/>
      <c r="E1655" s="16"/>
      <c r="F1655" s="18"/>
      <c r="G1655" s="19" t="str">
        <f aca="true">IF(F1655="", "", DATEDIF(F1655, TODAY(), "Y"))</f>
        <v/>
      </c>
      <c r="H1655" s="18"/>
      <c r="I1655" s="18"/>
      <c r="J1655" s="24" t="str">
        <f aca="true">IF(ISBLANK(H1655), "", I1655-TODAY())</f>
        <v/>
      </c>
      <c r="K1655" s="24" t="str">
        <f aca="false" t="array" ref="K1655:K1655">IF(A1655&lt;&gt;"",IF(COUNTIF(A$996:A1656,"&lt;&gt;")=0,COUNTA(B$996:B1655),IFERROR(MATCH(TRUE(),INDEX((A$996:A1656&lt;&gt;""),0),0),COUNTA(B$996:B1655))),"")</f>
        <v/>
      </c>
      <c r="L1655" s="27"/>
    </row>
    <row r="1656" customFormat="false" ht="13.8" hidden="false" customHeight="false" outlineLevel="0" collapsed="false">
      <c r="A1656" s="16"/>
      <c r="B1656" s="16"/>
      <c r="C1656" s="26"/>
      <c r="D1656" s="26"/>
      <c r="E1656" s="16"/>
      <c r="F1656" s="18"/>
      <c r="G1656" s="19" t="str">
        <f aca="true">IF(F1656="", "", DATEDIF(F1656, TODAY(), "Y"))</f>
        <v/>
      </c>
      <c r="H1656" s="18"/>
      <c r="I1656" s="18"/>
      <c r="J1656" s="24" t="str">
        <f aca="true">IF(ISBLANK(H1656), "", I1656-TODAY())</f>
        <v/>
      </c>
      <c r="K1656" s="24" t="str">
        <f aca="false" t="array" ref="K1656:K1656">IF(A1656&lt;&gt;"",IF(COUNTIF(A$996:A1657,"&lt;&gt;")=0,COUNTA(B$996:B1656),IFERROR(MATCH(TRUE(),INDEX((A$996:A1657&lt;&gt;""),0),0),COUNTA(B$996:B1656))),"")</f>
        <v/>
      </c>
      <c r="L1656" s="27"/>
    </row>
    <row r="1657" customFormat="false" ht="13.8" hidden="false" customHeight="false" outlineLevel="0" collapsed="false">
      <c r="A1657" s="16"/>
      <c r="B1657" s="16"/>
      <c r="C1657" s="26"/>
      <c r="D1657" s="26"/>
      <c r="E1657" s="16"/>
      <c r="F1657" s="18"/>
      <c r="G1657" s="19" t="str">
        <f aca="true">IF(F1657="", "", DATEDIF(F1657, TODAY(), "Y"))</f>
        <v/>
      </c>
      <c r="H1657" s="18"/>
      <c r="I1657" s="18"/>
      <c r="J1657" s="24" t="str">
        <f aca="true">IF(ISBLANK(H1657), "", I1657-TODAY())</f>
        <v/>
      </c>
      <c r="K1657" s="24" t="str">
        <f aca="false" t="array" ref="K1657:K1657">IF(A1657&lt;&gt;"",IF(COUNTIF(A$996:A1658,"&lt;&gt;")=0,COUNTA(B$996:B1657),IFERROR(MATCH(TRUE(),INDEX((A$996:A1658&lt;&gt;""),0),0),COUNTA(B$996:B1657))),"")</f>
        <v/>
      </c>
      <c r="L1657" s="27"/>
    </row>
    <row r="1658" customFormat="false" ht="13.8" hidden="false" customHeight="false" outlineLevel="0" collapsed="false">
      <c r="A1658" s="16"/>
      <c r="B1658" s="16"/>
      <c r="C1658" s="26"/>
      <c r="D1658" s="26"/>
      <c r="E1658" s="16"/>
      <c r="F1658" s="18"/>
      <c r="G1658" s="19" t="str">
        <f aca="true">IF(F1658="", "", DATEDIF(F1658, TODAY(), "Y"))</f>
        <v/>
      </c>
      <c r="H1658" s="18"/>
      <c r="I1658" s="18"/>
      <c r="J1658" s="24" t="str">
        <f aca="true">IF(ISBLANK(H1658), "", I1658-TODAY())</f>
        <v/>
      </c>
      <c r="K1658" s="24" t="str">
        <f aca="false" t="array" ref="K1658:K1658">IF(A1658&lt;&gt;"",IF(COUNTIF(A$996:A1659,"&lt;&gt;")=0,COUNTA(B$996:B1658),IFERROR(MATCH(TRUE(),INDEX((A$996:A1659&lt;&gt;""),0),0),COUNTA(B$996:B1658))),"")</f>
        <v/>
      </c>
      <c r="L1658" s="27"/>
    </row>
    <row r="1659" customFormat="false" ht="13.8" hidden="false" customHeight="false" outlineLevel="0" collapsed="false">
      <c r="A1659" s="16"/>
      <c r="B1659" s="16"/>
      <c r="C1659" s="26"/>
      <c r="D1659" s="26"/>
      <c r="E1659" s="16"/>
      <c r="F1659" s="18"/>
      <c r="G1659" s="19" t="str">
        <f aca="true">IF(F1659="", "", DATEDIF(F1659, TODAY(), "Y"))</f>
        <v/>
      </c>
      <c r="H1659" s="18"/>
      <c r="I1659" s="18"/>
      <c r="J1659" s="24" t="str">
        <f aca="true">IF(ISBLANK(H1659), "", I1659-TODAY())</f>
        <v/>
      </c>
      <c r="K1659" s="24" t="str">
        <f aca="false" t="array" ref="K1659:K1659">IF(A1659&lt;&gt;"",IF(COUNTIF(A$996:A1660,"&lt;&gt;")=0,COUNTA(B$996:B1659),IFERROR(MATCH(TRUE(),INDEX((A$996:A1660&lt;&gt;""),0),0),COUNTA(B$996:B1659))),"")</f>
        <v/>
      </c>
      <c r="L1659" s="27"/>
    </row>
    <row r="1660" customFormat="false" ht="13.8" hidden="false" customHeight="false" outlineLevel="0" collapsed="false">
      <c r="A1660" s="16"/>
      <c r="B1660" s="16"/>
      <c r="C1660" s="26"/>
      <c r="D1660" s="26"/>
      <c r="E1660" s="16"/>
      <c r="F1660" s="18"/>
      <c r="G1660" s="19" t="str">
        <f aca="true">IF(F1660="", "", DATEDIF(F1660, TODAY(), "Y"))</f>
        <v/>
      </c>
      <c r="H1660" s="18"/>
      <c r="I1660" s="18"/>
      <c r="J1660" s="24" t="str">
        <f aca="true">IF(ISBLANK(H1660), "", I1660-TODAY())</f>
        <v/>
      </c>
      <c r="K1660" s="24" t="str">
        <f aca="false" t="array" ref="K1660:K1660">IF(A1660&lt;&gt;"",IF(COUNTIF(A$996:A1661,"&lt;&gt;")=0,COUNTA(B$996:B1660),IFERROR(MATCH(TRUE(),INDEX((A$996:A1661&lt;&gt;""),0),0),COUNTA(B$996:B1660))),"")</f>
        <v/>
      </c>
      <c r="L1660" s="27"/>
    </row>
    <row r="1661" customFormat="false" ht="13.8" hidden="false" customHeight="false" outlineLevel="0" collapsed="false">
      <c r="A1661" s="16"/>
      <c r="B1661" s="16"/>
      <c r="C1661" s="26"/>
      <c r="D1661" s="26"/>
      <c r="E1661" s="16"/>
      <c r="F1661" s="18"/>
      <c r="G1661" s="19" t="str">
        <f aca="true">IF(F1661="", "", DATEDIF(F1661, TODAY(), "Y"))</f>
        <v/>
      </c>
      <c r="H1661" s="18"/>
      <c r="I1661" s="18"/>
      <c r="J1661" s="24" t="str">
        <f aca="true">IF(ISBLANK(H1661), "", I1661-TODAY())</f>
        <v/>
      </c>
      <c r="K1661" s="24" t="str">
        <f aca="false" t="array" ref="K1661:K1661">IF(A1661&lt;&gt;"",IF(COUNTIF(A$996:A1662,"&lt;&gt;")=0,COUNTA(B$996:B1661),IFERROR(MATCH(TRUE(),INDEX((A$996:A1662&lt;&gt;""),0),0),COUNTA(B$996:B1661))),"")</f>
        <v/>
      </c>
      <c r="L1661" s="27"/>
    </row>
    <row r="1662" customFormat="false" ht="13.8" hidden="false" customHeight="false" outlineLevel="0" collapsed="false">
      <c r="A1662" s="16"/>
      <c r="B1662" s="16"/>
      <c r="C1662" s="26"/>
      <c r="D1662" s="26"/>
      <c r="E1662" s="16"/>
      <c r="F1662" s="18"/>
      <c r="G1662" s="19" t="str">
        <f aca="true">IF(F1662="", "", DATEDIF(F1662, TODAY(), "Y"))</f>
        <v/>
      </c>
      <c r="H1662" s="18"/>
      <c r="I1662" s="18"/>
      <c r="J1662" s="24" t="str">
        <f aca="true">IF(ISBLANK(H1662), "", I1662-TODAY())</f>
        <v/>
      </c>
      <c r="K1662" s="24" t="str">
        <f aca="false" t="array" ref="K1662:K1662">IF(A1662&lt;&gt;"",IF(COUNTIF(A$996:A1663,"&lt;&gt;")=0,COUNTA(B$996:B1662),IFERROR(MATCH(TRUE(),INDEX((A$996:A1663&lt;&gt;""),0),0),COUNTA(B$996:B1662))),"")</f>
        <v/>
      </c>
      <c r="L1662" s="27"/>
    </row>
    <row r="1663" customFormat="false" ht="13.8" hidden="false" customHeight="false" outlineLevel="0" collapsed="false">
      <c r="A1663" s="16"/>
      <c r="B1663" s="16"/>
      <c r="C1663" s="26"/>
      <c r="D1663" s="26"/>
      <c r="E1663" s="16"/>
      <c r="F1663" s="18"/>
      <c r="G1663" s="19" t="str">
        <f aca="true">IF(F1663="", "", DATEDIF(F1663, TODAY(), "Y"))</f>
        <v/>
      </c>
      <c r="H1663" s="18"/>
      <c r="I1663" s="18"/>
      <c r="J1663" s="24" t="str">
        <f aca="true">IF(ISBLANK(H1663), "", I1663-TODAY())</f>
        <v/>
      </c>
      <c r="K1663" s="24" t="str">
        <f aca="false" t="array" ref="K1663:K1663">IF(A1663&lt;&gt;"",IF(COUNTIF(A$996:A1664,"&lt;&gt;")=0,COUNTA(B$996:B1663),IFERROR(MATCH(TRUE(),INDEX((A$996:A1664&lt;&gt;""),0),0),COUNTA(B$996:B1663))),"")</f>
        <v/>
      </c>
      <c r="L1663" s="27"/>
    </row>
    <row r="1664" customFormat="false" ht="13.8" hidden="false" customHeight="false" outlineLevel="0" collapsed="false">
      <c r="A1664" s="16"/>
      <c r="B1664" s="16"/>
      <c r="C1664" s="26"/>
      <c r="D1664" s="26"/>
      <c r="E1664" s="16"/>
      <c r="F1664" s="18"/>
      <c r="G1664" s="19" t="str">
        <f aca="true">IF(F1664="", "", DATEDIF(F1664, TODAY(), "Y"))</f>
        <v/>
      </c>
      <c r="H1664" s="18"/>
      <c r="I1664" s="18"/>
      <c r="J1664" s="24" t="str">
        <f aca="true">IF(ISBLANK(H1664), "", I1664-TODAY())</f>
        <v/>
      </c>
      <c r="K1664" s="24" t="str">
        <f aca="false" t="array" ref="K1664:K1664">IF(A1664&lt;&gt;"",IF(COUNTIF(A$996:A1665,"&lt;&gt;")=0,COUNTA(B$996:B1664),IFERROR(MATCH(TRUE(),INDEX((A$996:A1665&lt;&gt;""),0),0),COUNTA(B$996:B1664))),"")</f>
        <v/>
      </c>
      <c r="L1664" s="27"/>
    </row>
    <row r="1665" customFormat="false" ht="13.8" hidden="false" customHeight="false" outlineLevel="0" collapsed="false">
      <c r="A1665" s="16"/>
      <c r="B1665" s="16"/>
      <c r="C1665" s="26"/>
      <c r="D1665" s="26"/>
      <c r="E1665" s="16"/>
      <c r="F1665" s="18"/>
      <c r="G1665" s="19" t="str">
        <f aca="true">IF(F1665="", "", DATEDIF(F1665, TODAY(), "Y"))</f>
        <v/>
      </c>
      <c r="H1665" s="18"/>
      <c r="I1665" s="18"/>
      <c r="J1665" s="24" t="str">
        <f aca="true">IF(ISBLANK(H1665), "", I1665-TODAY())</f>
        <v/>
      </c>
      <c r="K1665" s="24" t="str">
        <f aca="false" t="array" ref="K1665:K1665">IF(A1665&lt;&gt;"",IF(COUNTIF(A$996:A1666,"&lt;&gt;")=0,COUNTA(B$996:B1665),IFERROR(MATCH(TRUE(),INDEX((A$996:A1666&lt;&gt;""),0),0),COUNTA(B$996:B1665))),"")</f>
        <v/>
      </c>
      <c r="L1665" s="27"/>
    </row>
    <row r="1666" customFormat="false" ht="13.8" hidden="false" customHeight="false" outlineLevel="0" collapsed="false">
      <c r="A1666" s="16"/>
      <c r="B1666" s="16"/>
      <c r="C1666" s="26"/>
      <c r="D1666" s="26"/>
      <c r="E1666" s="16"/>
      <c r="F1666" s="18"/>
      <c r="G1666" s="19" t="str">
        <f aca="true">IF(F1666="", "", DATEDIF(F1666, TODAY(), "Y"))</f>
        <v/>
      </c>
      <c r="H1666" s="18"/>
      <c r="I1666" s="18"/>
      <c r="J1666" s="24" t="str">
        <f aca="true">IF(ISBLANK(H1666), "", I1666-TODAY())</f>
        <v/>
      </c>
      <c r="K1666" s="24" t="str">
        <f aca="false" t="array" ref="K1666:K1666">IF(A1666&lt;&gt;"",IF(COUNTIF(A$996:A1667,"&lt;&gt;")=0,COUNTA(B$996:B1666),IFERROR(MATCH(TRUE(),INDEX((A$996:A1667&lt;&gt;""),0),0),COUNTA(B$996:B1666))),"")</f>
        <v/>
      </c>
      <c r="L1666" s="27"/>
    </row>
    <row r="1667" customFormat="false" ht="13.8" hidden="false" customHeight="false" outlineLevel="0" collapsed="false">
      <c r="A1667" s="16"/>
      <c r="B1667" s="16"/>
      <c r="C1667" s="26"/>
      <c r="D1667" s="26"/>
      <c r="E1667" s="16"/>
      <c r="F1667" s="18"/>
      <c r="G1667" s="19" t="str">
        <f aca="true">IF(F1667="", "", DATEDIF(F1667, TODAY(), "Y"))</f>
        <v/>
      </c>
      <c r="H1667" s="18"/>
      <c r="I1667" s="18"/>
      <c r="J1667" s="24" t="str">
        <f aca="true">IF(ISBLANK(H1667), "", I1667-TODAY())</f>
        <v/>
      </c>
      <c r="K1667" s="24" t="str">
        <f aca="false" t="array" ref="K1667:K1667">IF(A1667&lt;&gt;"",IF(COUNTIF(A$996:A1668,"&lt;&gt;")=0,COUNTA(B$996:B1667),IFERROR(MATCH(TRUE(),INDEX((A$996:A1668&lt;&gt;""),0),0),COUNTA(B$996:B1667))),"")</f>
        <v/>
      </c>
      <c r="L1667" s="27"/>
    </row>
    <row r="1668" customFormat="false" ht="13.8" hidden="false" customHeight="false" outlineLevel="0" collapsed="false">
      <c r="A1668" s="16"/>
      <c r="B1668" s="16"/>
      <c r="C1668" s="26"/>
      <c r="D1668" s="26"/>
      <c r="E1668" s="16"/>
      <c r="F1668" s="18"/>
      <c r="G1668" s="19" t="str">
        <f aca="true">IF(F1668="", "", DATEDIF(F1668, TODAY(), "Y"))</f>
        <v/>
      </c>
      <c r="H1668" s="18"/>
      <c r="I1668" s="18"/>
      <c r="J1668" s="24" t="str">
        <f aca="true">IF(ISBLANK(H1668), "", I1668-TODAY())</f>
        <v/>
      </c>
      <c r="K1668" s="24" t="str">
        <f aca="false" t="array" ref="K1668:K1668">IF(A1668&lt;&gt;"",IF(COUNTIF(A$996:A1669,"&lt;&gt;")=0,COUNTA(B$996:B1668),IFERROR(MATCH(TRUE(),INDEX((A$996:A1669&lt;&gt;""),0),0),COUNTA(B$996:B1668))),"")</f>
        <v/>
      </c>
      <c r="L1668" s="27"/>
    </row>
    <row r="1669" customFormat="false" ht="13.8" hidden="false" customHeight="false" outlineLevel="0" collapsed="false">
      <c r="A1669" s="16"/>
      <c r="B1669" s="16"/>
      <c r="C1669" s="26"/>
      <c r="D1669" s="26"/>
      <c r="E1669" s="16"/>
      <c r="F1669" s="18"/>
      <c r="G1669" s="19" t="str">
        <f aca="true">IF(F1669="", "", DATEDIF(F1669, TODAY(), "Y"))</f>
        <v/>
      </c>
      <c r="H1669" s="18"/>
      <c r="I1669" s="18"/>
      <c r="J1669" s="24" t="str">
        <f aca="true">IF(ISBLANK(H1669), "", I1669-TODAY())</f>
        <v/>
      </c>
      <c r="K1669" s="24" t="str">
        <f aca="false" t="array" ref="K1669:K1669">IF(A1669&lt;&gt;"",IF(COUNTIF(A$996:A1670,"&lt;&gt;")=0,COUNTA(B$996:B1669),IFERROR(MATCH(TRUE(),INDEX((A$996:A1670&lt;&gt;""),0),0),COUNTA(B$996:B1669))),"")</f>
        <v/>
      </c>
      <c r="L1669" s="27"/>
    </row>
    <row r="1670" customFormat="false" ht="13.8" hidden="false" customHeight="false" outlineLevel="0" collapsed="false">
      <c r="A1670" s="16"/>
      <c r="B1670" s="16"/>
      <c r="C1670" s="26"/>
      <c r="D1670" s="26"/>
      <c r="E1670" s="16"/>
      <c r="F1670" s="18"/>
      <c r="G1670" s="19" t="str">
        <f aca="true">IF(F1670="", "", DATEDIF(F1670, TODAY(), "Y"))</f>
        <v/>
      </c>
      <c r="H1670" s="18"/>
      <c r="I1670" s="18"/>
      <c r="J1670" s="24" t="str">
        <f aca="true">IF(ISBLANK(H1670), "", I1670-TODAY())</f>
        <v/>
      </c>
      <c r="K1670" s="24" t="str">
        <f aca="false" t="array" ref="K1670:K1670">IF(A1670&lt;&gt;"",IF(COUNTIF(A$996:A1671,"&lt;&gt;")=0,COUNTA(B$996:B1670),IFERROR(MATCH(TRUE(),INDEX((A$996:A1671&lt;&gt;""),0),0),COUNTA(B$996:B1670))),"")</f>
        <v/>
      </c>
      <c r="L1670" s="27"/>
    </row>
    <row r="1671" customFormat="false" ht="13.8" hidden="false" customHeight="false" outlineLevel="0" collapsed="false">
      <c r="A1671" s="16"/>
      <c r="B1671" s="16"/>
      <c r="C1671" s="26"/>
      <c r="D1671" s="26"/>
      <c r="E1671" s="16"/>
      <c r="F1671" s="18"/>
      <c r="G1671" s="19" t="str">
        <f aca="true">IF(F1671="", "", DATEDIF(F1671, TODAY(), "Y"))</f>
        <v/>
      </c>
      <c r="H1671" s="18"/>
      <c r="I1671" s="18"/>
      <c r="J1671" s="24" t="str">
        <f aca="true">IF(ISBLANK(H1671), "", I1671-TODAY())</f>
        <v/>
      </c>
      <c r="K1671" s="24" t="str">
        <f aca="false" t="array" ref="K1671:K1671">IF(A1671&lt;&gt;"",IF(COUNTIF(A$996:A1672,"&lt;&gt;")=0,COUNTA(B$996:B1671),IFERROR(MATCH(TRUE(),INDEX((A$996:A1672&lt;&gt;""),0),0),COUNTA(B$996:B1671))),"")</f>
        <v/>
      </c>
      <c r="L1671" s="27"/>
    </row>
    <row r="1672" customFormat="false" ht="13.8" hidden="false" customHeight="false" outlineLevel="0" collapsed="false">
      <c r="A1672" s="16"/>
      <c r="B1672" s="16"/>
      <c r="C1672" s="26"/>
      <c r="D1672" s="26"/>
      <c r="E1672" s="16"/>
      <c r="F1672" s="18"/>
      <c r="G1672" s="19" t="str">
        <f aca="true">IF(F1672="", "", DATEDIF(F1672, TODAY(), "Y"))</f>
        <v/>
      </c>
      <c r="H1672" s="18"/>
      <c r="I1672" s="18"/>
      <c r="J1672" s="24" t="str">
        <f aca="true">IF(ISBLANK(H1672), "", I1672-TODAY())</f>
        <v/>
      </c>
      <c r="K1672" s="24" t="str">
        <f aca="false" t="array" ref="K1672:K1672">IF(A1672&lt;&gt;"",IF(COUNTIF(A$996:A1673,"&lt;&gt;")=0,COUNTA(B$996:B1672),IFERROR(MATCH(TRUE(),INDEX((A$996:A1673&lt;&gt;""),0),0),COUNTA(B$996:B1672))),"")</f>
        <v/>
      </c>
      <c r="L1672" s="27"/>
    </row>
    <row r="1673" customFormat="false" ht="13.8" hidden="false" customHeight="false" outlineLevel="0" collapsed="false">
      <c r="A1673" s="16"/>
      <c r="B1673" s="16"/>
      <c r="C1673" s="26"/>
      <c r="D1673" s="26"/>
      <c r="E1673" s="16"/>
      <c r="F1673" s="18"/>
      <c r="G1673" s="19" t="str">
        <f aca="true">IF(F1673="", "", DATEDIF(F1673, TODAY(), "Y"))</f>
        <v/>
      </c>
      <c r="H1673" s="18"/>
      <c r="I1673" s="18"/>
      <c r="J1673" s="24" t="str">
        <f aca="true">IF(ISBLANK(H1673), "", I1673-TODAY())</f>
        <v/>
      </c>
      <c r="K1673" s="24" t="str">
        <f aca="false" t="array" ref="K1673:K1673">IF(A1673&lt;&gt;"",IF(COUNTIF(A$996:A1674,"&lt;&gt;")=0,COUNTA(B$996:B1673),IFERROR(MATCH(TRUE(),INDEX((A$996:A1674&lt;&gt;""),0),0),COUNTA(B$996:B1673))),"")</f>
        <v/>
      </c>
      <c r="L1673" s="27"/>
    </row>
    <row r="1674" customFormat="false" ht="13.8" hidden="false" customHeight="false" outlineLevel="0" collapsed="false">
      <c r="A1674" s="16"/>
      <c r="B1674" s="16"/>
      <c r="C1674" s="26"/>
      <c r="D1674" s="26"/>
      <c r="E1674" s="16"/>
      <c r="F1674" s="18"/>
      <c r="G1674" s="19" t="str">
        <f aca="true">IF(F1674="", "", DATEDIF(F1674, TODAY(), "Y"))</f>
        <v/>
      </c>
      <c r="H1674" s="18"/>
      <c r="I1674" s="18"/>
      <c r="J1674" s="24" t="str">
        <f aca="true">IF(ISBLANK(H1674), "", I1674-TODAY())</f>
        <v/>
      </c>
      <c r="K1674" s="24" t="str">
        <f aca="false" t="array" ref="K1674:K1674">IF(A1674&lt;&gt;"",IF(COUNTIF(A$996:A1675,"&lt;&gt;")=0,COUNTA(B$996:B1674),IFERROR(MATCH(TRUE(),INDEX((A$996:A1675&lt;&gt;""),0),0),COUNTA(B$996:B1674))),"")</f>
        <v/>
      </c>
      <c r="L1674" s="27"/>
    </row>
    <row r="1675" customFormat="false" ht="13.8" hidden="false" customHeight="false" outlineLevel="0" collapsed="false">
      <c r="A1675" s="16"/>
      <c r="B1675" s="16"/>
      <c r="C1675" s="26"/>
      <c r="D1675" s="26"/>
      <c r="E1675" s="16"/>
      <c r="F1675" s="18"/>
      <c r="G1675" s="19" t="str">
        <f aca="true">IF(F1675="", "", DATEDIF(F1675, TODAY(), "Y"))</f>
        <v/>
      </c>
      <c r="H1675" s="18"/>
      <c r="I1675" s="18"/>
      <c r="J1675" s="24" t="str">
        <f aca="true">IF(ISBLANK(H1675), "", I1675-TODAY())</f>
        <v/>
      </c>
      <c r="K1675" s="24" t="str">
        <f aca="false" t="array" ref="K1675:K1675">IF(A1675&lt;&gt;"",IF(COUNTIF(A$996:A1676,"&lt;&gt;")=0,COUNTA(B$996:B1675),IFERROR(MATCH(TRUE(),INDEX((A$996:A1676&lt;&gt;""),0),0),COUNTA(B$996:B1675))),"")</f>
        <v/>
      </c>
      <c r="L1675" s="27"/>
    </row>
    <row r="1676" customFormat="false" ht="13.8" hidden="false" customHeight="false" outlineLevel="0" collapsed="false">
      <c r="A1676" s="16"/>
      <c r="B1676" s="16"/>
      <c r="C1676" s="26"/>
      <c r="D1676" s="26"/>
      <c r="E1676" s="16"/>
      <c r="F1676" s="18"/>
      <c r="G1676" s="19" t="str">
        <f aca="true">IF(F1676="", "", DATEDIF(F1676, TODAY(), "Y"))</f>
        <v/>
      </c>
      <c r="H1676" s="18"/>
      <c r="I1676" s="18"/>
      <c r="J1676" s="24" t="str">
        <f aca="true">IF(ISBLANK(H1676), "", I1676-TODAY())</f>
        <v/>
      </c>
      <c r="K1676" s="24" t="str">
        <f aca="false" t="array" ref="K1676:K1676">IF(A1676&lt;&gt;"",IF(COUNTIF(A$996:A1677,"&lt;&gt;")=0,COUNTA(B$996:B1676),IFERROR(MATCH(TRUE(),INDEX((A$996:A1677&lt;&gt;""),0),0),COUNTA(B$996:B1676))),"")</f>
        <v/>
      </c>
      <c r="L1676" s="27"/>
    </row>
    <row r="1677" customFormat="false" ht="13.8" hidden="false" customHeight="false" outlineLevel="0" collapsed="false">
      <c r="A1677" s="16"/>
      <c r="B1677" s="16"/>
      <c r="C1677" s="26"/>
      <c r="D1677" s="26"/>
      <c r="E1677" s="16"/>
      <c r="F1677" s="18"/>
      <c r="G1677" s="19" t="str">
        <f aca="true">IF(F1677="", "", DATEDIF(F1677, TODAY(), "Y"))</f>
        <v/>
      </c>
      <c r="H1677" s="18"/>
      <c r="I1677" s="18"/>
      <c r="J1677" s="24" t="str">
        <f aca="true">IF(ISBLANK(H1677), "", I1677-TODAY())</f>
        <v/>
      </c>
      <c r="K1677" s="24" t="str">
        <f aca="false" t="array" ref="K1677:K1677">IF(A1677&lt;&gt;"",IF(COUNTIF(A$996:A1678,"&lt;&gt;")=0,COUNTA(B$996:B1677),IFERROR(MATCH(TRUE(),INDEX((A$996:A1678&lt;&gt;""),0),0),COUNTA(B$996:B1677))),"")</f>
        <v/>
      </c>
      <c r="L1677" s="27"/>
    </row>
    <row r="1678" customFormat="false" ht="13.8" hidden="false" customHeight="false" outlineLevel="0" collapsed="false">
      <c r="A1678" s="16"/>
      <c r="B1678" s="16"/>
      <c r="C1678" s="26"/>
      <c r="D1678" s="26"/>
      <c r="E1678" s="16"/>
      <c r="F1678" s="18"/>
      <c r="G1678" s="19" t="str">
        <f aca="true">IF(F1678="", "", DATEDIF(F1678, TODAY(), "Y"))</f>
        <v/>
      </c>
      <c r="H1678" s="18"/>
      <c r="I1678" s="18"/>
      <c r="J1678" s="24" t="str">
        <f aca="true">IF(ISBLANK(H1678), "", I1678-TODAY())</f>
        <v/>
      </c>
      <c r="K1678" s="24" t="str">
        <f aca="false" t="array" ref="K1678:K1678">IF(A1678&lt;&gt;"",IF(COUNTIF(A$996:A1679,"&lt;&gt;")=0,COUNTA(B$996:B1678),IFERROR(MATCH(TRUE(),INDEX((A$996:A1679&lt;&gt;""),0),0),COUNTA(B$996:B1678))),"")</f>
        <v/>
      </c>
      <c r="L1678" s="27"/>
    </row>
    <row r="1679" customFormat="false" ht="13.8" hidden="false" customHeight="false" outlineLevel="0" collapsed="false">
      <c r="A1679" s="16"/>
      <c r="B1679" s="16"/>
      <c r="C1679" s="26"/>
      <c r="D1679" s="26"/>
      <c r="E1679" s="16"/>
      <c r="F1679" s="18"/>
      <c r="G1679" s="19" t="str">
        <f aca="true">IF(F1679="", "", DATEDIF(F1679, TODAY(), "Y"))</f>
        <v/>
      </c>
      <c r="H1679" s="18"/>
      <c r="I1679" s="18"/>
      <c r="J1679" s="24" t="str">
        <f aca="true">IF(ISBLANK(H1679), "", I1679-TODAY())</f>
        <v/>
      </c>
      <c r="K1679" s="24" t="str">
        <f aca="false" t="array" ref="K1679:K1679">IF(A1679&lt;&gt;"",IF(COUNTIF(A$996:A1680,"&lt;&gt;")=0,COUNTA(B$996:B1679),IFERROR(MATCH(TRUE(),INDEX((A$996:A1680&lt;&gt;""),0),0),COUNTA(B$996:B1679))),"")</f>
        <v/>
      </c>
      <c r="L1679" s="27"/>
    </row>
    <row r="1680" customFormat="false" ht="13.8" hidden="false" customHeight="false" outlineLevel="0" collapsed="false">
      <c r="A1680" s="16"/>
      <c r="B1680" s="16"/>
      <c r="C1680" s="26"/>
      <c r="D1680" s="26"/>
      <c r="E1680" s="16"/>
      <c r="F1680" s="18"/>
      <c r="G1680" s="19" t="str">
        <f aca="true">IF(F1680="", "", DATEDIF(F1680, TODAY(), "Y"))</f>
        <v/>
      </c>
      <c r="H1680" s="18"/>
      <c r="I1680" s="18"/>
      <c r="J1680" s="24" t="str">
        <f aca="true">IF(ISBLANK(H1680), "", I1680-TODAY())</f>
        <v/>
      </c>
      <c r="K1680" s="24" t="str">
        <f aca="false" t="array" ref="K1680:K1680">IF(A1680&lt;&gt;"",IF(COUNTIF(A$996:A1681,"&lt;&gt;")=0,COUNTA(B$996:B1680),IFERROR(MATCH(TRUE(),INDEX((A$996:A1681&lt;&gt;""),0),0),COUNTA(B$996:B1680))),"")</f>
        <v/>
      </c>
      <c r="L1680" s="27"/>
    </row>
    <row r="1681" customFormat="false" ht="13.8" hidden="false" customHeight="false" outlineLevel="0" collapsed="false">
      <c r="A1681" s="16"/>
      <c r="B1681" s="16"/>
      <c r="C1681" s="26"/>
      <c r="D1681" s="26"/>
      <c r="E1681" s="16"/>
      <c r="F1681" s="18"/>
      <c r="G1681" s="19" t="str">
        <f aca="true">IF(F1681="", "", DATEDIF(F1681, TODAY(), "Y"))</f>
        <v/>
      </c>
      <c r="H1681" s="18"/>
      <c r="I1681" s="18"/>
      <c r="J1681" s="24" t="str">
        <f aca="true">IF(ISBLANK(H1681), "", I1681-TODAY())</f>
        <v/>
      </c>
      <c r="K1681" s="24" t="str">
        <f aca="false" t="array" ref="K1681:K1681">IF(A1681&lt;&gt;"",IF(COUNTIF(A$996:A1682,"&lt;&gt;")=0,COUNTA(B$996:B1681),IFERROR(MATCH(TRUE(),INDEX((A$996:A1682&lt;&gt;""),0),0),COUNTA(B$996:B1681))),"")</f>
        <v/>
      </c>
      <c r="L1681" s="27"/>
    </row>
    <row r="1682" customFormat="false" ht="13.8" hidden="false" customHeight="false" outlineLevel="0" collapsed="false">
      <c r="A1682" s="16"/>
      <c r="B1682" s="16"/>
      <c r="C1682" s="26"/>
      <c r="D1682" s="26"/>
      <c r="E1682" s="16"/>
      <c r="F1682" s="18"/>
      <c r="G1682" s="19" t="str">
        <f aca="true">IF(F1682="", "", DATEDIF(F1682, TODAY(), "Y"))</f>
        <v/>
      </c>
      <c r="H1682" s="18"/>
      <c r="I1682" s="18"/>
      <c r="J1682" s="24" t="str">
        <f aca="true">IF(ISBLANK(H1682), "", I1682-TODAY())</f>
        <v/>
      </c>
      <c r="K1682" s="24" t="str">
        <f aca="false" t="array" ref="K1682:K1682">IF(A1682&lt;&gt;"",IF(COUNTIF(A$996:A1683,"&lt;&gt;")=0,COUNTA(B$996:B1682),IFERROR(MATCH(TRUE(),INDEX((A$996:A1683&lt;&gt;""),0),0),COUNTA(B$996:B1682))),"")</f>
        <v/>
      </c>
      <c r="L1682" s="27"/>
    </row>
    <row r="1683" customFormat="false" ht="13.8" hidden="false" customHeight="false" outlineLevel="0" collapsed="false">
      <c r="A1683" s="16"/>
      <c r="B1683" s="16"/>
      <c r="C1683" s="26"/>
      <c r="D1683" s="26"/>
      <c r="E1683" s="16"/>
      <c r="F1683" s="18"/>
      <c r="G1683" s="19" t="str">
        <f aca="true">IF(F1683="", "", DATEDIF(F1683, TODAY(), "Y"))</f>
        <v/>
      </c>
      <c r="H1683" s="18"/>
      <c r="I1683" s="18"/>
      <c r="J1683" s="24" t="str">
        <f aca="true">IF(ISBLANK(H1683), "", I1683-TODAY())</f>
        <v/>
      </c>
      <c r="K1683" s="24" t="str">
        <f aca="false" t="array" ref="K1683:K1683">IF(A1683&lt;&gt;"",IF(COUNTIF(A$996:A1684,"&lt;&gt;")=0,COUNTA(B$996:B1683),IFERROR(MATCH(TRUE(),INDEX((A$996:A1684&lt;&gt;""),0),0),COUNTA(B$996:B1683))),"")</f>
        <v/>
      </c>
      <c r="L1683" s="27"/>
    </row>
    <row r="1684" customFormat="false" ht="13.8" hidden="false" customHeight="false" outlineLevel="0" collapsed="false">
      <c r="A1684" s="16"/>
      <c r="B1684" s="16"/>
      <c r="C1684" s="26"/>
      <c r="D1684" s="26"/>
      <c r="E1684" s="16"/>
      <c r="F1684" s="18"/>
      <c r="G1684" s="19" t="str">
        <f aca="true">IF(F1684="", "", DATEDIF(F1684, TODAY(), "Y"))</f>
        <v/>
      </c>
      <c r="H1684" s="18"/>
      <c r="I1684" s="18"/>
      <c r="J1684" s="24" t="str">
        <f aca="true">IF(ISBLANK(H1684), "", I1684-TODAY())</f>
        <v/>
      </c>
      <c r="K1684" s="24" t="str">
        <f aca="false" t="array" ref="K1684:K1684">IF(A1684&lt;&gt;"",IF(COUNTIF(A$996:A1685,"&lt;&gt;")=0,COUNTA(B$996:B1684),IFERROR(MATCH(TRUE(),INDEX((A$996:A1685&lt;&gt;""),0),0),COUNTA(B$996:B1684))),"")</f>
        <v/>
      </c>
      <c r="L1684" s="27"/>
    </row>
    <row r="1685" customFormat="false" ht="13.8" hidden="false" customHeight="false" outlineLevel="0" collapsed="false">
      <c r="A1685" s="16"/>
      <c r="B1685" s="16"/>
      <c r="C1685" s="26"/>
      <c r="D1685" s="26"/>
      <c r="E1685" s="16"/>
      <c r="F1685" s="18"/>
      <c r="G1685" s="19" t="str">
        <f aca="true">IF(F1685="", "", DATEDIF(F1685, TODAY(), "Y"))</f>
        <v/>
      </c>
      <c r="H1685" s="18"/>
      <c r="I1685" s="18"/>
      <c r="J1685" s="24" t="str">
        <f aca="true">IF(ISBLANK(H1685), "", I1685-TODAY())</f>
        <v/>
      </c>
      <c r="K1685" s="24" t="str">
        <f aca="false" t="array" ref="K1685:K1685">IF(A1685&lt;&gt;"",IF(COUNTIF(A$996:A1686,"&lt;&gt;")=0,COUNTA(B$996:B1685),IFERROR(MATCH(TRUE(),INDEX((A$996:A1686&lt;&gt;""),0),0),COUNTA(B$996:B1685))),"")</f>
        <v/>
      </c>
      <c r="L1685" s="27"/>
    </row>
    <row r="1686" customFormat="false" ht="13.8" hidden="false" customHeight="false" outlineLevel="0" collapsed="false">
      <c r="A1686" s="16"/>
      <c r="B1686" s="16"/>
      <c r="C1686" s="26"/>
      <c r="D1686" s="26"/>
      <c r="E1686" s="16"/>
      <c r="F1686" s="18"/>
      <c r="G1686" s="19" t="str">
        <f aca="true">IF(F1686="", "", DATEDIF(F1686, TODAY(), "Y"))</f>
        <v/>
      </c>
      <c r="H1686" s="18"/>
      <c r="I1686" s="18"/>
      <c r="J1686" s="24" t="str">
        <f aca="true">IF(ISBLANK(H1686), "", I1686-TODAY())</f>
        <v/>
      </c>
      <c r="K1686" s="24" t="str">
        <f aca="false" t="array" ref="K1686:K1686">IF(A1686&lt;&gt;"",IF(COUNTIF(A$996:A1687,"&lt;&gt;")=0,COUNTA(B$996:B1686),IFERROR(MATCH(TRUE(),INDEX((A$996:A1687&lt;&gt;""),0),0),COUNTA(B$996:B1686))),"")</f>
        <v/>
      </c>
      <c r="L1686" s="27"/>
    </row>
    <row r="1687" customFormat="false" ht="13.8" hidden="false" customHeight="false" outlineLevel="0" collapsed="false">
      <c r="A1687" s="16"/>
      <c r="B1687" s="16"/>
      <c r="C1687" s="26"/>
      <c r="D1687" s="26"/>
      <c r="E1687" s="16"/>
      <c r="F1687" s="18"/>
      <c r="G1687" s="19" t="str">
        <f aca="true">IF(F1687="", "", DATEDIF(F1687, TODAY(), "Y"))</f>
        <v/>
      </c>
      <c r="H1687" s="18"/>
      <c r="I1687" s="18"/>
      <c r="J1687" s="24" t="str">
        <f aca="true">IF(ISBLANK(H1687), "", I1687-TODAY())</f>
        <v/>
      </c>
      <c r="K1687" s="24" t="str">
        <f aca="false" t="array" ref="K1687:K1687">IF(A1687&lt;&gt;"",IF(COUNTIF(A$996:A1688,"&lt;&gt;")=0,COUNTA(B$996:B1687),IFERROR(MATCH(TRUE(),INDEX((A$996:A1688&lt;&gt;""),0),0),COUNTA(B$996:B1687))),"")</f>
        <v/>
      </c>
      <c r="L1687" s="27"/>
    </row>
    <row r="1688" customFormat="false" ht="13.8" hidden="false" customHeight="false" outlineLevel="0" collapsed="false">
      <c r="A1688" s="16"/>
      <c r="B1688" s="16"/>
      <c r="C1688" s="26"/>
      <c r="D1688" s="26"/>
      <c r="E1688" s="16"/>
      <c r="F1688" s="18"/>
      <c r="G1688" s="19" t="str">
        <f aca="true">IF(F1688="", "", DATEDIF(F1688, TODAY(), "Y"))</f>
        <v/>
      </c>
      <c r="H1688" s="18"/>
      <c r="I1688" s="18"/>
      <c r="J1688" s="24" t="str">
        <f aca="true">IF(ISBLANK(H1688), "", I1688-TODAY())</f>
        <v/>
      </c>
      <c r="K1688" s="24" t="str">
        <f aca="false" t="array" ref="K1688:K1688">IF(A1688&lt;&gt;"",IF(COUNTIF(A$996:A1689,"&lt;&gt;")=0,COUNTA(B$996:B1688),IFERROR(MATCH(TRUE(),INDEX((A$996:A1689&lt;&gt;""),0),0),COUNTA(B$996:B1688))),"")</f>
        <v/>
      </c>
      <c r="L1688" s="27"/>
    </row>
    <row r="1689" customFormat="false" ht="13.8" hidden="false" customHeight="false" outlineLevel="0" collapsed="false">
      <c r="A1689" s="16"/>
      <c r="B1689" s="16"/>
      <c r="C1689" s="26"/>
      <c r="D1689" s="26"/>
      <c r="E1689" s="16"/>
      <c r="F1689" s="18"/>
      <c r="G1689" s="19" t="str">
        <f aca="true">IF(F1689="", "", DATEDIF(F1689, TODAY(), "Y"))</f>
        <v/>
      </c>
      <c r="H1689" s="18"/>
      <c r="I1689" s="18"/>
      <c r="J1689" s="24" t="str">
        <f aca="true">IF(ISBLANK(H1689), "", I1689-TODAY())</f>
        <v/>
      </c>
      <c r="K1689" s="24" t="str">
        <f aca="false" t="array" ref="K1689:K1689">IF(A1689&lt;&gt;"",IF(COUNTIF(A$996:A1690,"&lt;&gt;")=0,COUNTA(B$996:B1689),IFERROR(MATCH(TRUE(),INDEX((A$996:A1690&lt;&gt;""),0),0),COUNTA(B$996:B1689))),"")</f>
        <v/>
      </c>
      <c r="L1689" s="27"/>
    </row>
    <row r="1690" customFormat="false" ht="13.8" hidden="false" customHeight="false" outlineLevel="0" collapsed="false">
      <c r="A1690" s="16"/>
      <c r="B1690" s="16"/>
      <c r="C1690" s="26"/>
      <c r="D1690" s="26"/>
      <c r="E1690" s="16"/>
      <c r="F1690" s="18"/>
      <c r="G1690" s="19" t="str">
        <f aca="true">IF(F1690="", "", DATEDIF(F1690, TODAY(), "Y"))</f>
        <v/>
      </c>
      <c r="H1690" s="18"/>
      <c r="I1690" s="18"/>
      <c r="J1690" s="24" t="str">
        <f aca="true">IF(ISBLANK(H1690), "", I1690-TODAY())</f>
        <v/>
      </c>
      <c r="K1690" s="24" t="str">
        <f aca="false" t="array" ref="K1690:K1690">IF(A1690&lt;&gt;"",IF(COUNTIF(A$996:A1691,"&lt;&gt;")=0,COUNTA(B$996:B1690),IFERROR(MATCH(TRUE(),INDEX((A$996:A1691&lt;&gt;""),0),0),COUNTA(B$996:B1690))),"")</f>
        <v/>
      </c>
      <c r="L1690" s="27"/>
    </row>
    <row r="1691" customFormat="false" ht="13.8" hidden="false" customHeight="false" outlineLevel="0" collapsed="false">
      <c r="A1691" s="16"/>
      <c r="B1691" s="16"/>
      <c r="C1691" s="26"/>
      <c r="D1691" s="26"/>
      <c r="E1691" s="16"/>
      <c r="F1691" s="18"/>
      <c r="G1691" s="19" t="str">
        <f aca="true">IF(F1691="", "", DATEDIF(F1691, TODAY(), "Y"))</f>
        <v/>
      </c>
      <c r="H1691" s="18"/>
      <c r="I1691" s="18"/>
      <c r="J1691" s="24" t="str">
        <f aca="true">IF(ISBLANK(H1691), "", I1691-TODAY())</f>
        <v/>
      </c>
      <c r="K1691" s="24" t="str">
        <f aca="false" t="array" ref="K1691:K1691">IF(A1691&lt;&gt;"",IF(COUNTIF(A$996:A1692,"&lt;&gt;")=0,COUNTA(B$996:B1691),IFERROR(MATCH(TRUE(),INDEX((A$996:A1692&lt;&gt;""),0),0),COUNTA(B$996:B1691))),"")</f>
        <v/>
      </c>
      <c r="L1691" s="27"/>
    </row>
    <row r="1692" customFormat="false" ht="13.8" hidden="false" customHeight="false" outlineLevel="0" collapsed="false">
      <c r="A1692" s="16"/>
      <c r="B1692" s="16"/>
      <c r="C1692" s="26"/>
      <c r="D1692" s="26"/>
      <c r="E1692" s="16"/>
      <c r="F1692" s="18"/>
      <c r="G1692" s="19" t="str">
        <f aca="true">IF(F1692="", "", DATEDIF(F1692, TODAY(), "Y"))</f>
        <v/>
      </c>
      <c r="H1692" s="18"/>
      <c r="I1692" s="18"/>
      <c r="J1692" s="24" t="str">
        <f aca="true">IF(ISBLANK(H1692), "", I1692-TODAY())</f>
        <v/>
      </c>
      <c r="K1692" s="24" t="str">
        <f aca="false" t="array" ref="K1692:K1692">IF(A1692&lt;&gt;"",IF(COUNTIF(A$996:A1693,"&lt;&gt;")=0,COUNTA(B$996:B1692),IFERROR(MATCH(TRUE(),INDEX((A$996:A1693&lt;&gt;""),0),0),COUNTA(B$996:B1692))),"")</f>
        <v/>
      </c>
      <c r="L1692" s="27"/>
    </row>
    <row r="1693" customFormat="false" ht="13.8" hidden="false" customHeight="false" outlineLevel="0" collapsed="false">
      <c r="A1693" s="16"/>
      <c r="B1693" s="16"/>
      <c r="C1693" s="26"/>
      <c r="D1693" s="26"/>
      <c r="E1693" s="16"/>
      <c r="F1693" s="18"/>
      <c r="G1693" s="19" t="str">
        <f aca="true">IF(F1693="", "", DATEDIF(F1693, TODAY(), "Y"))</f>
        <v/>
      </c>
      <c r="H1693" s="18"/>
      <c r="I1693" s="18"/>
      <c r="J1693" s="24" t="str">
        <f aca="true">IF(ISBLANK(H1693), "", I1693-TODAY())</f>
        <v/>
      </c>
      <c r="K1693" s="24" t="str">
        <f aca="false" t="array" ref="K1693:K1693">IF(A1693&lt;&gt;"",IF(COUNTIF(A$996:A1694,"&lt;&gt;")=0,COUNTA(B$996:B1693),IFERROR(MATCH(TRUE(),INDEX((A$996:A1694&lt;&gt;""),0),0),COUNTA(B$996:B1693))),"")</f>
        <v/>
      </c>
      <c r="L1693" s="27"/>
    </row>
    <row r="1694" customFormat="false" ht="13.8" hidden="false" customHeight="false" outlineLevel="0" collapsed="false">
      <c r="A1694" s="16"/>
      <c r="B1694" s="16"/>
      <c r="C1694" s="26"/>
      <c r="D1694" s="26"/>
      <c r="E1694" s="16"/>
      <c r="F1694" s="18"/>
      <c r="G1694" s="19" t="str">
        <f aca="true">IF(F1694="", "", DATEDIF(F1694, TODAY(), "Y"))</f>
        <v/>
      </c>
      <c r="H1694" s="18"/>
      <c r="I1694" s="18"/>
      <c r="J1694" s="24" t="str">
        <f aca="true">IF(ISBLANK(H1694), "", I1694-TODAY())</f>
        <v/>
      </c>
      <c r="K1694" s="24" t="str">
        <f aca="false" t="array" ref="K1694:K1694">IF(A1694&lt;&gt;"",IF(COUNTIF(A$996:A1695,"&lt;&gt;")=0,COUNTA(B$996:B1694),IFERROR(MATCH(TRUE(),INDEX((A$996:A1695&lt;&gt;""),0),0),COUNTA(B$996:B1694))),"")</f>
        <v/>
      </c>
      <c r="L1694" s="27"/>
    </row>
    <row r="1695" customFormat="false" ht="13.8" hidden="false" customHeight="false" outlineLevel="0" collapsed="false">
      <c r="A1695" s="16"/>
      <c r="B1695" s="16"/>
      <c r="C1695" s="26"/>
      <c r="D1695" s="26"/>
      <c r="E1695" s="16"/>
      <c r="F1695" s="18"/>
      <c r="G1695" s="19" t="str">
        <f aca="true">IF(F1695="", "", DATEDIF(F1695, TODAY(), "Y"))</f>
        <v/>
      </c>
      <c r="H1695" s="18"/>
      <c r="I1695" s="18"/>
      <c r="J1695" s="24" t="str">
        <f aca="true">IF(ISBLANK(H1695), "", I1695-TODAY())</f>
        <v/>
      </c>
      <c r="K1695" s="24" t="str">
        <f aca="false" t="array" ref="K1695:K1695">IF(A1695&lt;&gt;"",IF(COUNTIF(A$996:A1696,"&lt;&gt;")=0,COUNTA(B$996:B1695),IFERROR(MATCH(TRUE(),INDEX((A$996:A1696&lt;&gt;""),0),0),COUNTA(B$996:B1695))),"")</f>
        <v/>
      </c>
      <c r="L1695" s="27"/>
    </row>
    <row r="1696" customFormat="false" ht="13.8" hidden="false" customHeight="false" outlineLevel="0" collapsed="false">
      <c r="A1696" s="16"/>
      <c r="B1696" s="16"/>
      <c r="C1696" s="26"/>
      <c r="D1696" s="26"/>
      <c r="E1696" s="16"/>
      <c r="F1696" s="18"/>
      <c r="G1696" s="19" t="str">
        <f aca="true">IF(F1696="", "", DATEDIF(F1696, TODAY(), "Y"))</f>
        <v/>
      </c>
      <c r="H1696" s="18"/>
      <c r="I1696" s="18"/>
      <c r="J1696" s="24" t="str">
        <f aca="true">IF(ISBLANK(H1696), "", I1696-TODAY())</f>
        <v/>
      </c>
      <c r="K1696" s="24" t="str">
        <f aca="false" t="array" ref="K1696:K1696">IF(A1696&lt;&gt;"",IF(COUNTIF(A$996:A1697,"&lt;&gt;")=0,COUNTA(B$996:B1696),IFERROR(MATCH(TRUE(),INDEX((A$996:A1697&lt;&gt;""),0),0),COUNTA(B$996:B1696))),"")</f>
        <v/>
      </c>
      <c r="L1696" s="27"/>
    </row>
    <row r="1697" customFormat="false" ht="13.8" hidden="false" customHeight="false" outlineLevel="0" collapsed="false">
      <c r="A1697" s="16"/>
      <c r="B1697" s="16"/>
      <c r="C1697" s="26"/>
      <c r="D1697" s="26"/>
      <c r="E1697" s="16"/>
      <c r="F1697" s="18"/>
      <c r="G1697" s="19" t="str">
        <f aca="true">IF(F1697="", "", DATEDIF(F1697, TODAY(), "Y"))</f>
        <v/>
      </c>
      <c r="H1697" s="18"/>
      <c r="I1697" s="18"/>
      <c r="J1697" s="24" t="str">
        <f aca="true">IF(ISBLANK(H1697), "", I1697-TODAY())</f>
        <v/>
      </c>
      <c r="K1697" s="24" t="str">
        <f aca="false" t="array" ref="K1697:K1697">IF(A1697&lt;&gt;"",IF(COUNTIF(A$996:A1698,"&lt;&gt;")=0,COUNTA(B$996:B1697),IFERROR(MATCH(TRUE(),INDEX((A$996:A1698&lt;&gt;""),0),0),COUNTA(B$996:B1697))),"")</f>
        <v/>
      </c>
      <c r="L1697" s="27"/>
    </row>
    <row r="1698" customFormat="false" ht="13.8" hidden="false" customHeight="false" outlineLevel="0" collapsed="false">
      <c r="A1698" s="16"/>
      <c r="B1698" s="16"/>
      <c r="C1698" s="26"/>
      <c r="D1698" s="26"/>
      <c r="E1698" s="16"/>
      <c r="F1698" s="18"/>
      <c r="G1698" s="19" t="str">
        <f aca="true">IF(F1698="", "", DATEDIF(F1698, TODAY(), "Y"))</f>
        <v/>
      </c>
      <c r="H1698" s="18"/>
      <c r="I1698" s="18"/>
      <c r="J1698" s="24" t="str">
        <f aca="true">IF(ISBLANK(H1698), "", I1698-TODAY())</f>
        <v/>
      </c>
      <c r="K1698" s="24" t="str">
        <f aca="false" t="array" ref="K1698:K1698">IF(A1698&lt;&gt;"",IF(COUNTIF(A$996:A1699,"&lt;&gt;")=0,COUNTA(B$996:B1698),IFERROR(MATCH(TRUE(),INDEX((A$996:A1699&lt;&gt;""),0),0),COUNTA(B$996:B1698))),"")</f>
        <v/>
      </c>
      <c r="L1698" s="27"/>
    </row>
    <row r="1699" customFormat="false" ht="13.8" hidden="false" customHeight="false" outlineLevel="0" collapsed="false">
      <c r="A1699" s="16"/>
      <c r="B1699" s="16"/>
      <c r="C1699" s="26"/>
      <c r="D1699" s="26"/>
      <c r="E1699" s="16"/>
      <c r="F1699" s="18"/>
      <c r="G1699" s="19" t="str">
        <f aca="true">IF(F1699="", "", DATEDIF(F1699, TODAY(), "Y"))</f>
        <v/>
      </c>
      <c r="H1699" s="18"/>
      <c r="I1699" s="18"/>
      <c r="J1699" s="24" t="str">
        <f aca="true">IF(ISBLANK(H1699), "", I1699-TODAY())</f>
        <v/>
      </c>
      <c r="K1699" s="24" t="str">
        <f aca="false" t="array" ref="K1699:K1699">IF(A1699&lt;&gt;"",IF(COUNTIF(A$996:A1700,"&lt;&gt;")=0,COUNTA(B$996:B1699),IFERROR(MATCH(TRUE(),INDEX((A$996:A1700&lt;&gt;""),0),0),COUNTA(B$996:B1699))),"")</f>
        <v/>
      </c>
      <c r="L1699" s="27"/>
    </row>
    <row r="1700" customFormat="false" ht="13.8" hidden="false" customHeight="false" outlineLevel="0" collapsed="false">
      <c r="A1700" s="16"/>
      <c r="B1700" s="16"/>
      <c r="C1700" s="26"/>
      <c r="D1700" s="26"/>
      <c r="E1700" s="16"/>
      <c r="F1700" s="18"/>
      <c r="G1700" s="19" t="str">
        <f aca="true">IF(F1700="", "", DATEDIF(F1700, TODAY(), "Y"))</f>
        <v/>
      </c>
      <c r="H1700" s="18"/>
      <c r="I1700" s="18"/>
      <c r="J1700" s="24" t="str">
        <f aca="true">IF(ISBLANK(H1700), "", I1700-TODAY())</f>
        <v/>
      </c>
      <c r="K1700" s="24" t="str">
        <f aca="false" t="array" ref="K1700:K1700">IF(A1700&lt;&gt;"",IF(COUNTIF(A$996:A1701,"&lt;&gt;")=0,COUNTA(B$996:B1700),IFERROR(MATCH(TRUE(),INDEX((A$996:A1701&lt;&gt;""),0),0),COUNTA(B$996:B1700))),"")</f>
        <v/>
      </c>
      <c r="L1700" s="27"/>
    </row>
    <row r="1701" customFormat="false" ht="13.8" hidden="false" customHeight="false" outlineLevel="0" collapsed="false">
      <c r="A1701" s="16"/>
      <c r="B1701" s="16"/>
      <c r="C1701" s="26"/>
      <c r="D1701" s="26"/>
      <c r="E1701" s="16"/>
      <c r="F1701" s="18"/>
      <c r="G1701" s="19" t="str">
        <f aca="true">IF(F1701="", "", DATEDIF(F1701, TODAY(), "Y"))</f>
        <v/>
      </c>
      <c r="H1701" s="18"/>
      <c r="I1701" s="18"/>
      <c r="J1701" s="24" t="str">
        <f aca="true">IF(ISBLANK(H1701), "", I1701-TODAY())</f>
        <v/>
      </c>
      <c r="K1701" s="24" t="str">
        <f aca="false" t="array" ref="K1701:K1701">IF(A1701&lt;&gt;"",IF(COUNTIF(A$996:A1702,"&lt;&gt;")=0,COUNTA(B$996:B1701),IFERROR(MATCH(TRUE(),INDEX((A$996:A1702&lt;&gt;""),0),0),COUNTA(B$996:B1701))),"")</f>
        <v/>
      </c>
      <c r="L1701" s="27"/>
    </row>
    <row r="1702" customFormat="false" ht="13.8" hidden="false" customHeight="false" outlineLevel="0" collapsed="false">
      <c r="A1702" s="16"/>
      <c r="B1702" s="16"/>
      <c r="C1702" s="26"/>
      <c r="D1702" s="26"/>
      <c r="E1702" s="16"/>
      <c r="F1702" s="18"/>
      <c r="G1702" s="19" t="str">
        <f aca="true">IF(F1702="", "", DATEDIF(F1702, TODAY(), "Y"))</f>
        <v/>
      </c>
      <c r="H1702" s="18"/>
      <c r="I1702" s="18"/>
      <c r="J1702" s="24" t="str">
        <f aca="true">IF(ISBLANK(H1702), "", I1702-TODAY())</f>
        <v/>
      </c>
      <c r="K1702" s="24" t="str">
        <f aca="false" t="array" ref="K1702:K1702">IF(A1702&lt;&gt;"",IF(COUNTIF(A$996:A1703,"&lt;&gt;")=0,COUNTA(B$996:B1702),IFERROR(MATCH(TRUE(),INDEX((A$996:A1703&lt;&gt;""),0),0),COUNTA(B$996:B1702))),"")</f>
        <v/>
      </c>
      <c r="L1702" s="27"/>
    </row>
    <row r="1703" customFormat="false" ht="13.8" hidden="false" customHeight="false" outlineLevel="0" collapsed="false">
      <c r="A1703" s="16"/>
      <c r="B1703" s="16"/>
      <c r="C1703" s="26"/>
      <c r="D1703" s="26"/>
      <c r="E1703" s="16"/>
      <c r="F1703" s="18"/>
      <c r="G1703" s="19" t="str">
        <f aca="true">IF(F1703="", "", DATEDIF(F1703, TODAY(), "Y"))</f>
        <v/>
      </c>
      <c r="H1703" s="18"/>
      <c r="I1703" s="18"/>
      <c r="J1703" s="24" t="str">
        <f aca="true">IF(ISBLANK(H1703), "", I1703-TODAY())</f>
        <v/>
      </c>
      <c r="K1703" s="24" t="str">
        <f aca="false" t="array" ref="K1703:K1703">IF(A1703&lt;&gt;"",IF(COUNTIF(A$996:A1704,"&lt;&gt;")=0,COUNTA(B$996:B1703),IFERROR(MATCH(TRUE(),INDEX((A$996:A1704&lt;&gt;""),0),0),COUNTA(B$996:B1703))),"")</f>
        <v/>
      </c>
      <c r="L1703" s="27"/>
    </row>
    <row r="1704" customFormat="false" ht="13.8" hidden="false" customHeight="false" outlineLevel="0" collapsed="false">
      <c r="A1704" s="16"/>
      <c r="B1704" s="16"/>
      <c r="C1704" s="26"/>
      <c r="D1704" s="26"/>
      <c r="E1704" s="16"/>
      <c r="F1704" s="18"/>
      <c r="G1704" s="19" t="str">
        <f aca="true">IF(F1704="", "", DATEDIF(F1704, TODAY(), "Y"))</f>
        <v/>
      </c>
      <c r="H1704" s="18"/>
      <c r="I1704" s="18"/>
      <c r="J1704" s="24" t="str">
        <f aca="true">IF(ISBLANK(H1704), "", I1704-TODAY())</f>
        <v/>
      </c>
      <c r="K1704" s="24" t="str">
        <f aca="false" t="array" ref="K1704:K1704">IF(A1704&lt;&gt;"",IF(COUNTIF(A$996:A1705,"&lt;&gt;")=0,COUNTA(B$996:B1704),IFERROR(MATCH(TRUE(),INDEX((A$996:A1705&lt;&gt;""),0),0),COUNTA(B$996:B1704))),"")</f>
        <v/>
      </c>
      <c r="L1704" s="27"/>
    </row>
    <row r="1705" customFormat="false" ht="13.8" hidden="false" customHeight="false" outlineLevel="0" collapsed="false">
      <c r="A1705" s="16"/>
      <c r="B1705" s="16"/>
      <c r="C1705" s="26"/>
      <c r="D1705" s="26"/>
      <c r="E1705" s="16"/>
      <c r="F1705" s="18"/>
      <c r="G1705" s="19" t="str">
        <f aca="true">IF(F1705="", "", DATEDIF(F1705, TODAY(), "Y"))</f>
        <v/>
      </c>
      <c r="H1705" s="18"/>
      <c r="I1705" s="18"/>
      <c r="J1705" s="24" t="str">
        <f aca="true">IF(ISBLANK(H1705), "", I1705-TODAY())</f>
        <v/>
      </c>
      <c r="K1705" s="24" t="str">
        <f aca="false" t="array" ref="K1705:K1705">IF(A1705&lt;&gt;"",IF(COUNTIF(A$996:A1706,"&lt;&gt;")=0,COUNTA(B$996:B1705),IFERROR(MATCH(TRUE(),INDEX((A$996:A1706&lt;&gt;""),0),0),COUNTA(B$996:B1705))),"")</f>
        <v/>
      </c>
      <c r="L1705" s="27"/>
    </row>
    <row r="1706" customFormat="false" ht="13.8" hidden="false" customHeight="false" outlineLevel="0" collapsed="false">
      <c r="A1706" s="16"/>
      <c r="B1706" s="16"/>
      <c r="C1706" s="26"/>
      <c r="D1706" s="26"/>
      <c r="E1706" s="16"/>
      <c r="F1706" s="18"/>
      <c r="G1706" s="19" t="str">
        <f aca="true">IF(F1706="", "", DATEDIF(F1706, TODAY(), "Y"))</f>
        <v/>
      </c>
      <c r="H1706" s="18"/>
      <c r="I1706" s="18"/>
      <c r="J1706" s="24" t="str">
        <f aca="true">IF(ISBLANK(H1706), "", I1706-TODAY())</f>
        <v/>
      </c>
      <c r="K1706" s="24" t="str">
        <f aca="false" t="array" ref="K1706:K1706">IF(A1706&lt;&gt;"",IF(COUNTIF(A$996:A1707,"&lt;&gt;")=0,COUNTA(B$996:B1706),IFERROR(MATCH(TRUE(),INDEX((A$996:A1707&lt;&gt;""),0),0),COUNTA(B$996:B1706))),"")</f>
        <v/>
      </c>
      <c r="L1706" s="27"/>
    </row>
    <row r="1707" customFormat="false" ht="13.8" hidden="false" customHeight="false" outlineLevel="0" collapsed="false">
      <c r="A1707" s="16"/>
      <c r="B1707" s="16"/>
      <c r="C1707" s="26"/>
      <c r="D1707" s="26"/>
      <c r="E1707" s="16"/>
      <c r="F1707" s="18"/>
      <c r="G1707" s="19" t="str">
        <f aca="true">IF(F1707="", "", DATEDIF(F1707, TODAY(), "Y"))</f>
        <v/>
      </c>
      <c r="H1707" s="18"/>
      <c r="I1707" s="18"/>
      <c r="J1707" s="24" t="str">
        <f aca="true">IF(ISBLANK(H1707), "", I1707-TODAY())</f>
        <v/>
      </c>
      <c r="K1707" s="24" t="str">
        <f aca="false" t="array" ref="K1707:K1707">IF(A1707&lt;&gt;"",IF(COUNTIF(A$996:A1708,"&lt;&gt;")=0,COUNTA(B$996:B1707),IFERROR(MATCH(TRUE(),INDEX((A$996:A1708&lt;&gt;""),0),0),COUNTA(B$996:B1707))),"")</f>
        <v/>
      </c>
      <c r="L1707" s="27"/>
    </row>
    <row r="1708" customFormat="false" ht="13.8" hidden="false" customHeight="false" outlineLevel="0" collapsed="false">
      <c r="A1708" s="16"/>
      <c r="B1708" s="16"/>
      <c r="C1708" s="26"/>
      <c r="D1708" s="26"/>
      <c r="E1708" s="16"/>
      <c r="F1708" s="18"/>
      <c r="G1708" s="19" t="str">
        <f aca="true">IF(F1708="", "", DATEDIF(F1708, TODAY(), "Y"))</f>
        <v/>
      </c>
      <c r="H1708" s="18"/>
      <c r="I1708" s="18"/>
      <c r="J1708" s="24" t="str">
        <f aca="true">IF(ISBLANK(H1708), "", I1708-TODAY())</f>
        <v/>
      </c>
      <c r="K1708" s="24" t="str">
        <f aca="false" t="array" ref="K1708:K1708">IF(A1708&lt;&gt;"",IF(COUNTIF(A$996:A1709,"&lt;&gt;")=0,COUNTA(B$996:B1708),IFERROR(MATCH(TRUE(),INDEX((A$996:A1709&lt;&gt;""),0),0),COUNTA(B$996:B1708))),"")</f>
        <v/>
      </c>
      <c r="L1708" s="27"/>
    </row>
    <row r="1709" customFormat="false" ht="13.8" hidden="false" customHeight="false" outlineLevel="0" collapsed="false">
      <c r="A1709" s="16"/>
      <c r="B1709" s="16"/>
      <c r="C1709" s="26"/>
      <c r="D1709" s="26"/>
      <c r="E1709" s="16"/>
      <c r="F1709" s="18"/>
      <c r="G1709" s="19" t="str">
        <f aca="true">IF(F1709="", "", DATEDIF(F1709, TODAY(), "Y"))</f>
        <v/>
      </c>
      <c r="H1709" s="18"/>
      <c r="I1709" s="18"/>
      <c r="J1709" s="24" t="str">
        <f aca="true">IF(ISBLANK(H1709), "", I1709-TODAY())</f>
        <v/>
      </c>
      <c r="K1709" s="24" t="str">
        <f aca="false" t="array" ref="K1709:K1709">IF(A1709&lt;&gt;"",IF(COUNTIF(A$996:A1710,"&lt;&gt;")=0,COUNTA(B$996:B1709),IFERROR(MATCH(TRUE(),INDEX((A$996:A1710&lt;&gt;""),0),0),COUNTA(B$996:B1709))),"")</f>
        <v/>
      </c>
      <c r="L1709" s="27"/>
    </row>
    <row r="1710" customFormat="false" ht="13.8" hidden="false" customHeight="false" outlineLevel="0" collapsed="false">
      <c r="A1710" s="16"/>
      <c r="B1710" s="16"/>
      <c r="C1710" s="26"/>
      <c r="D1710" s="26"/>
      <c r="E1710" s="16"/>
      <c r="F1710" s="18"/>
      <c r="G1710" s="19" t="str">
        <f aca="true">IF(F1710="", "", DATEDIF(F1710, TODAY(), "Y"))</f>
        <v/>
      </c>
      <c r="H1710" s="18"/>
      <c r="I1710" s="18"/>
      <c r="J1710" s="24" t="str">
        <f aca="true">IF(ISBLANK(H1710), "", I1710-TODAY())</f>
        <v/>
      </c>
      <c r="K1710" s="24" t="str">
        <f aca="false" t="array" ref="K1710:K1710">IF(A1710&lt;&gt;"",IF(COUNTIF(A$996:A1711,"&lt;&gt;")=0,COUNTA(B$996:B1710),IFERROR(MATCH(TRUE(),INDEX((A$996:A1711&lt;&gt;""),0),0),COUNTA(B$996:B1710))),"")</f>
        <v/>
      </c>
      <c r="L1710" s="27"/>
    </row>
    <row r="1711" customFormat="false" ht="13.8" hidden="false" customHeight="false" outlineLevel="0" collapsed="false">
      <c r="A1711" s="16"/>
      <c r="B1711" s="16"/>
      <c r="C1711" s="26"/>
      <c r="D1711" s="26"/>
      <c r="E1711" s="16"/>
      <c r="F1711" s="18"/>
      <c r="G1711" s="19" t="str">
        <f aca="true">IF(F1711="", "", DATEDIF(F1711, TODAY(), "Y"))</f>
        <v/>
      </c>
      <c r="H1711" s="18"/>
      <c r="I1711" s="18"/>
      <c r="J1711" s="24" t="str">
        <f aca="true">IF(ISBLANK(H1711), "", I1711-TODAY())</f>
        <v/>
      </c>
      <c r="K1711" s="24" t="str">
        <f aca="false" t="array" ref="K1711:K1711">IF(A1711&lt;&gt;"",IF(COUNTIF(A$996:A1712,"&lt;&gt;")=0,COUNTA(B$996:B1711),IFERROR(MATCH(TRUE(),INDEX((A$996:A1712&lt;&gt;""),0),0),COUNTA(B$996:B1711))),"")</f>
        <v/>
      </c>
      <c r="L1711" s="27"/>
    </row>
    <row r="1712" customFormat="false" ht="13.8" hidden="false" customHeight="false" outlineLevel="0" collapsed="false">
      <c r="A1712" s="16"/>
      <c r="B1712" s="16"/>
      <c r="C1712" s="26"/>
      <c r="D1712" s="26"/>
      <c r="E1712" s="16"/>
      <c r="F1712" s="18"/>
      <c r="G1712" s="19" t="str">
        <f aca="true">IF(F1712="", "", DATEDIF(F1712, TODAY(), "Y"))</f>
        <v/>
      </c>
      <c r="H1712" s="18"/>
      <c r="I1712" s="18"/>
      <c r="J1712" s="24" t="str">
        <f aca="true">IF(ISBLANK(H1712), "", I1712-TODAY())</f>
        <v/>
      </c>
      <c r="K1712" s="24" t="str">
        <f aca="false" t="array" ref="K1712:K1712">IF(A1712&lt;&gt;"",IF(COUNTIF(A$996:A1713,"&lt;&gt;")=0,COUNTA(B$996:B1712),IFERROR(MATCH(TRUE(),INDEX((A$996:A1713&lt;&gt;""),0),0),COUNTA(B$996:B1712))),"")</f>
        <v/>
      </c>
      <c r="L1712" s="27"/>
    </row>
    <row r="1713" customFormat="false" ht="13.8" hidden="false" customHeight="false" outlineLevel="0" collapsed="false">
      <c r="A1713" s="16"/>
      <c r="B1713" s="16"/>
      <c r="C1713" s="26"/>
      <c r="D1713" s="26"/>
      <c r="E1713" s="16"/>
      <c r="F1713" s="18"/>
      <c r="G1713" s="19" t="str">
        <f aca="true">IF(F1713="", "", DATEDIF(F1713, TODAY(), "Y"))</f>
        <v/>
      </c>
      <c r="H1713" s="18"/>
      <c r="I1713" s="18"/>
      <c r="J1713" s="24" t="str">
        <f aca="true">IF(ISBLANK(H1713), "", I1713-TODAY())</f>
        <v/>
      </c>
      <c r="K1713" s="24" t="str">
        <f aca="false" t="array" ref="K1713:K1713">IF(A1713&lt;&gt;"",IF(COUNTIF(A$996:A1714,"&lt;&gt;")=0,COUNTA(B$996:B1713),IFERROR(MATCH(TRUE(),INDEX((A$996:A1714&lt;&gt;""),0),0),COUNTA(B$996:B1713))),"")</f>
        <v/>
      </c>
      <c r="L1713" s="27"/>
    </row>
    <row r="1714" customFormat="false" ht="13.8" hidden="false" customHeight="false" outlineLevel="0" collapsed="false">
      <c r="A1714" s="16"/>
      <c r="B1714" s="16"/>
      <c r="C1714" s="26"/>
      <c r="D1714" s="26"/>
      <c r="E1714" s="16"/>
      <c r="F1714" s="18"/>
      <c r="G1714" s="19" t="str">
        <f aca="true">IF(F1714="", "", DATEDIF(F1714, TODAY(), "Y"))</f>
        <v/>
      </c>
      <c r="H1714" s="18"/>
      <c r="I1714" s="18"/>
      <c r="J1714" s="24" t="str">
        <f aca="true">IF(ISBLANK(H1714), "", I1714-TODAY())</f>
        <v/>
      </c>
      <c r="K1714" s="24" t="str">
        <f aca="false" t="array" ref="K1714:K1714">IF(A1714&lt;&gt;"",IF(COUNTIF(A$996:A1715,"&lt;&gt;")=0,COUNTA(B$996:B1714),IFERROR(MATCH(TRUE(),INDEX((A$996:A1715&lt;&gt;""),0),0),COUNTA(B$996:B1714))),"")</f>
        <v/>
      </c>
      <c r="L1714" s="27"/>
    </row>
    <row r="1715" customFormat="false" ht="13.8" hidden="false" customHeight="false" outlineLevel="0" collapsed="false">
      <c r="A1715" s="16"/>
      <c r="B1715" s="16"/>
      <c r="C1715" s="26"/>
      <c r="D1715" s="26"/>
      <c r="E1715" s="16"/>
      <c r="F1715" s="18"/>
      <c r="G1715" s="19" t="str">
        <f aca="true">IF(F1715="", "", DATEDIF(F1715, TODAY(), "Y"))</f>
        <v/>
      </c>
      <c r="H1715" s="18"/>
      <c r="I1715" s="18"/>
      <c r="J1715" s="24" t="str">
        <f aca="true">IF(ISBLANK(H1715), "", I1715-TODAY())</f>
        <v/>
      </c>
      <c r="K1715" s="24" t="str">
        <f aca="false" t="array" ref="K1715:K1715">IF(A1715&lt;&gt;"",IF(COUNTIF(A$996:A1716,"&lt;&gt;")=0,COUNTA(B$996:B1715),IFERROR(MATCH(TRUE(),INDEX((A$996:A1716&lt;&gt;""),0),0),COUNTA(B$996:B1715))),"")</f>
        <v/>
      </c>
      <c r="L1715" s="27"/>
    </row>
    <row r="1716" customFormat="false" ht="13.8" hidden="false" customHeight="false" outlineLevel="0" collapsed="false">
      <c r="A1716" s="16"/>
      <c r="B1716" s="16"/>
      <c r="C1716" s="26"/>
      <c r="D1716" s="26"/>
      <c r="E1716" s="16"/>
      <c r="F1716" s="18"/>
      <c r="G1716" s="19" t="str">
        <f aca="true">IF(F1716="", "", DATEDIF(F1716, TODAY(), "Y"))</f>
        <v/>
      </c>
      <c r="H1716" s="18"/>
      <c r="I1716" s="18"/>
      <c r="J1716" s="24" t="str">
        <f aca="true">IF(ISBLANK(H1716), "", I1716-TODAY())</f>
        <v/>
      </c>
      <c r="K1716" s="24" t="str">
        <f aca="false" t="array" ref="K1716:K1716">IF(A1716&lt;&gt;"",IF(COUNTIF(A$996:A1717,"&lt;&gt;")=0,COUNTA(B$996:B1716),IFERROR(MATCH(TRUE(),INDEX((A$996:A1717&lt;&gt;""),0),0),COUNTA(B$996:B1716))),"")</f>
        <v/>
      </c>
      <c r="L1716" s="27"/>
    </row>
    <row r="1717" customFormat="false" ht="13.8" hidden="false" customHeight="false" outlineLevel="0" collapsed="false">
      <c r="A1717" s="16"/>
      <c r="B1717" s="16"/>
      <c r="C1717" s="26"/>
      <c r="D1717" s="26"/>
      <c r="E1717" s="16"/>
      <c r="F1717" s="18"/>
      <c r="G1717" s="19" t="str">
        <f aca="true">IF(F1717="", "", DATEDIF(F1717, TODAY(), "Y"))</f>
        <v/>
      </c>
      <c r="H1717" s="18"/>
      <c r="I1717" s="18"/>
      <c r="J1717" s="24" t="str">
        <f aca="true">IF(ISBLANK(H1717), "", I1717-TODAY())</f>
        <v/>
      </c>
      <c r="K1717" s="24" t="str">
        <f aca="false" t="array" ref="K1717:K1717">IF(A1717&lt;&gt;"",IF(COUNTIF(A$996:A1718,"&lt;&gt;")=0,COUNTA(B$996:B1717),IFERROR(MATCH(TRUE(),INDEX((A$996:A1718&lt;&gt;""),0),0),COUNTA(B$996:B1717))),"")</f>
        <v/>
      </c>
      <c r="L1717" s="27"/>
    </row>
    <row r="1718" customFormat="false" ht="13.8" hidden="false" customHeight="false" outlineLevel="0" collapsed="false">
      <c r="A1718" s="16"/>
      <c r="B1718" s="16"/>
      <c r="C1718" s="26"/>
      <c r="D1718" s="26"/>
      <c r="E1718" s="16"/>
      <c r="F1718" s="18"/>
      <c r="G1718" s="19" t="str">
        <f aca="true">IF(F1718="", "", DATEDIF(F1718, TODAY(), "Y"))</f>
        <v/>
      </c>
      <c r="H1718" s="18"/>
      <c r="I1718" s="18"/>
      <c r="J1718" s="24" t="str">
        <f aca="true">IF(ISBLANK(H1718), "", I1718-TODAY())</f>
        <v/>
      </c>
      <c r="K1718" s="24" t="str">
        <f aca="false" t="array" ref="K1718:K1718">IF(A1718&lt;&gt;"",IF(COUNTIF(A$996:A1719,"&lt;&gt;")=0,COUNTA(B$996:B1718),IFERROR(MATCH(TRUE(),INDEX((A$996:A1719&lt;&gt;""),0),0),COUNTA(B$996:B1718))),"")</f>
        <v/>
      </c>
      <c r="L1718" s="27"/>
    </row>
    <row r="1719" customFormat="false" ht="13.8" hidden="false" customHeight="false" outlineLevel="0" collapsed="false">
      <c r="A1719" s="16"/>
      <c r="B1719" s="16"/>
      <c r="C1719" s="26"/>
      <c r="D1719" s="26"/>
      <c r="E1719" s="16"/>
      <c r="F1719" s="18"/>
      <c r="G1719" s="19" t="str">
        <f aca="true">IF(F1719="", "", DATEDIF(F1719, TODAY(), "Y"))</f>
        <v/>
      </c>
      <c r="H1719" s="18"/>
      <c r="I1719" s="18"/>
      <c r="J1719" s="24" t="str">
        <f aca="true">IF(ISBLANK(H1719), "", I1719-TODAY())</f>
        <v/>
      </c>
      <c r="K1719" s="24" t="str">
        <f aca="false" t="array" ref="K1719:K1719">IF(A1719&lt;&gt;"",IF(COUNTIF(A$996:A1720,"&lt;&gt;")=0,COUNTA(B$996:B1719),IFERROR(MATCH(TRUE(),INDEX((A$996:A1720&lt;&gt;""),0),0),COUNTA(B$996:B1719))),"")</f>
        <v/>
      </c>
      <c r="L1719" s="27"/>
    </row>
    <row r="1720" customFormat="false" ht="13.8" hidden="false" customHeight="false" outlineLevel="0" collapsed="false">
      <c r="A1720" s="16"/>
      <c r="B1720" s="16"/>
      <c r="C1720" s="26"/>
      <c r="D1720" s="26"/>
      <c r="E1720" s="16"/>
      <c r="F1720" s="18"/>
      <c r="G1720" s="19" t="str">
        <f aca="true">IF(F1720="", "", DATEDIF(F1720, TODAY(), "Y"))</f>
        <v/>
      </c>
      <c r="H1720" s="18"/>
      <c r="I1720" s="18"/>
      <c r="J1720" s="24" t="str">
        <f aca="true">IF(ISBLANK(H1720), "", I1720-TODAY())</f>
        <v/>
      </c>
      <c r="K1720" s="24" t="str">
        <f aca="false" t="array" ref="K1720:K1720">IF(A1720&lt;&gt;"",IF(COUNTIF(A$996:A1721,"&lt;&gt;")=0,COUNTA(B$996:B1720),IFERROR(MATCH(TRUE(),INDEX((A$996:A1721&lt;&gt;""),0),0),COUNTA(B$996:B1720))),"")</f>
        <v/>
      </c>
      <c r="L1720" s="27"/>
    </row>
    <row r="1721" customFormat="false" ht="13.8" hidden="false" customHeight="false" outlineLevel="0" collapsed="false">
      <c r="A1721" s="16"/>
      <c r="B1721" s="16"/>
      <c r="C1721" s="26"/>
      <c r="D1721" s="26"/>
      <c r="E1721" s="16"/>
      <c r="F1721" s="18"/>
      <c r="G1721" s="19" t="str">
        <f aca="true">IF(F1721="", "", DATEDIF(F1721, TODAY(), "Y"))</f>
        <v/>
      </c>
      <c r="H1721" s="18"/>
      <c r="I1721" s="18"/>
      <c r="J1721" s="24" t="str">
        <f aca="true">IF(ISBLANK(H1721), "", I1721-TODAY())</f>
        <v/>
      </c>
      <c r="K1721" s="24" t="str">
        <f aca="false" t="array" ref="K1721:K1721">IF(A1721&lt;&gt;"",IF(COUNTIF(A$996:A1722,"&lt;&gt;")=0,COUNTA(B$996:B1721),IFERROR(MATCH(TRUE(),INDEX((A$996:A1722&lt;&gt;""),0),0),COUNTA(B$996:B1721))),"")</f>
        <v/>
      </c>
      <c r="L1721" s="27"/>
    </row>
    <row r="1722" customFormat="false" ht="13.8" hidden="false" customHeight="false" outlineLevel="0" collapsed="false">
      <c r="A1722" s="16"/>
      <c r="B1722" s="16"/>
      <c r="C1722" s="26"/>
      <c r="D1722" s="26"/>
      <c r="E1722" s="16"/>
      <c r="F1722" s="18"/>
      <c r="G1722" s="19" t="str">
        <f aca="true">IF(F1722="", "", DATEDIF(F1722, TODAY(), "Y"))</f>
        <v/>
      </c>
      <c r="H1722" s="18"/>
      <c r="I1722" s="18"/>
      <c r="J1722" s="24" t="str">
        <f aca="true">IF(ISBLANK(H1722), "", I1722-TODAY())</f>
        <v/>
      </c>
      <c r="K1722" s="24" t="str">
        <f aca="false" t="array" ref="K1722:K1722">IF(A1722&lt;&gt;"",IF(COUNTIF(A$996:A1723,"&lt;&gt;")=0,COUNTA(B$996:B1722),IFERROR(MATCH(TRUE(),INDEX((A$996:A1723&lt;&gt;""),0),0),COUNTA(B$996:B1722))),"")</f>
        <v/>
      </c>
      <c r="L1722" s="27"/>
    </row>
    <row r="1723" customFormat="false" ht="13.8" hidden="false" customHeight="false" outlineLevel="0" collapsed="false">
      <c r="A1723" s="16"/>
      <c r="B1723" s="16"/>
      <c r="C1723" s="26"/>
      <c r="D1723" s="26"/>
      <c r="E1723" s="16"/>
      <c r="F1723" s="18"/>
      <c r="G1723" s="19" t="str">
        <f aca="true">IF(F1723="", "", DATEDIF(F1723, TODAY(), "Y"))</f>
        <v/>
      </c>
      <c r="H1723" s="18"/>
      <c r="I1723" s="18"/>
      <c r="J1723" s="24" t="str">
        <f aca="true">IF(ISBLANK(H1723), "", I1723-TODAY())</f>
        <v/>
      </c>
      <c r="K1723" s="24" t="str">
        <f aca="false" t="array" ref="K1723:K1723">IF(A1723&lt;&gt;"",IF(COUNTIF(A$996:A1724,"&lt;&gt;")=0,COUNTA(B$996:B1723),IFERROR(MATCH(TRUE(),INDEX((A$996:A1724&lt;&gt;""),0),0),COUNTA(B$996:B1723))),"")</f>
        <v/>
      </c>
      <c r="L1723" s="27"/>
    </row>
    <row r="1724" customFormat="false" ht="13.8" hidden="false" customHeight="false" outlineLevel="0" collapsed="false">
      <c r="A1724" s="16"/>
      <c r="B1724" s="16"/>
      <c r="C1724" s="26"/>
      <c r="D1724" s="26"/>
      <c r="E1724" s="16"/>
      <c r="F1724" s="18"/>
      <c r="G1724" s="19" t="str">
        <f aca="true">IF(F1724="", "", DATEDIF(F1724, TODAY(), "Y"))</f>
        <v/>
      </c>
      <c r="H1724" s="18"/>
      <c r="I1724" s="18"/>
      <c r="J1724" s="24" t="str">
        <f aca="true">IF(ISBLANK(H1724), "", I1724-TODAY())</f>
        <v/>
      </c>
      <c r="K1724" s="24" t="str">
        <f aca="false" t="array" ref="K1724:K1724">IF(A1724&lt;&gt;"",IF(COUNTIF(A$996:A1725,"&lt;&gt;")=0,COUNTA(B$996:B1724),IFERROR(MATCH(TRUE(),INDEX((A$996:A1725&lt;&gt;""),0),0),COUNTA(B$996:B1724))),"")</f>
        <v/>
      </c>
      <c r="L1724" s="27"/>
    </row>
    <row r="1725" customFormat="false" ht="13.8" hidden="false" customHeight="false" outlineLevel="0" collapsed="false">
      <c r="A1725" s="16"/>
      <c r="B1725" s="16"/>
      <c r="C1725" s="26"/>
      <c r="D1725" s="26"/>
      <c r="E1725" s="16"/>
      <c r="F1725" s="18"/>
      <c r="G1725" s="19" t="str">
        <f aca="true">IF(F1725="", "", DATEDIF(F1725, TODAY(), "Y"))</f>
        <v/>
      </c>
      <c r="H1725" s="18"/>
      <c r="I1725" s="18"/>
      <c r="J1725" s="24" t="str">
        <f aca="true">IF(ISBLANK(H1725), "", I1725-TODAY())</f>
        <v/>
      </c>
      <c r="K1725" s="24" t="str">
        <f aca="false" t="array" ref="K1725:K1725">IF(A1725&lt;&gt;"",IF(COUNTIF(A$996:A1726,"&lt;&gt;")=0,COUNTA(B$996:B1725),IFERROR(MATCH(TRUE(),INDEX((A$996:A1726&lt;&gt;""),0),0),COUNTA(B$996:B1725))),"")</f>
        <v/>
      </c>
      <c r="L1725" s="27"/>
    </row>
    <row r="1726" customFormat="false" ht="13.8" hidden="false" customHeight="false" outlineLevel="0" collapsed="false">
      <c r="A1726" s="16"/>
      <c r="B1726" s="16"/>
      <c r="C1726" s="26"/>
      <c r="D1726" s="26"/>
      <c r="E1726" s="16"/>
      <c r="F1726" s="18"/>
      <c r="G1726" s="19" t="str">
        <f aca="true">IF(F1726="", "", DATEDIF(F1726, TODAY(), "Y"))</f>
        <v/>
      </c>
      <c r="H1726" s="18"/>
      <c r="I1726" s="18"/>
      <c r="J1726" s="24" t="str">
        <f aca="true">IF(ISBLANK(H1726), "", I1726-TODAY())</f>
        <v/>
      </c>
      <c r="K1726" s="24" t="str">
        <f aca="false" t="array" ref="K1726:K1726">IF(A1726&lt;&gt;"",IF(COUNTIF(A$996:A1727,"&lt;&gt;")=0,COUNTA(B$996:B1726),IFERROR(MATCH(TRUE(),INDEX((A$996:A1727&lt;&gt;""),0),0),COUNTA(B$996:B1726))),"")</f>
        <v/>
      </c>
      <c r="L1726" s="27"/>
    </row>
    <row r="1727" customFormat="false" ht="13.8" hidden="false" customHeight="false" outlineLevel="0" collapsed="false">
      <c r="A1727" s="16"/>
      <c r="B1727" s="16"/>
      <c r="C1727" s="26"/>
      <c r="D1727" s="26"/>
      <c r="E1727" s="16"/>
      <c r="F1727" s="18"/>
      <c r="G1727" s="19" t="str">
        <f aca="true">IF(F1727="", "", DATEDIF(F1727, TODAY(), "Y"))</f>
        <v/>
      </c>
      <c r="H1727" s="18"/>
      <c r="I1727" s="18"/>
      <c r="J1727" s="24" t="str">
        <f aca="true">IF(ISBLANK(H1727), "", I1727-TODAY())</f>
        <v/>
      </c>
      <c r="K1727" s="24" t="str">
        <f aca="false" t="array" ref="K1727:K1727">IF(A1727&lt;&gt;"",IF(COUNTIF(A$996:A1728,"&lt;&gt;")=0,COUNTA(B$996:B1727),IFERROR(MATCH(TRUE(),INDEX((A$996:A1728&lt;&gt;""),0),0),COUNTA(B$996:B1727))),"")</f>
        <v/>
      </c>
      <c r="L1727" s="27"/>
    </row>
    <row r="1728" customFormat="false" ht="13.8" hidden="false" customHeight="false" outlineLevel="0" collapsed="false">
      <c r="A1728" s="16"/>
      <c r="B1728" s="16"/>
      <c r="C1728" s="26"/>
      <c r="D1728" s="26"/>
      <c r="E1728" s="16"/>
      <c r="F1728" s="18"/>
      <c r="G1728" s="19" t="str">
        <f aca="true">IF(F1728="", "", DATEDIF(F1728, TODAY(), "Y"))</f>
        <v/>
      </c>
      <c r="H1728" s="18"/>
      <c r="I1728" s="18"/>
      <c r="J1728" s="24" t="str">
        <f aca="true">IF(ISBLANK(H1728), "", I1728-TODAY())</f>
        <v/>
      </c>
      <c r="K1728" s="24" t="str">
        <f aca="false" t="array" ref="K1728:K1728">IF(A1728&lt;&gt;"",IF(COUNTIF(A$996:A1729,"&lt;&gt;")=0,COUNTA(B$996:B1728),IFERROR(MATCH(TRUE(),INDEX((A$996:A1729&lt;&gt;""),0),0),COUNTA(B$996:B1728))),"")</f>
        <v/>
      </c>
      <c r="L1728" s="27"/>
    </row>
    <row r="1729" customFormat="false" ht="13.8" hidden="false" customHeight="false" outlineLevel="0" collapsed="false">
      <c r="A1729" s="16"/>
      <c r="B1729" s="16"/>
      <c r="C1729" s="26"/>
      <c r="D1729" s="26"/>
      <c r="E1729" s="16"/>
      <c r="F1729" s="18"/>
      <c r="G1729" s="19" t="str">
        <f aca="true">IF(F1729="", "", DATEDIF(F1729, TODAY(), "Y"))</f>
        <v/>
      </c>
      <c r="H1729" s="18"/>
      <c r="I1729" s="18"/>
      <c r="J1729" s="24" t="str">
        <f aca="true">IF(ISBLANK(H1729), "", I1729-TODAY())</f>
        <v/>
      </c>
      <c r="K1729" s="24" t="str">
        <f aca="false" t="array" ref="K1729:K1729">IF(A1729&lt;&gt;"",IF(COUNTIF(A$996:A1730,"&lt;&gt;")=0,COUNTA(B$996:B1729),IFERROR(MATCH(TRUE(),INDEX((A$996:A1730&lt;&gt;""),0),0),COUNTA(B$996:B1729))),"")</f>
        <v/>
      </c>
      <c r="L1729" s="27"/>
    </row>
    <row r="1730" customFormat="false" ht="13.8" hidden="false" customHeight="false" outlineLevel="0" collapsed="false">
      <c r="A1730" s="16"/>
      <c r="B1730" s="16"/>
      <c r="C1730" s="26"/>
      <c r="D1730" s="26"/>
      <c r="E1730" s="16"/>
      <c r="F1730" s="18"/>
      <c r="G1730" s="19" t="str">
        <f aca="true">IF(F1730="", "", DATEDIF(F1730, TODAY(), "Y"))</f>
        <v/>
      </c>
      <c r="H1730" s="18"/>
      <c r="I1730" s="18"/>
      <c r="J1730" s="24" t="str">
        <f aca="true">IF(ISBLANK(H1730), "", I1730-TODAY())</f>
        <v/>
      </c>
      <c r="K1730" s="24" t="str">
        <f aca="false" t="array" ref="K1730:K1730">IF(A1730&lt;&gt;"",IF(COUNTIF(A$996:A1731,"&lt;&gt;")=0,COUNTA(B$996:B1730),IFERROR(MATCH(TRUE(),INDEX((A$996:A1731&lt;&gt;""),0),0),COUNTA(B$996:B1730))),"")</f>
        <v/>
      </c>
      <c r="L1730" s="27"/>
    </row>
    <row r="1731" customFormat="false" ht="13.8" hidden="false" customHeight="false" outlineLevel="0" collapsed="false">
      <c r="A1731" s="16"/>
      <c r="B1731" s="16"/>
      <c r="C1731" s="26"/>
      <c r="D1731" s="26"/>
      <c r="E1731" s="16"/>
      <c r="F1731" s="18"/>
      <c r="G1731" s="19" t="str">
        <f aca="true">IF(F1731="", "", DATEDIF(F1731, TODAY(), "Y"))</f>
        <v/>
      </c>
      <c r="H1731" s="18"/>
      <c r="I1731" s="18"/>
      <c r="J1731" s="24" t="str">
        <f aca="true">IF(ISBLANK(H1731), "", I1731-TODAY())</f>
        <v/>
      </c>
      <c r="K1731" s="24" t="str">
        <f aca="false" t="array" ref="K1731:K1731">IF(A1731&lt;&gt;"",IF(COUNTIF(A$996:A1732,"&lt;&gt;")=0,COUNTA(B$996:B1731),IFERROR(MATCH(TRUE(),INDEX((A$996:A1732&lt;&gt;""),0),0),COUNTA(B$996:B1731))),"")</f>
        <v/>
      </c>
      <c r="L1731" s="27"/>
    </row>
    <row r="1732" customFormat="false" ht="13.8" hidden="false" customHeight="false" outlineLevel="0" collapsed="false">
      <c r="A1732" s="16"/>
      <c r="B1732" s="16"/>
      <c r="C1732" s="26"/>
      <c r="D1732" s="26"/>
      <c r="E1732" s="16"/>
      <c r="F1732" s="18"/>
      <c r="G1732" s="19" t="str">
        <f aca="true">IF(F1732="", "", DATEDIF(F1732, TODAY(), "Y"))</f>
        <v/>
      </c>
      <c r="H1732" s="18"/>
      <c r="I1732" s="18"/>
      <c r="J1732" s="24" t="str">
        <f aca="true">IF(ISBLANK(H1732), "", I1732-TODAY())</f>
        <v/>
      </c>
      <c r="K1732" s="24" t="str">
        <f aca="false" t="array" ref="K1732:K1732">IF(A1732&lt;&gt;"",IF(COUNTIF(A$996:A1733,"&lt;&gt;")=0,COUNTA(B$996:B1732),IFERROR(MATCH(TRUE(),INDEX((A$996:A1733&lt;&gt;""),0),0),COUNTA(B$996:B1732))),"")</f>
        <v/>
      </c>
      <c r="L1732" s="27"/>
    </row>
    <row r="1733" customFormat="false" ht="13.8" hidden="false" customHeight="false" outlineLevel="0" collapsed="false">
      <c r="A1733" s="16"/>
      <c r="B1733" s="16"/>
      <c r="C1733" s="26"/>
      <c r="D1733" s="26"/>
      <c r="E1733" s="16"/>
      <c r="F1733" s="18"/>
      <c r="G1733" s="19" t="str">
        <f aca="true">IF(F1733="", "", DATEDIF(F1733, TODAY(), "Y"))</f>
        <v/>
      </c>
      <c r="H1733" s="18"/>
      <c r="I1733" s="18"/>
      <c r="J1733" s="24" t="str">
        <f aca="true">IF(ISBLANK(H1733), "", I1733-TODAY())</f>
        <v/>
      </c>
      <c r="K1733" s="24" t="str">
        <f aca="false" t="array" ref="K1733:K1733">IF(A1733&lt;&gt;"",IF(COUNTIF(A$996:A1734,"&lt;&gt;")=0,COUNTA(B$996:B1733),IFERROR(MATCH(TRUE(),INDEX((A$996:A1734&lt;&gt;""),0),0),COUNTA(B$996:B1733))),"")</f>
        <v/>
      </c>
      <c r="L1733" s="27"/>
    </row>
    <row r="1734" customFormat="false" ht="13.8" hidden="false" customHeight="false" outlineLevel="0" collapsed="false">
      <c r="A1734" s="16"/>
      <c r="B1734" s="16"/>
      <c r="C1734" s="26"/>
      <c r="D1734" s="26"/>
      <c r="E1734" s="16"/>
      <c r="F1734" s="18"/>
      <c r="G1734" s="19" t="str">
        <f aca="true">IF(F1734="", "", DATEDIF(F1734, TODAY(), "Y"))</f>
        <v/>
      </c>
      <c r="H1734" s="18"/>
      <c r="I1734" s="18"/>
      <c r="J1734" s="24" t="str">
        <f aca="true">IF(ISBLANK(H1734), "", I1734-TODAY())</f>
        <v/>
      </c>
      <c r="K1734" s="24" t="str">
        <f aca="false" t="array" ref="K1734:K1734">IF(A1734&lt;&gt;"",IF(COUNTIF(A$996:A1735,"&lt;&gt;")=0,COUNTA(B$996:B1734),IFERROR(MATCH(TRUE(),INDEX((A$996:A1735&lt;&gt;""),0),0),COUNTA(B$996:B1734))),"")</f>
        <v/>
      </c>
      <c r="L1734" s="27"/>
    </row>
    <row r="1735" customFormat="false" ht="13.8" hidden="false" customHeight="false" outlineLevel="0" collapsed="false">
      <c r="A1735" s="16"/>
      <c r="B1735" s="16"/>
      <c r="C1735" s="26"/>
      <c r="D1735" s="26"/>
      <c r="E1735" s="16"/>
      <c r="F1735" s="18"/>
      <c r="G1735" s="19" t="str">
        <f aca="true">IF(F1735="", "", DATEDIF(F1735, TODAY(), "Y"))</f>
        <v/>
      </c>
      <c r="H1735" s="18"/>
      <c r="I1735" s="18"/>
      <c r="J1735" s="24" t="str">
        <f aca="true">IF(ISBLANK(H1735), "", I1735-TODAY())</f>
        <v/>
      </c>
      <c r="K1735" s="24" t="str">
        <f aca="false" t="array" ref="K1735:K1735">IF(A1735&lt;&gt;"",IF(COUNTIF(A$996:A1736,"&lt;&gt;")=0,COUNTA(B$996:B1735),IFERROR(MATCH(TRUE(),INDEX((A$996:A1736&lt;&gt;""),0),0),COUNTA(B$996:B1735))),"")</f>
        <v/>
      </c>
      <c r="L1735" s="27"/>
    </row>
    <row r="1736" customFormat="false" ht="13.8" hidden="false" customHeight="false" outlineLevel="0" collapsed="false">
      <c r="A1736" s="16"/>
      <c r="B1736" s="16"/>
      <c r="C1736" s="26"/>
      <c r="D1736" s="26"/>
      <c r="E1736" s="16"/>
      <c r="F1736" s="18"/>
      <c r="G1736" s="19" t="str">
        <f aca="true">IF(F1736="", "", DATEDIF(F1736, TODAY(), "Y"))</f>
        <v/>
      </c>
      <c r="H1736" s="18"/>
      <c r="I1736" s="18"/>
      <c r="J1736" s="24" t="str">
        <f aca="true">IF(ISBLANK(H1736), "", I1736-TODAY())</f>
        <v/>
      </c>
      <c r="K1736" s="24" t="str">
        <f aca="false" t="array" ref="K1736:K1736">IF(A1736&lt;&gt;"",IF(COUNTIF(A$996:A1737,"&lt;&gt;")=0,COUNTA(B$996:B1736),IFERROR(MATCH(TRUE(),INDEX((A$996:A1737&lt;&gt;""),0),0),COUNTA(B$996:B1736))),"")</f>
        <v/>
      </c>
      <c r="L1736" s="27"/>
    </row>
    <row r="1737" customFormat="false" ht="13.8" hidden="false" customHeight="false" outlineLevel="0" collapsed="false">
      <c r="A1737" s="16"/>
      <c r="B1737" s="16"/>
      <c r="C1737" s="26"/>
      <c r="D1737" s="26"/>
      <c r="E1737" s="16"/>
      <c r="F1737" s="18"/>
      <c r="G1737" s="19" t="str">
        <f aca="true">IF(F1737="", "", DATEDIF(F1737, TODAY(), "Y"))</f>
        <v/>
      </c>
      <c r="H1737" s="18"/>
      <c r="I1737" s="18"/>
      <c r="J1737" s="24" t="str">
        <f aca="true">IF(ISBLANK(H1737), "", I1737-TODAY())</f>
        <v/>
      </c>
      <c r="K1737" s="24" t="str">
        <f aca="false" t="array" ref="K1737:K1737">IF(A1737&lt;&gt;"",IF(COUNTIF(A$996:A1738,"&lt;&gt;")=0,COUNTA(B$996:B1737),IFERROR(MATCH(TRUE(),INDEX((A$996:A1738&lt;&gt;""),0),0),COUNTA(B$996:B1737))),"")</f>
        <v/>
      </c>
      <c r="L1737" s="27"/>
    </row>
    <row r="1738" customFormat="false" ht="13.8" hidden="false" customHeight="false" outlineLevel="0" collapsed="false">
      <c r="A1738" s="16"/>
      <c r="B1738" s="16"/>
      <c r="C1738" s="26"/>
      <c r="D1738" s="26"/>
      <c r="E1738" s="16"/>
      <c r="F1738" s="18"/>
      <c r="G1738" s="19" t="str">
        <f aca="true">IF(F1738="", "", DATEDIF(F1738, TODAY(), "Y"))</f>
        <v/>
      </c>
      <c r="H1738" s="18"/>
      <c r="I1738" s="18"/>
      <c r="J1738" s="24" t="str">
        <f aca="true">IF(ISBLANK(H1738), "", I1738-TODAY())</f>
        <v/>
      </c>
      <c r="K1738" s="24" t="str">
        <f aca="false" t="array" ref="K1738:K1738">IF(A1738&lt;&gt;"",IF(COUNTIF(A$996:A1739,"&lt;&gt;")=0,COUNTA(B$996:B1738),IFERROR(MATCH(TRUE(),INDEX((A$996:A1739&lt;&gt;""),0),0),COUNTA(B$996:B1738))),"")</f>
        <v/>
      </c>
      <c r="L1738" s="27"/>
    </row>
    <row r="1739" customFormat="false" ht="13.8" hidden="false" customHeight="false" outlineLevel="0" collapsed="false">
      <c r="A1739" s="16"/>
      <c r="B1739" s="16"/>
      <c r="C1739" s="26"/>
      <c r="D1739" s="26"/>
      <c r="E1739" s="16"/>
      <c r="F1739" s="18"/>
      <c r="G1739" s="19" t="str">
        <f aca="true">IF(F1739="", "", DATEDIF(F1739, TODAY(), "Y"))</f>
        <v/>
      </c>
      <c r="H1739" s="18"/>
      <c r="I1739" s="18"/>
      <c r="J1739" s="24" t="str">
        <f aca="true">IF(ISBLANK(H1739), "", I1739-TODAY())</f>
        <v/>
      </c>
      <c r="K1739" s="24" t="str">
        <f aca="false" t="array" ref="K1739:K1739">IF(A1739&lt;&gt;"",IF(COUNTIF(A$996:A1740,"&lt;&gt;")=0,COUNTA(B$996:B1739),IFERROR(MATCH(TRUE(),INDEX((A$996:A1740&lt;&gt;""),0),0),COUNTA(B$996:B1739))),"")</f>
        <v/>
      </c>
      <c r="L1739" s="27"/>
    </row>
    <row r="1740" customFormat="false" ht="13.8" hidden="false" customHeight="false" outlineLevel="0" collapsed="false">
      <c r="A1740" s="16"/>
      <c r="B1740" s="16"/>
      <c r="C1740" s="26"/>
      <c r="D1740" s="26"/>
      <c r="E1740" s="16"/>
      <c r="F1740" s="18"/>
      <c r="G1740" s="19" t="str">
        <f aca="true">IF(F1740="", "", DATEDIF(F1740, TODAY(), "Y"))</f>
        <v/>
      </c>
      <c r="H1740" s="18"/>
      <c r="I1740" s="18"/>
      <c r="J1740" s="24" t="str">
        <f aca="true">IF(ISBLANK(H1740), "", I1740-TODAY())</f>
        <v/>
      </c>
      <c r="K1740" s="24" t="str">
        <f aca="false" t="array" ref="K1740:K1740">IF(A1740&lt;&gt;"",IF(COUNTIF(A$996:A1741,"&lt;&gt;")=0,COUNTA(B$996:B1740),IFERROR(MATCH(TRUE(),INDEX((A$996:A1741&lt;&gt;""),0),0),COUNTA(B$996:B1740))),"")</f>
        <v/>
      </c>
      <c r="L1740" s="27"/>
    </row>
    <row r="1741" customFormat="false" ht="13.8" hidden="false" customHeight="false" outlineLevel="0" collapsed="false">
      <c r="A1741" s="16"/>
      <c r="B1741" s="16"/>
      <c r="C1741" s="26"/>
      <c r="D1741" s="26"/>
      <c r="E1741" s="16"/>
      <c r="F1741" s="18"/>
      <c r="G1741" s="19" t="str">
        <f aca="true">IF(F1741="", "", DATEDIF(F1741, TODAY(), "Y"))</f>
        <v/>
      </c>
      <c r="H1741" s="18"/>
      <c r="I1741" s="18"/>
      <c r="J1741" s="24" t="str">
        <f aca="true">IF(ISBLANK(H1741), "", I1741-TODAY())</f>
        <v/>
      </c>
      <c r="K1741" s="24" t="str">
        <f aca="false" t="array" ref="K1741:K1741">IF(A1741&lt;&gt;"",IF(COUNTIF(A$996:A1742,"&lt;&gt;")=0,COUNTA(B$996:B1741),IFERROR(MATCH(TRUE(),INDEX((A$996:A1742&lt;&gt;""),0),0),COUNTA(B$996:B1741))),"")</f>
        <v/>
      </c>
      <c r="L1741" s="27"/>
    </row>
    <row r="1742" customFormat="false" ht="13.8" hidden="false" customHeight="false" outlineLevel="0" collapsed="false">
      <c r="A1742" s="16"/>
      <c r="B1742" s="16"/>
      <c r="C1742" s="26"/>
      <c r="D1742" s="26"/>
      <c r="E1742" s="16"/>
      <c r="F1742" s="18"/>
      <c r="G1742" s="19" t="str">
        <f aca="true">IF(F1742="", "", DATEDIF(F1742, TODAY(), "Y"))</f>
        <v/>
      </c>
      <c r="H1742" s="18"/>
      <c r="I1742" s="18"/>
      <c r="J1742" s="24" t="str">
        <f aca="true">IF(ISBLANK(H1742), "", I1742-TODAY())</f>
        <v/>
      </c>
      <c r="K1742" s="24" t="str">
        <f aca="false" t="array" ref="K1742:K1742">IF(A1742&lt;&gt;"",IF(COUNTIF(A$996:A1743,"&lt;&gt;")=0,COUNTA(B$996:B1742),IFERROR(MATCH(TRUE(),INDEX((A$996:A1743&lt;&gt;""),0),0),COUNTA(B$996:B1742))),"")</f>
        <v/>
      </c>
      <c r="L1742" s="27"/>
    </row>
    <row r="1743" customFormat="false" ht="13.8" hidden="false" customHeight="false" outlineLevel="0" collapsed="false">
      <c r="A1743" s="16"/>
      <c r="B1743" s="16"/>
      <c r="C1743" s="26"/>
      <c r="D1743" s="26"/>
      <c r="E1743" s="16"/>
      <c r="F1743" s="18"/>
      <c r="G1743" s="19" t="str">
        <f aca="true">IF(F1743="", "", DATEDIF(F1743, TODAY(), "Y"))</f>
        <v/>
      </c>
      <c r="H1743" s="18"/>
      <c r="I1743" s="18"/>
      <c r="J1743" s="24" t="str">
        <f aca="true">IF(ISBLANK(H1743), "", I1743-TODAY())</f>
        <v/>
      </c>
      <c r="K1743" s="24" t="str">
        <f aca="false" t="array" ref="K1743:K1743">IF(A1743&lt;&gt;"",IF(COUNTIF(A$996:A1744,"&lt;&gt;")=0,COUNTA(B$996:B1743),IFERROR(MATCH(TRUE(),INDEX((A$996:A1744&lt;&gt;""),0),0),COUNTA(B$996:B1743))),"")</f>
        <v/>
      </c>
      <c r="L1743" s="27"/>
    </row>
    <row r="1744" customFormat="false" ht="13.8" hidden="false" customHeight="false" outlineLevel="0" collapsed="false">
      <c r="A1744" s="16"/>
      <c r="B1744" s="16"/>
      <c r="C1744" s="26"/>
      <c r="D1744" s="26"/>
      <c r="E1744" s="16"/>
      <c r="F1744" s="18"/>
      <c r="G1744" s="19" t="str">
        <f aca="true">IF(F1744="", "", DATEDIF(F1744, TODAY(), "Y"))</f>
        <v/>
      </c>
      <c r="H1744" s="18"/>
      <c r="I1744" s="18"/>
      <c r="J1744" s="24" t="str">
        <f aca="true">IF(ISBLANK(H1744), "", I1744-TODAY())</f>
        <v/>
      </c>
      <c r="K1744" s="24" t="str">
        <f aca="false" t="array" ref="K1744:K1744">IF(A1744&lt;&gt;"",IF(COUNTIF(A$996:A1745,"&lt;&gt;")=0,COUNTA(B$996:B1744),IFERROR(MATCH(TRUE(),INDEX((A$996:A1745&lt;&gt;""),0),0),COUNTA(B$996:B1744))),"")</f>
        <v/>
      </c>
      <c r="L1744" s="27"/>
    </row>
    <row r="1745" customFormat="false" ht="13.8" hidden="false" customHeight="false" outlineLevel="0" collapsed="false">
      <c r="A1745" s="16"/>
      <c r="B1745" s="16"/>
      <c r="C1745" s="26"/>
      <c r="D1745" s="26"/>
      <c r="E1745" s="16"/>
      <c r="F1745" s="18"/>
      <c r="G1745" s="19" t="str">
        <f aca="true">IF(F1745="", "", DATEDIF(F1745, TODAY(), "Y"))</f>
        <v/>
      </c>
      <c r="H1745" s="18"/>
      <c r="I1745" s="18"/>
      <c r="J1745" s="24" t="str">
        <f aca="true">IF(ISBLANK(H1745), "", I1745-TODAY())</f>
        <v/>
      </c>
      <c r="K1745" s="24" t="str">
        <f aca="false" t="array" ref="K1745:K1745">IF(A1745&lt;&gt;"",IF(COUNTIF(A$996:A1746,"&lt;&gt;")=0,COUNTA(B$996:B1745),IFERROR(MATCH(TRUE(),INDEX((A$996:A1746&lt;&gt;""),0),0),COUNTA(B$996:B1745))),"")</f>
        <v/>
      </c>
      <c r="L1745" s="27"/>
    </row>
    <row r="1746" customFormat="false" ht="13.8" hidden="false" customHeight="false" outlineLevel="0" collapsed="false">
      <c r="A1746" s="16"/>
      <c r="B1746" s="16"/>
      <c r="C1746" s="26"/>
      <c r="D1746" s="26"/>
      <c r="E1746" s="16"/>
      <c r="F1746" s="18"/>
      <c r="G1746" s="19" t="str">
        <f aca="true">IF(F1746="", "", DATEDIF(F1746, TODAY(), "Y"))</f>
        <v/>
      </c>
      <c r="H1746" s="18"/>
      <c r="I1746" s="18"/>
      <c r="J1746" s="24" t="str">
        <f aca="true">IF(ISBLANK(H1746), "", I1746-TODAY())</f>
        <v/>
      </c>
      <c r="K1746" s="24" t="str">
        <f aca="false" t="array" ref="K1746:K1746">IF(A1746&lt;&gt;"",IF(COUNTIF(A$996:A1747,"&lt;&gt;")=0,COUNTA(B$996:B1746),IFERROR(MATCH(TRUE(),INDEX((A$996:A1747&lt;&gt;""),0),0),COUNTA(B$996:B1746))),"")</f>
        <v/>
      </c>
      <c r="L1746" s="27"/>
    </row>
    <row r="1747" customFormat="false" ht="13.8" hidden="false" customHeight="false" outlineLevel="0" collapsed="false">
      <c r="A1747" s="16"/>
      <c r="B1747" s="16"/>
      <c r="C1747" s="26"/>
      <c r="D1747" s="26"/>
      <c r="E1747" s="16"/>
      <c r="F1747" s="18"/>
      <c r="G1747" s="19" t="str">
        <f aca="true">IF(F1747="", "", DATEDIF(F1747, TODAY(), "Y"))</f>
        <v/>
      </c>
      <c r="H1747" s="18"/>
      <c r="I1747" s="18"/>
      <c r="J1747" s="24" t="str">
        <f aca="true">IF(ISBLANK(H1747), "", I1747-TODAY())</f>
        <v/>
      </c>
      <c r="K1747" s="24" t="str">
        <f aca="false" t="array" ref="K1747:K1747">IF(A1747&lt;&gt;"",IF(COUNTIF(A$996:A1748,"&lt;&gt;")=0,COUNTA(B$996:B1747),IFERROR(MATCH(TRUE(),INDEX((A$996:A1748&lt;&gt;""),0),0),COUNTA(B$996:B1747))),"")</f>
        <v/>
      </c>
      <c r="L1747" s="27"/>
    </row>
    <row r="1748" customFormat="false" ht="13.8" hidden="false" customHeight="false" outlineLevel="0" collapsed="false">
      <c r="A1748" s="16"/>
      <c r="B1748" s="16"/>
      <c r="C1748" s="26"/>
      <c r="D1748" s="26"/>
      <c r="E1748" s="16"/>
      <c r="F1748" s="18"/>
      <c r="G1748" s="19" t="str">
        <f aca="true">IF(F1748="", "", DATEDIF(F1748, TODAY(), "Y"))</f>
        <v/>
      </c>
      <c r="H1748" s="18"/>
      <c r="I1748" s="18"/>
      <c r="J1748" s="24" t="str">
        <f aca="true">IF(ISBLANK(H1748), "", I1748-TODAY())</f>
        <v/>
      </c>
      <c r="K1748" s="24" t="str">
        <f aca="false" t="array" ref="K1748:K1748">IF(A1748&lt;&gt;"",IF(COUNTIF(A$996:A1749,"&lt;&gt;")=0,COUNTA(B$996:B1748),IFERROR(MATCH(TRUE(),INDEX((A$996:A1749&lt;&gt;""),0),0),COUNTA(B$996:B1748))),"")</f>
        <v/>
      </c>
      <c r="L1748" s="27"/>
    </row>
    <row r="1749" customFormat="false" ht="13.8" hidden="false" customHeight="false" outlineLevel="0" collapsed="false">
      <c r="A1749" s="16"/>
      <c r="B1749" s="16"/>
      <c r="C1749" s="26"/>
      <c r="D1749" s="26"/>
      <c r="E1749" s="16"/>
      <c r="F1749" s="18"/>
      <c r="G1749" s="19" t="str">
        <f aca="true">IF(F1749="", "", DATEDIF(F1749, TODAY(), "Y"))</f>
        <v/>
      </c>
      <c r="H1749" s="18"/>
      <c r="I1749" s="18"/>
      <c r="J1749" s="24" t="str">
        <f aca="true">IF(ISBLANK(H1749), "", I1749-TODAY())</f>
        <v/>
      </c>
      <c r="K1749" s="24" t="str">
        <f aca="false" t="array" ref="K1749:K1749">IF(A1749&lt;&gt;"",IF(COUNTIF(A$996:A1750,"&lt;&gt;")=0,COUNTA(B$996:B1749),IFERROR(MATCH(TRUE(),INDEX((A$996:A1750&lt;&gt;""),0),0),COUNTA(B$996:B1749))),"")</f>
        <v/>
      </c>
      <c r="L1749" s="27"/>
    </row>
    <row r="1750" customFormat="false" ht="13.8" hidden="false" customHeight="false" outlineLevel="0" collapsed="false">
      <c r="A1750" s="16"/>
      <c r="B1750" s="16"/>
      <c r="C1750" s="26"/>
      <c r="D1750" s="26"/>
      <c r="E1750" s="16"/>
      <c r="F1750" s="18"/>
      <c r="G1750" s="19" t="str">
        <f aca="true">IF(F1750="", "", DATEDIF(F1750, TODAY(), "Y"))</f>
        <v/>
      </c>
      <c r="H1750" s="18"/>
      <c r="I1750" s="18"/>
      <c r="J1750" s="24" t="str">
        <f aca="true">IF(ISBLANK(H1750), "", I1750-TODAY())</f>
        <v/>
      </c>
      <c r="K1750" s="24" t="str">
        <f aca="false" t="array" ref="K1750:K1750">IF(A1750&lt;&gt;"",IF(COUNTIF(A$996:A1751,"&lt;&gt;")=0,COUNTA(B$996:B1750),IFERROR(MATCH(TRUE(),INDEX((A$996:A1751&lt;&gt;""),0),0),COUNTA(B$996:B1750))),"")</f>
        <v/>
      </c>
      <c r="L1750" s="27"/>
    </row>
    <row r="1751" customFormat="false" ht="13.8" hidden="false" customHeight="false" outlineLevel="0" collapsed="false">
      <c r="A1751" s="16"/>
      <c r="B1751" s="16"/>
      <c r="C1751" s="26"/>
      <c r="D1751" s="26"/>
      <c r="E1751" s="16"/>
      <c r="F1751" s="18"/>
      <c r="G1751" s="19" t="str">
        <f aca="true">IF(F1751="", "", DATEDIF(F1751, TODAY(), "Y"))</f>
        <v/>
      </c>
      <c r="H1751" s="18"/>
      <c r="I1751" s="18"/>
      <c r="J1751" s="24" t="str">
        <f aca="true">IF(ISBLANK(H1751), "", I1751-TODAY())</f>
        <v/>
      </c>
      <c r="K1751" s="24" t="str">
        <f aca="false" t="array" ref="K1751:K1751">IF(A1751&lt;&gt;"",IF(COUNTIF(A$996:A1752,"&lt;&gt;")=0,COUNTA(B$996:B1751),IFERROR(MATCH(TRUE(),INDEX((A$996:A1752&lt;&gt;""),0),0),COUNTA(B$996:B1751))),"")</f>
        <v/>
      </c>
      <c r="L1751" s="27"/>
    </row>
    <row r="1752" customFormat="false" ht="13.8" hidden="false" customHeight="false" outlineLevel="0" collapsed="false">
      <c r="A1752" s="16"/>
      <c r="B1752" s="16"/>
      <c r="C1752" s="26"/>
      <c r="D1752" s="26"/>
      <c r="E1752" s="16"/>
      <c r="F1752" s="18"/>
      <c r="G1752" s="19" t="str">
        <f aca="true">IF(F1752="", "", DATEDIF(F1752, TODAY(), "Y"))</f>
        <v/>
      </c>
      <c r="H1752" s="18"/>
      <c r="I1752" s="18"/>
      <c r="J1752" s="24" t="str">
        <f aca="true">IF(ISBLANK(H1752), "", I1752-TODAY())</f>
        <v/>
      </c>
      <c r="K1752" s="24" t="str">
        <f aca="false" t="array" ref="K1752:K1752">IF(A1752&lt;&gt;"",IF(COUNTIF(A$996:A1753,"&lt;&gt;")=0,COUNTA(B$996:B1752),IFERROR(MATCH(TRUE(),INDEX((A$996:A1753&lt;&gt;""),0),0),COUNTA(B$996:B1752))),"")</f>
        <v/>
      </c>
      <c r="L1752" s="27"/>
    </row>
    <row r="1753" customFormat="false" ht="13.8" hidden="false" customHeight="false" outlineLevel="0" collapsed="false">
      <c r="A1753" s="16"/>
      <c r="B1753" s="16"/>
      <c r="C1753" s="26"/>
      <c r="D1753" s="26"/>
      <c r="E1753" s="16"/>
      <c r="F1753" s="18"/>
      <c r="G1753" s="19" t="str">
        <f aca="true">IF(F1753="", "", DATEDIF(F1753, TODAY(), "Y"))</f>
        <v/>
      </c>
      <c r="H1753" s="18"/>
      <c r="I1753" s="18"/>
      <c r="J1753" s="24" t="str">
        <f aca="true">IF(ISBLANK(H1753), "", I1753-TODAY())</f>
        <v/>
      </c>
      <c r="K1753" s="24" t="str">
        <f aca="false" t="array" ref="K1753:K1753">IF(A1753&lt;&gt;"",IF(COUNTIF(A$996:A1754,"&lt;&gt;")=0,COUNTA(B$996:B1753),IFERROR(MATCH(TRUE(),INDEX((A$996:A1754&lt;&gt;""),0),0),COUNTA(B$996:B1753))),"")</f>
        <v/>
      </c>
      <c r="L1753" s="27"/>
    </row>
    <row r="1754" customFormat="false" ht="13.8" hidden="false" customHeight="false" outlineLevel="0" collapsed="false">
      <c r="A1754" s="16"/>
      <c r="B1754" s="16"/>
      <c r="C1754" s="26"/>
      <c r="D1754" s="26"/>
      <c r="E1754" s="16"/>
      <c r="F1754" s="18"/>
      <c r="G1754" s="19" t="str">
        <f aca="true">IF(F1754="", "", DATEDIF(F1754, TODAY(), "Y"))</f>
        <v/>
      </c>
      <c r="H1754" s="18"/>
      <c r="I1754" s="18"/>
      <c r="J1754" s="24" t="str">
        <f aca="true">IF(ISBLANK(H1754), "", I1754-TODAY())</f>
        <v/>
      </c>
      <c r="K1754" s="24" t="str">
        <f aca="false" t="array" ref="K1754:K1754">IF(A1754&lt;&gt;"",IF(COUNTIF(A$996:A1755,"&lt;&gt;")=0,COUNTA(B$996:B1754),IFERROR(MATCH(TRUE(),INDEX((A$996:A1755&lt;&gt;""),0),0),COUNTA(B$996:B1754))),"")</f>
        <v/>
      </c>
      <c r="L1754" s="27"/>
    </row>
    <row r="1755" customFormat="false" ht="13.8" hidden="false" customHeight="false" outlineLevel="0" collapsed="false">
      <c r="A1755" s="16"/>
      <c r="B1755" s="16"/>
      <c r="C1755" s="26"/>
      <c r="D1755" s="26"/>
      <c r="E1755" s="16"/>
      <c r="F1755" s="18"/>
      <c r="G1755" s="19" t="str">
        <f aca="true">IF(F1755="", "", DATEDIF(F1755, TODAY(), "Y"))</f>
        <v/>
      </c>
      <c r="H1755" s="18"/>
      <c r="I1755" s="18"/>
      <c r="J1755" s="24" t="str">
        <f aca="true">IF(ISBLANK(H1755), "", I1755-TODAY())</f>
        <v/>
      </c>
      <c r="K1755" s="24" t="str">
        <f aca="false" t="array" ref="K1755:K1755">IF(A1755&lt;&gt;"",IF(COUNTIF(A$996:A1756,"&lt;&gt;")=0,COUNTA(B$996:B1755),IFERROR(MATCH(TRUE(),INDEX((A$996:A1756&lt;&gt;""),0),0),COUNTA(B$996:B1755))),"")</f>
        <v/>
      </c>
      <c r="L1755" s="27"/>
    </row>
    <row r="1756" customFormat="false" ht="13.8" hidden="false" customHeight="false" outlineLevel="0" collapsed="false">
      <c r="A1756" s="16"/>
      <c r="B1756" s="16"/>
      <c r="C1756" s="26"/>
      <c r="D1756" s="26"/>
      <c r="E1756" s="16"/>
      <c r="F1756" s="18"/>
      <c r="G1756" s="19" t="str">
        <f aca="true">IF(F1756="", "", DATEDIF(F1756, TODAY(), "Y"))</f>
        <v/>
      </c>
      <c r="H1756" s="18"/>
      <c r="I1756" s="18"/>
      <c r="J1756" s="24" t="str">
        <f aca="true">IF(ISBLANK(H1756), "", I1756-TODAY())</f>
        <v/>
      </c>
      <c r="K1756" s="24" t="str">
        <f aca="false" t="array" ref="K1756:K1756">IF(A1756&lt;&gt;"",IF(COUNTIF(A$996:A1757,"&lt;&gt;")=0,COUNTA(B$996:B1756),IFERROR(MATCH(TRUE(),INDEX((A$996:A1757&lt;&gt;""),0),0),COUNTA(B$996:B1756))),"")</f>
        <v/>
      </c>
      <c r="L1756" s="27"/>
    </row>
    <row r="1757" customFormat="false" ht="13.8" hidden="false" customHeight="false" outlineLevel="0" collapsed="false">
      <c r="A1757" s="16"/>
      <c r="B1757" s="16"/>
      <c r="C1757" s="26"/>
      <c r="D1757" s="26"/>
      <c r="E1757" s="16"/>
      <c r="F1757" s="18"/>
      <c r="G1757" s="19" t="str">
        <f aca="true">IF(F1757="", "", DATEDIF(F1757, TODAY(), "Y"))</f>
        <v/>
      </c>
      <c r="H1757" s="18"/>
      <c r="I1757" s="18"/>
      <c r="J1757" s="24" t="str">
        <f aca="true">IF(ISBLANK(H1757), "", I1757-TODAY())</f>
        <v/>
      </c>
      <c r="K1757" s="24" t="str">
        <f aca="false" t="array" ref="K1757:K1757">IF(A1757&lt;&gt;"",IF(COUNTIF(A$996:A1758,"&lt;&gt;")=0,COUNTA(B$996:B1757),IFERROR(MATCH(TRUE(),INDEX((A$996:A1758&lt;&gt;""),0),0),COUNTA(B$996:B1757))),"")</f>
        <v/>
      </c>
      <c r="L1757" s="27"/>
    </row>
    <row r="1758" customFormat="false" ht="13.8" hidden="false" customHeight="false" outlineLevel="0" collapsed="false">
      <c r="A1758" s="16"/>
      <c r="B1758" s="16"/>
      <c r="C1758" s="26"/>
      <c r="D1758" s="26"/>
      <c r="E1758" s="16"/>
      <c r="F1758" s="18"/>
      <c r="G1758" s="19" t="str">
        <f aca="true">IF(F1758="", "", DATEDIF(F1758, TODAY(), "Y"))</f>
        <v/>
      </c>
      <c r="H1758" s="18"/>
      <c r="I1758" s="18"/>
      <c r="J1758" s="24" t="str">
        <f aca="true">IF(ISBLANK(H1758), "", I1758-TODAY())</f>
        <v/>
      </c>
      <c r="K1758" s="24" t="str">
        <f aca="false" t="array" ref="K1758:K1758">IF(A1758&lt;&gt;"",IF(COUNTIF(A$996:A1759,"&lt;&gt;")=0,COUNTA(B$996:B1758),IFERROR(MATCH(TRUE(),INDEX((A$996:A1759&lt;&gt;""),0),0),COUNTA(B$996:B1758))),"")</f>
        <v/>
      </c>
      <c r="L1758" s="27"/>
    </row>
    <row r="1759" customFormat="false" ht="13.8" hidden="false" customHeight="false" outlineLevel="0" collapsed="false">
      <c r="A1759" s="16"/>
      <c r="B1759" s="16"/>
      <c r="C1759" s="26"/>
      <c r="D1759" s="26"/>
      <c r="E1759" s="16"/>
      <c r="F1759" s="18"/>
      <c r="G1759" s="19" t="str">
        <f aca="true">IF(F1759="", "", DATEDIF(F1759, TODAY(), "Y"))</f>
        <v/>
      </c>
      <c r="H1759" s="18"/>
      <c r="I1759" s="18"/>
      <c r="J1759" s="24" t="str">
        <f aca="true">IF(ISBLANK(H1759), "", I1759-TODAY())</f>
        <v/>
      </c>
      <c r="K1759" s="24" t="str">
        <f aca="false" t="array" ref="K1759:K1759">IF(A1759&lt;&gt;"",IF(COUNTIF(A$996:A1760,"&lt;&gt;")=0,COUNTA(B$996:B1759),IFERROR(MATCH(TRUE(),INDEX((A$996:A1760&lt;&gt;""),0),0),COUNTA(B$996:B1759))),"")</f>
        <v/>
      </c>
      <c r="L1759" s="27"/>
    </row>
    <row r="1760" customFormat="false" ht="13.8" hidden="false" customHeight="false" outlineLevel="0" collapsed="false">
      <c r="A1760" s="16"/>
      <c r="B1760" s="16"/>
      <c r="C1760" s="26"/>
      <c r="D1760" s="26"/>
      <c r="E1760" s="16"/>
      <c r="F1760" s="18"/>
      <c r="G1760" s="19" t="str">
        <f aca="true">IF(F1760="", "", DATEDIF(F1760, TODAY(), "Y"))</f>
        <v/>
      </c>
      <c r="H1760" s="18"/>
      <c r="I1760" s="18"/>
      <c r="J1760" s="24" t="str">
        <f aca="true">IF(ISBLANK(H1760), "", I1760-TODAY())</f>
        <v/>
      </c>
      <c r="K1760" s="24" t="str">
        <f aca="false" t="array" ref="K1760:K1760">IF(A1760&lt;&gt;"",IF(COUNTIF(A$996:A1761,"&lt;&gt;")=0,COUNTA(B$996:B1760),IFERROR(MATCH(TRUE(),INDEX((A$996:A1761&lt;&gt;""),0),0),COUNTA(B$996:B1760))),"")</f>
        <v/>
      </c>
      <c r="L1760" s="27"/>
    </row>
    <row r="1761" customFormat="false" ht="13.8" hidden="false" customHeight="false" outlineLevel="0" collapsed="false">
      <c r="A1761" s="16"/>
      <c r="B1761" s="16"/>
      <c r="C1761" s="26"/>
      <c r="D1761" s="26"/>
      <c r="E1761" s="16"/>
      <c r="F1761" s="18"/>
      <c r="G1761" s="19" t="str">
        <f aca="true">IF(F1761="", "", DATEDIF(F1761, TODAY(), "Y"))</f>
        <v/>
      </c>
      <c r="H1761" s="18"/>
      <c r="I1761" s="18"/>
      <c r="J1761" s="24" t="str">
        <f aca="true">IF(ISBLANK(H1761), "", I1761-TODAY())</f>
        <v/>
      </c>
      <c r="K1761" s="24" t="str">
        <f aca="false" t="array" ref="K1761:K1761">IF(A1761&lt;&gt;"",IF(COUNTIF(A$996:A1762,"&lt;&gt;")=0,COUNTA(B$996:B1761),IFERROR(MATCH(TRUE(),INDEX((A$996:A1762&lt;&gt;""),0),0),COUNTA(B$996:B1761))),"")</f>
        <v/>
      </c>
      <c r="L1761" s="27"/>
    </row>
    <row r="1762" customFormat="false" ht="13.8" hidden="false" customHeight="false" outlineLevel="0" collapsed="false">
      <c r="A1762" s="16"/>
      <c r="B1762" s="16"/>
      <c r="C1762" s="26"/>
      <c r="D1762" s="26"/>
      <c r="E1762" s="16"/>
      <c r="F1762" s="18"/>
      <c r="G1762" s="19" t="str">
        <f aca="true">IF(F1762="", "", DATEDIF(F1762, TODAY(), "Y"))</f>
        <v/>
      </c>
      <c r="H1762" s="18"/>
      <c r="I1762" s="18"/>
      <c r="J1762" s="24" t="str">
        <f aca="true">IF(ISBLANK(H1762), "", I1762-TODAY())</f>
        <v/>
      </c>
      <c r="K1762" s="24" t="str">
        <f aca="false" t="array" ref="K1762:K1762">IF(A1762&lt;&gt;"",IF(COUNTIF(A$996:A1763,"&lt;&gt;")=0,COUNTA(B$996:B1762),IFERROR(MATCH(TRUE(),INDEX((A$996:A1763&lt;&gt;""),0),0),COUNTA(B$996:B1762))),"")</f>
        <v/>
      </c>
      <c r="L1762" s="27"/>
    </row>
    <row r="1763" customFormat="false" ht="13.8" hidden="false" customHeight="false" outlineLevel="0" collapsed="false">
      <c r="A1763" s="16"/>
      <c r="B1763" s="16"/>
      <c r="C1763" s="26"/>
      <c r="D1763" s="26"/>
      <c r="E1763" s="16"/>
      <c r="F1763" s="18"/>
      <c r="G1763" s="19" t="str">
        <f aca="true">IF(F1763="", "", DATEDIF(F1763, TODAY(), "Y"))</f>
        <v/>
      </c>
      <c r="H1763" s="18"/>
      <c r="I1763" s="18"/>
      <c r="J1763" s="24" t="str">
        <f aca="true">IF(ISBLANK(H1763), "", I1763-TODAY())</f>
        <v/>
      </c>
      <c r="K1763" s="24" t="str">
        <f aca="false" t="array" ref="K1763:K1763">IF(A1763&lt;&gt;"",IF(COUNTIF(A$996:A1764,"&lt;&gt;")=0,COUNTA(B$996:B1763),IFERROR(MATCH(TRUE(),INDEX((A$996:A1764&lt;&gt;""),0),0),COUNTA(B$996:B1763))),"")</f>
        <v/>
      </c>
      <c r="L1763" s="27"/>
    </row>
    <row r="1764" customFormat="false" ht="13.8" hidden="false" customHeight="false" outlineLevel="0" collapsed="false">
      <c r="A1764" s="16"/>
      <c r="B1764" s="16"/>
      <c r="C1764" s="26"/>
      <c r="D1764" s="26"/>
      <c r="E1764" s="16"/>
      <c r="F1764" s="18"/>
      <c r="G1764" s="19" t="str">
        <f aca="true">IF(F1764="", "", DATEDIF(F1764, TODAY(), "Y"))</f>
        <v/>
      </c>
      <c r="H1764" s="18"/>
      <c r="I1764" s="18"/>
      <c r="J1764" s="24" t="str">
        <f aca="true">IF(ISBLANK(H1764), "", I1764-TODAY())</f>
        <v/>
      </c>
      <c r="K1764" s="24" t="str">
        <f aca="false" t="array" ref="K1764:K1764">IF(A1764&lt;&gt;"",IF(COUNTIF(A$996:A1765,"&lt;&gt;")=0,COUNTA(B$996:B1764),IFERROR(MATCH(TRUE(),INDEX((A$996:A1765&lt;&gt;""),0),0),COUNTA(B$996:B1764))),"")</f>
        <v/>
      </c>
      <c r="L1764" s="27"/>
    </row>
    <row r="1765" customFormat="false" ht="13.8" hidden="false" customHeight="false" outlineLevel="0" collapsed="false">
      <c r="A1765" s="16"/>
      <c r="B1765" s="16"/>
      <c r="C1765" s="26"/>
      <c r="D1765" s="26"/>
      <c r="E1765" s="16"/>
      <c r="F1765" s="18"/>
      <c r="G1765" s="19" t="str">
        <f aca="true">IF(F1765="", "", DATEDIF(F1765, TODAY(), "Y"))</f>
        <v/>
      </c>
      <c r="H1765" s="18"/>
      <c r="I1765" s="18"/>
      <c r="J1765" s="24" t="str">
        <f aca="true">IF(ISBLANK(H1765), "", I1765-TODAY())</f>
        <v/>
      </c>
      <c r="K1765" s="24" t="str">
        <f aca="false" t="array" ref="K1765:K1765">IF(A1765&lt;&gt;"",IF(COUNTIF(A$996:A1766,"&lt;&gt;")=0,COUNTA(B$996:B1765),IFERROR(MATCH(TRUE(),INDEX((A$996:A1766&lt;&gt;""),0),0),COUNTA(B$996:B1765))),"")</f>
        <v/>
      </c>
      <c r="L1765" s="27"/>
    </row>
    <row r="1766" customFormat="false" ht="13.8" hidden="false" customHeight="false" outlineLevel="0" collapsed="false">
      <c r="A1766" s="16"/>
      <c r="B1766" s="16"/>
      <c r="C1766" s="26"/>
      <c r="D1766" s="26"/>
      <c r="E1766" s="16"/>
      <c r="F1766" s="18"/>
      <c r="G1766" s="19" t="str">
        <f aca="true">IF(F1766="", "", DATEDIF(F1766, TODAY(), "Y"))</f>
        <v/>
      </c>
      <c r="H1766" s="18"/>
      <c r="I1766" s="18"/>
      <c r="J1766" s="24" t="str">
        <f aca="true">IF(ISBLANK(H1766), "", I1766-TODAY())</f>
        <v/>
      </c>
      <c r="K1766" s="24" t="str">
        <f aca="false" t="array" ref="K1766:K1766">IF(A1766&lt;&gt;"",IF(COUNTIF(A$996:A1767,"&lt;&gt;")=0,COUNTA(B$996:B1766),IFERROR(MATCH(TRUE(),INDEX((A$996:A1767&lt;&gt;""),0),0),COUNTA(B$996:B1766))),"")</f>
        <v/>
      </c>
      <c r="L1766" s="27"/>
    </row>
    <row r="1767" customFormat="false" ht="13.8" hidden="false" customHeight="false" outlineLevel="0" collapsed="false">
      <c r="A1767" s="16"/>
      <c r="B1767" s="16"/>
      <c r="C1767" s="26"/>
      <c r="D1767" s="26"/>
      <c r="E1767" s="16"/>
      <c r="F1767" s="18"/>
      <c r="G1767" s="19" t="str">
        <f aca="true">IF(F1767="", "", DATEDIF(F1767, TODAY(), "Y"))</f>
        <v/>
      </c>
      <c r="H1767" s="18"/>
      <c r="I1767" s="18"/>
      <c r="J1767" s="24" t="str">
        <f aca="true">IF(ISBLANK(H1767), "", I1767-TODAY())</f>
        <v/>
      </c>
      <c r="K1767" s="24" t="str">
        <f aca="false" t="array" ref="K1767:K1767">IF(A1767&lt;&gt;"",IF(COUNTIF(A$996:A1768,"&lt;&gt;")=0,COUNTA(B$996:B1767),IFERROR(MATCH(TRUE(),INDEX((A$996:A1768&lt;&gt;""),0),0),COUNTA(B$996:B1767))),"")</f>
        <v/>
      </c>
      <c r="L1767" s="27"/>
    </row>
    <row r="1768" customFormat="false" ht="13.8" hidden="false" customHeight="false" outlineLevel="0" collapsed="false">
      <c r="A1768" s="16"/>
      <c r="B1768" s="16"/>
      <c r="C1768" s="26"/>
      <c r="D1768" s="26"/>
      <c r="E1768" s="16"/>
      <c r="F1768" s="18"/>
      <c r="G1768" s="19" t="str">
        <f aca="true">IF(F1768="", "", DATEDIF(F1768, TODAY(), "Y"))</f>
        <v/>
      </c>
      <c r="H1768" s="18"/>
      <c r="I1768" s="18"/>
      <c r="J1768" s="24" t="str">
        <f aca="true">IF(ISBLANK(H1768), "", I1768-TODAY())</f>
        <v/>
      </c>
      <c r="K1768" s="24" t="str">
        <f aca="false" t="array" ref="K1768:K1768">IF(A1768&lt;&gt;"",IF(COUNTIF(A$996:A1769,"&lt;&gt;")=0,COUNTA(B$996:B1768),IFERROR(MATCH(TRUE(),INDEX((A$996:A1769&lt;&gt;""),0),0),COUNTA(B$996:B1768))),"")</f>
        <v/>
      </c>
      <c r="L1768" s="27"/>
    </row>
    <row r="1769" customFormat="false" ht="13.8" hidden="false" customHeight="false" outlineLevel="0" collapsed="false">
      <c r="A1769" s="16"/>
      <c r="B1769" s="16"/>
      <c r="C1769" s="26"/>
      <c r="D1769" s="26"/>
      <c r="E1769" s="16"/>
      <c r="F1769" s="18"/>
      <c r="G1769" s="19" t="str">
        <f aca="true">IF(F1769="", "", DATEDIF(F1769, TODAY(), "Y"))</f>
        <v/>
      </c>
      <c r="H1769" s="18"/>
      <c r="I1769" s="18"/>
      <c r="J1769" s="24" t="str">
        <f aca="true">IF(ISBLANK(H1769), "", I1769-TODAY())</f>
        <v/>
      </c>
      <c r="K1769" s="24" t="str">
        <f aca="false" t="array" ref="K1769:K1769">IF(A1769&lt;&gt;"",IF(COUNTIF(A$996:A1770,"&lt;&gt;")=0,COUNTA(B$996:B1769),IFERROR(MATCH(TRUE(),INDEX((A$996:A1770&lt;&gt;""),0),0),COUNTA(B$996:B1769))),"")</f>
        <v/>
      </c>
      <c r="L1769" s="27"/>
    </row>
    <row r="1770" customFormat="false" ht="13.8" hidden="false" customHeight="false" outlineLevel="0" collapsed="false">
      <c r="A1770" s="16"/>
      <c r="B1770" s="16"/>
      <c r="C1770" s="26"/>
      <c r="D1770" s="26"/>
      <c r="E1770" s="16"/>
      <c r="F1770" s="18"/>
      <c r="G1770" s="19" t="str">
        <f aca="true">IF(F1770="", "", DATEDIF(F1770, TODAY(), "Y"))</f>
        <v/>
      </c>
      <c r="H1770" s="18"/>
      <c r="I1770" s="18"/>
      <c r="J1770" s="24" t="str">
        <f aca="true">IF(ISBLANK(H1770), "", I1770-TODAY())</f>
        <v/>
      </c>
      <c r="K1770" s="24" t="str">
        <f aca="false" t="array" ref="K1770:K1770">IF(A1770&lt;&gt;"",IF(COUNTIF(A$996:A1771,"&lt;&gt;")=0,COUNTA(B$996:B1770),IFERROR(MATCH(TRUE(),INDEX((A$996:A1771&lt;&gt;""),0),0),COUNTA(B$996:B1770))),"")</f>
        <v/>
      </c>
      <c r="L1770" s="27"/>
    </row>
    <row r="1771" customFormat="false" ht="13.8" hidden="false" customHeight="false" outlineLevel="0" collapsed="false">
      <c r="A1771" s="16"/>
      <c r="B1771" s="16"/>
      <c r="C1771" s="26"/>
      <c r="D1771" s="26"/>
      <c r="E1771" s="16"/>
      <c r="F1771" s="18"/>
      <c r="G1771" s="19" t="str">
        <f aca="true">IF(F1771="", "", DATEDIF(F1771, TODAY(), "Y"))</f>
        <v/>
      </c>
      <c r="H1771" s="18"/>
      <c r="I1771" s="18"/>
      <c r="J1771" s="24" t="str">
        <f aca="true">IF(ISBLANK(H1771), "", I1771-TODAY())</f>
        <v/>
      </c>
      <c r="K1771" s="24" t="str">
        <f aca="false" t="array" ref="K1771:K1771">IF(A1771&lt;&gt;"",IF(COUNTIF(A$996:A1772,"&lt;&gt;")=0,COUNTA(B$996:B1771),IFERROR(MATCH(TRUE(),INDEX((A$996:A1772&lt;&gt;""),0),0),COUNTA(B$996:B1771))),"")</f>
        <v/>
      </c>
      <c r="L1771" s="27"/>
    </row>
    <row r="1772" customFormat="false" ht="13.8" hidden="false" customHeight="false" outlineLevel="0" collapsed="false">
      <c r="A1772" s="16"/>
      <c r="B1772" s="16"/>
      <c r="C1772" s="26"/>
      <c r="D1772" s="26"/>
      <c r="E1772" s="16"/>
      <c r="F1772" s="18"/>
      <c r="G1772" s="19" t="str">
        <f aca="true">IF(F1772="", "", DATEDIF(F1772, TODAY(), "Y"))</f>
        <v/>
      </c>
      <c r="H1772" s="18"/>
      <c r="I1772" s="18"/>
      <c r="J1772" s="24" t="str">
        <f aca="true">IF(ISBLANK(H1772), "", I1772-TODAY())</f>
        <v/>
      </c>
      <c r="K1772" s="24" t="str">
        <f aca="false" t="array" ref="K1772:K1772">IF(A1772&lt;&gt;"",IF(COUNTIF(A$996:A1773,"&lt;&gt;")=0,COUNTA(B$996:B1772),IFERROR(MATCH(TRUE(),INDEX((A$996:A1773&lt;&gt;""),0),0),COUNTA(B$996:B1772))),"")</f>
        <v/>
      </c>
      <c r="L1772" s="27"/>
    </row>
    <row r="1773" customFormat="false" ht="13.8" hidden="false" customHeight="false" outlineLevel="0" collapsed="false">
      <c r="A1773" s="16"/>
      <c r="B1773" s="16"/>
      <c r="C1773" s="26"/>
      <c r="D1773" s="26"/>
      <c r="E1773" s="16"/>
      <c r="F1773" s="18"/>
      <c r="G1773" s="19" t="str">
        <f aca="true">IF(F1773="", "", DATEDIF(F1773, TODAY(), "Y"))</f>
        <v/>
      </c>
      <c r="H1773" s="18"/>
      <c r="I1773" s="18"/>
      <c r="J1773" s="24" t="str">
        <f aca="true">IF(ISBLANK(H1773), "", I1773-TODAY())</f>
        <v/>
      </c>
      <c r="K1773" s="24" t="str">
        <f aca="false" t="array" ref="K1773:K1773">IF(A1773&lt;&gt;"",IF(COUNTIF(A$996:A1774,"&lt;&gt;")=0,COUNTA(B$996:B1773),IFERROR(MATCH(TRUE(),INDEX((A$996:A1774&lt;&gt;""),0),0),COUNTA(B$996:B1773))),"")</f>
        <v/>
      </c>
      <c r="L1773" s="27"/>
    </row>
    <row r="1774" customFormat="false" ht="13.8" hidden="false" customHeight="false" outlineLevel="0" collapsed="false">
      <c r="A1774" s="16"/>
      <c r="B1774" s="16"/>
      <c r="C1774" s="26"/>
      <c r="D1774" s="26"/>
      <c r="E1774" s="16"/>
      <c r="F1774" s="18"/>
      <c r="G1774" s="19" t="str">
        <f aca="true">IF(F1774="", "", DATEDIF(F1774, TODAY(), "Y"))</f>
        <v/>
      </c>
      <c r="H1774" s="18"/>
      <c r="I1774" s="18"/>
      <c r="J1774" s="24" t="str">
        <f aca="true">IF(ISBLANK(H1774), "", I1774-TODAY())</f>
        <v/>
      </c>
      <c r="K1774" s="24" t="str">
        <f aca="false" t="array" ref="K1774:K1774">IF(A1774&lt;&gt;"",IF(COUNTIF(A$996:A1775,"&lt;&gt;")=0,COUNTA(B$996:B1774),IFERROR(MATCH(TRUE(),INDEX((A$996:A1775&lt;&gt;""),0),0),COUNTA(B$996:B1774))),"")</f>
        <v/>
      </c>
      <c r="L1774" s="27"/>
    </row>
    <row r="1775" customFormat="false" ht="13.8" hidden="false" customHeight="false" outlineLevel="0" collapsed="false">
      <c r="A1775" s="16"/>
      <c r="B1775" s="16"/>
      <c r="C1775" s="26"/>
      <c r="D1775" s="26"/>
      <c r="E1775" s="16"/>
      <c r="F1775" s="18"/>
      <c r="G1775" s="19" t="str">
        <f aca="true">IF(F1775="", "", DATEDIF(F1775, TODAY(), "Y"))</f>
        <v/>
      </c>
      <c r="H1775" s="18"/>
      <c r="I1775" s="18"/>
      <c r="J1775" s="24" t="str">
        <f aca="true">IF(ISBLANK(H1775), "", I1775-TODAY())</f>
        <v/>
      </c>
      <c r="K1775" s="24" t="str">
        <f aca="false" t="array" ref="K1775:K1775">IF(A1775&lt;&gt;"",IF(COUNTIF(A$996:A1776,"&lt;&gt;")=0,COUNTA(B$996:B1775),IFERROR(MATCH(TRUE(),INDEX((A$996:A1776&lt;&gt;""),0),0),COUNTA(B$996:B1775))),"")</f>
        <v/>
      </c>
      <c r="L1775" s="27"/>
    </row>
    <row r="1776" customFormat="false" ht="13.8" hidden="false" customHeight="false" outlineLevel="0" collapsed="false">
      <c r="A1776" s="16"/>
      <c r="B1776" s="16"/>
      <c r="C1776" s="26"/>
      <c r="D1776" s="26"/>
      <c r="E1776" s="16"/>
      <c r="F1776" s="18"/>
      <c r="G1776" s="19" t="str">
        <f aca="true">IF(F1776="", "", DATEDIF(F1776, TODAY(), "Y"))</f>
        <v/>
      </c>
      <c r="H1776" s="18"/>
      <c r="I1776" s="18"/>
      <c r="J1776" s="24" t="str">
        <f aca="true">IF(ISBLANK(H1776), "", I1776-TODAY())</f>
        <v/>
      </c>
      <c r="K1776" s="24" t="str">
        <f aca="false" t="array" ref="K1776:K1776">IF(A1776&lt;&gt;"",IF(COUNTIF(A$996:A1777,"&lt;&gt;")=0,COUNTA(B$996:B1776),IFERROR(MATCH(TRUE(),INDEX((A$996:A1777&lt;&gt;""),0),0),COUNTA(B$996:B1776))),"")</f>
        <v/>
      </c>
      <c r="L1776" s="27"/>
    </row>
    <row r="1777" customFormat="false" ht="13.8" hidden="false" customHeight="false" outlineLevel="0" collapsed="false">
      <c r="A1777" s="16"/>
      <c r="B1777" s="16"/>
      <c r="C1777" s="26"/>
      <c r="D1777" s="26"/>
      <c r="E1777" s="16"/>
      <c r="F1777" s="18"/>
      <c r="G1777" s="19" t="str">
        <f aca="true">IF(F1777="", "", DATEDIF(F1777, TODAY(), "Y"))</f>
        <v/>
      </c>
      <c r="H1777" s="18"/>
      <c r="I1777" s="18"/>
      <c r="J1777" s="24" t="str">
        <f aca="true">IF(ISBLANK(H1777), "", I1777-TODAY())</f>
        <v/>
      </c>
      <c r="K1777" s="24" t="str">
        <f aca="false" t="array" ref="K1777:K1777">IF(A1777&lt;&gt;"",IF(COUNTIF(A$996:A1778,"&lt;&gt;")=0,COUNTA(B$996:B1777),IFERROR(MATCH(TRUE(),INDEX((A$996:A1778&lt;&gt;""),0),0),COUNTA(B$996:B1777))),"")</f>
        <v/>
      </c>
      <c r="L1777" s="27"/>
    </row>
    <row r="1778" customFormat="false" ht="13.8" hidden="false" customHeight="false" outlineLevel="0" collapsed="false">
      <c r="A1778" s="16"/>
      <c r="B1778" s="16"/>
      <c r="C1778" s="26"/>
      <c r="D1778" s="26"/>
      <c r="E1778" s="16"/>
      <c r="F1778" s="18"/>
      <c r="G1778" s="19" t="str">
        <f aca="true">IF(F1778="", "", DATEDIF(F1778, TODAY(), "Y"))</f>
        <v/>
      </c>
      <c r="H1778" s="18"/>
      <c r="I1778" s="18"/>
      <c r="J1778" s="24" t="str">
        <f aca="true">IF(ISBLANK(H1778), "", I1778-TODAY())</f>
        <v/>
      </c>
      <c r="K1778" s="24" t="str">
        <f aca="false" t="array" ref="K1778:K1778">IF(A1778&lt;&gt;"",IF(COUNTIF(A$996:A1779,"&lt;&gt;")=0,COUNTA(B$996:B1778),IFERROR(MATCH(TRUE(),INDEX((A$996:A1779&lt;&gt;""),0),0),COUNTA(B$996:B1778))),"")</f>
        <v/>
      </c>
      <c r="L1778" s="27"/>
    </row>
    <row r="1779" customFormat="false" ht="13.8" hidden="false" customHeight="false" outlineLevel="0" collapsed="false">
      <c r="A1779" s="16"/>
      <c r="B1779" s="16"/>
      <c r="C1779" s="26"/>
      <c r="D1779" s="26"/>
      <c r="E1779" s="16"/>
      <c r="F1779" s="18"/>
      <c r="G1779" s="19" t="str">
        <f aca="true">IF(F1779="", "", DATEDIF(F1779, TODAY(), "Y"))</f>
        <v/>
      </c>
      <c r="H1779" s="18"/>
      <c r="I1779" s="18"/>
      <c r="J1779" s="24" t="str">
        <f aca="true">IF(ISBLANK(H1779), "", I1779-TODAY())</f>
        <v/>
      </c>
      <c r="K1779" s="24" t="str">
        <f aca="false" t="array" ref="K1779:K1779">IF(A1779&lt;&gt;"",IF(COUNTIF(A$996:A1780,"&lt;&gt;")=0,COUNTA(B$996:B1779),IFERROR(MATCH(TRUE(),INDEX((A$996:A1780&lt;&gt;""),0),0),COUNTA(B$996:B1779))),"")</f>
        <v/>
      </c>
      <c r="L1779" s="27"/>
    </row>
    <row r="1780" customFormat="false" ht="13.8" hidden="false" customHeight="false" outlineLevel="0" collapsed="false">
      <c r="A1780" s="16"/>
      <c r="B1780" s="16"/>
      <c r="C1780" s="26"/>
      <c r="D1780" s="26"/>
      <c r="E1780" s="16"/>
      <c r="F1780" s="18"/>
      <c r="G1780" s="19" t="str">
        <f aca="true">IF(F1780="", "", DATEDIF(F1780, TODAY(), "Y"))</f>
        <v/>
      </c>
      <c r="H1780" s="18"/>
      <c r="I1780" s="18"/>
      <c r="J1780" s="24" t="str">
        <f aca="true">IF(ISBLANK(H1780), "", I1780-TODAY())</f>
        <v/>
      </c>
      <c r="K1780" s="24" t="str">
        <f aca="false" t="array" ref="K1780:K1780">IF(A1780&lt;&gt;"",IF(COUNTIF(A$996:A1781,"&lt;&gt;")=0,COUNTA(B$996:B1780),IFERROR(MATCH(TRUE(),INDEX((A$996:A1781&lt;&gt;""),0),0),COUNTA(B$996:B1780))),"")</f>
        <v/>
      </c>
      <c r="L1780" s="27"/>
    </row>
    <row r="1781" customFormat="false" ht="13.8" hidden="false" customHeight="false" outlineLevel="0" collapsed="false">
      <c r="A1781" s="16"/>
      <c r="B1781" s="16"/>
      <c r="C1781" s="26"/>
      <c r="D1781" s="26"/>
      <c r="E1781" s="16"/>
      <c r="F1781" s="18"/>
      <c r="G1781" s="19" t="str">
        <f aca="true">IF(F1781="", "", DATEDIF(F1781, TODAY(), "Y"))</f>
        <v/>
      </c>
      <c r="H1781" s="18"/>
      <c r="I1781" s="18"/>
      <c r="J1781" s="24" t="str">
        <f aca="true">IF(ISBLANK(H1781), "", I1781-TODAY())</f>
        <v/>
      </c>
      <c r="K1781" s="24" t="str">
        <f aca="false" t="array" ref="K1781:K1781">IF(A1781&lt;&gt;"",IF(COUNTIF(A$996:A1782,"&lt;&gt;")=0,COUNTA(B$996:B1781),IFERROR(MATCH(TRUE(),INDEX((A$996:A1782&lt;&gt;""),0),0),COUNTA(B$996:B1781))),"")</f>
        <v/>
      </c>
      <c r="L1781" s="27"/>
    </row>
    <row r="1782" customFormat="false" ht="13.8" hidden="false" customHeight="false" outlineLevel="0" collapsed="false">
      <c r="A1782" s="16"/>
      <c r="B1782" s="16"/>
      <c r="C1782" s="26"/>
      <c r="D1782" s="26"/>
      <c r="E1782" s="16"/>
      <c r="F1782" s="18"/>
      <c r="G1782" s="19" t="str">
        <f aca="true">IF(F1782="", "", DATEDIF(F1782, TODAY(), "Y"))</f>
        <v/>
      </c>
      <c r="H1782" s="18"/>
      <c r="I1782" s="18"/>
      <c r="J1782" s="24" t="str">
        <f aca="true">IF(ISBLANK(H1782), "", I1782-TODAY())</f>
        <v/>
      </c>
      <c r="K1782" s="24" t="str">
        <f aca="false" t="array" ref="K1782:K1782">IF(A1782&lt;&gt;"",IF(COUNTIF(A$996:A1783,"&lt;&gt;")=0,COUNTA(B$996:B1782),IFERROR(MATCH(TRUE(),INDEX((A$996:A1783&lt;&gt;""),0),0),COUNTA(B$996:B1782))),"")</f>
        <v/>
      </c>
      <c r="L1782" s="27"/>
    </row>
    <row r="1783" customFormat="false" ht="13.8" hidden="false" customHeight="false" outlineLevel="0" collapsed="false">
      <c r="A1783" s="16"/>
      <c r="B1783" s="16"/>
      <c r="C1783" s="26"/>
      <c r="D1783" s="26"/>
      <c r="E1783" s="16"/>
      <c r="F1783" s="18"/>
      <c r="G1783" s="19" t="str">
        <f aca="true">IF(F1783="", "", DATEDIF(F1783, TODAY(), "Y"))</f>
        <v/>
      </c>
      <c r="H1783" s="18"/>
      <c r="I1783" s="18"/>
      <c r="J1783" s="24" t="str">
        <f aca="true">IF(ISBLANK(H1783), "", I1783-TODAY())</f>
        <v/>
      </c>
      <c r="K1783" s="24" t="str">
        <f aca="false" t="array" ref="K1783:K1783">IF(A1783&lt;&gt;"",IF(COUNTIF(A$996:A1784,"&lt;&gt;")=0,COUNTA(B$996:B1783),IFERROR(MATCH(TRUE(),INDEX((A$996:A1784&lt;&gt;""),0),0),COUNTA(B$996:B1783))),"")</f>
        <v/>
      </c>
      <c r="L1783" s="27"/>
    </row>
    <row r="1784" customFormat="false" ht="13.8" hidden="false" customHeight="false" outlineLevel="0" collapsed="false">
      <c r="A1784" s="16"/>
      <c r="B1784" s="16"/>
      <c r="C1784" s="26"/>
      <c r="D1784" s="26"/>
      <c r="E1784" s="16"/>
      <c r="F1784" s="18"/>
      <c r="G1784" s="19" t="str">
        <f aca="true">IF(F1784="", "", DATEDIF(F1784, TODAY(), "Y"))</f>
        <v/>
      </c>
      <c r="H1784" s="18"/>
      <c r="I1784" s="18"/>
      <c r="J1784" s="24" t="str">
        <f aca="true">IF(ISBLANK(H1784), "", I1784-TODAY())</f>
        <v/>
      </c>
      <c r="K1784" s="24" t="str">
        <f aca="false" t="array" ref="K1784:K1784">IF(A1784&lt;&gt;"",IF(COUNTIF(A$996:A1785,"&lt;&gt;")=0,COUNTA(B$996:B1784),IFERROR(MATCH(TRUE(),INDEX((A$996:A1785&lt;&gt;""),0),0),COUNTA(B$996:B1784))),"")</f>
        <v/>
      </c>
      <c r="L1784" s="27"/>
    </row>
    <row r="1785" customFormat="false" ht="13.8" hidden="false" customHeight="false" outlineLevel="0" collapsed="false">
      <c r="A1785" s="16"/>
      <c r="B1785" s="16"/>
      <c r="C1785" s="26"/>
      <c r="D1785" s="26"/>
      <c r="E1785" s="16"/>
      <c r="F1785" s="18"/>
      <c r="G1785" s="19" t="str">
        <f aca="true">IF(F1785="", "", DATEDIF(F1785, TODAY(), "Y"))</f>
        <v/>
      </c>
      <c r="H1785" s="18"/>
      <c r="I1785" s="18"/>
      <c r="J1785" s="24" t="str">
        <f aca="true">IF(ISBLANK(H1785), "", I1785-TODAY())</f>
        <v/>
      </c>
      <c r="K1785" s="24" t="str">
        <f aca="false" t="array" ref="K1785:K1785">IF(A1785&lt;&gt;"",IF(COUNTIF(A$996:A1786,"&lt;&gt;")=0,COUNTA(B$996:B1785),IFERROR(MATCH(TRUE(),INDEX((A$996:A1786&lt;&gt;""),0),0),COUNTA(B$996:B1785))),"")</f>
        <v/>
      </c>
      <c r="L1785" s="27"/>
    </row>
    <row r="1786" customFormat="false" ht="13.8" hidden="false" customHeight="false" outlineLevel="0" collapsed="false">
      <c r="A1786" s="16"/>
      <c r="B1786" s="16"/>
      <c r="C1786" s="26"/>
      <c r="D1786" s="26"/>
      <c r="E1786" s="16"/>
      <c r="F1786" s="18"/>
      <c r="G1786" s="19" t="str">
        <f aca="true">IF(F1786="", "", DATEDIF(F1786, TODAY(), "Y"))</f>
        <v/>
      </c>
      <c r="H1786" s="18"/>
      <c r="I1786" s="18"/>
      <c r="J1786" s="24" t="str">
        <f aca="true">IF(ISBLANK(H1786), "", I1786-TODAY())</f>
        <v/>
      </c>
      <c r="K1786" s="24" t="str">
        <f aca="false" t="array" ref="K1786:K1786">IF(A1786&lt;&gt;"",IF(COUNTIF(A$996:A1787,"&lt;&gt;")=0,COUNTA(B$996:B1786),IFERROR(MATCH(TRUE(),INDEX((A$996:A1787&lt;&gt;""),0),0),COUNTA(B$996:B1786))),"")</f>
        <v/>
      </c>
      <c r="L1786" s="27"/>
    </row>
    <row r="1787" customFormat="false" ht="13.8" hidden="false" customHeight="false" outlineLevel="0" collapsed="false">
      <c r="A1787" s="16"/>
      <c r="B1787" s="16"/>
      <c r="C1787" s="26"/>
      <c r="D1787" s="26"/>
      <c r="E1787" s="16"/>
      <c r="F1787" s="18"/>
      <c r="G1787" s="19" t="str">
        <f aca="true">IF(F1787="", "", DATEDIF(F1787, TODAY(), "Y"))</f>
        <v/>
      </c>
      <c r="H1787" s="18"/>
      <c r="I1787" s="18"/>
      <c r="J1787" s="24" t="str">
        <f aca="true">IF(ISBLANK(H1787), "", I1787-TODAY())</f>
        <v/>
      </c>
      <c r="K1787" s="24" t="str">
        <f aca="false" t="array" ref="K1787:K1787">IF(A1787&lt;&gt;"",IF(COUNTIF(A$996:A1788,"&lt;&gt;")=0,COUNTA(B$996:B1787),IFERROR(MATCH(TRUE(),INDEX((A$996:A1788&lt;&gt;""),0),0),COUNTA(B$996:B1787))),"")</f>
        <v/>
      </c>
      <c r="L1787" s="27"/>
    </row>
    <row r="1788" customFormat="false" ht="13.8" hidden="false" customHeight="false" outlineLevel="0" collapsed="false">
      <c r="A1788" s="16"/>
      <c r="B1788" s="16"/>
      <c r="C1788" s="26"/>
      <c r="D1788" s="26"/>
      <c r="E1788" s="16"/>
      <c r="F1788" s="18"/>
      <c r="G1788" s="19" t="str">
        <f aca="true">IF(F1788="", "", DATEDIF(F1788, TODAY(), "Y"))</f>
        <v/>
      </c>
      <c r="H1788" s="18"/>
      <c r="I1788" s="18"/>
      <c r="J1788" s="24" t="str">
        <f aca="true">IF(ISBLANK(H1788), "", I1788-TODAY())</f>
        <v/>
      </c>
      <c r="K1788" s="24" t="str">
        <f aca="false" t="array" ref="K1788:K1788">IF(A1788&lt;&gt;"",IF(COUNTIF(A$996:A1789,"&lt;&gt;")=0,COUNTA(B$996:B1788),IFERROR(MATCH(TRUE(),INDEX((A$996:A1789&lt;&gt;""),0),0),COUNTA(B$996:B1788))),"")</f>
        <v/>
      </c>
      <c r="L1788" s="27"/>
    </row>
    <row r="1789" customFormat="false" ht="13.8" hidden="false" customHeight="false" outlineLevel="0" collapsed="false">
      <c r="A1789" s="16"/>
      <c r="B1789" s="16"/>
      <c r="C1789" s="26"/>
      <c r="D1789" s="26"/>
      <c r="E1789" s="16"/>
      <c r="F1789" s="18"/>
      <c r="G1789" s="19" t="str">
        <f aca="true">IF(F1789="", "", DATEDIF(F1789, TODAY(), "Y"))</f>
        <v/>
      </c>
      <c r="H1789" s="18"/>
      <c r="I1789" s="18"/>
      <c r="J1789" s="24" t="str">
        <f aca="true">IF(ISBLANK(H1789), "", I1789-TODAY())</f>
        <v/>
      </c>
      <c r="K1789" s="24" t="str">
        <f aca="false" t="array" ref="K1789:K1789">IF(A1789&lt;&gt;"",IF(COUNTIF(A$996:A1790,"&lt;&gt;")=0,COUNTA(B$996:B1789),IFERROR(MATCH(TRUE(),INDEX((A$996:A1790&lt;&gt;""),0),0),COUNTA(B$996:B1789))),"")</f>
        <v/>
      </c>
      <c r="L1789" s="27"/>
    </row>
    <row r="1790" customFormat="false" ht="13.8" hidden="false" customHeight="false" outlineLevel="0" collapsed="false">
      <c r="A1790" s="16"/>
      <c r="B1790" s="16"/>
      <c r="C1790" s="26"/>
      <c r="D1790" s="26"/>
      <c r="E1790" s="16"/>
      <c r="F1790" s="18"/>
      <c r="G1790" s="19" t="str">
        <f aca="true">IF(F1790="", "", DATEDIF(F1790, TODAY(), "Y"))</f>
        <v/>
      </c>
      <c r="H1790" s="18"/>
      <c r="I1790" s="18"/>
      <c r="J1790" s="24" t="str">
        <f aca="true">IF(ISBLANK(H1790), "", I1790-TODAY())</f>
        <v/>
      </c>
      <c r="K1790" s="24" t="str">
        <f aca="false" t="array" ref="K1790:K1790">IF(A1790&lt;&gt;"",IF(COUNTIF(A$996:A1791,"&lt;&gt;")=0,COUNTA(B$996:B1790),IFERROR(MATCH(TRUE(),INDEX((A$996:A1791&lt;&gt;""),0),0),COUNTA(B$996:B1790))),"")</f>
        <v/>
      </c>
      <c r="L1790" s="27"/>
    </row>
    <row r="1791" customFormat="false" ht="13.8" hidden="false" customHeight="false" outlineLevel="0" collapsed="false">
      <c r="A1791" s="16"/>
      <c r="B1791" s="16"/>
      <c r="C1791" s="26"/>
      <c r="D1791" s="26"/>
      <c r="E1791" s="16"/>
      <c r="F1791" s="18"/>
      <c r="G1791" s="19" t="str">
        <f aca="true">IF(F1791="", "", DATEDIF(F1791, TODAY(), "Y"))</f>
        <v/>
      </c>
      <c r="H1791" s="18"/>
      <c r="I1791" s="18"/>
      <c r="J1791" s="24" t="str">
        <f aca="true">IF(ISBLANK(H1791), "", I1791-TODAY())</f>
        <v/>
      </c>
      <c r="K1791" s="24" t="str">
        <f aca="false" t="array" ref="K1791:K1791">IF(A1791&lt;&gt;"",IF(COUNTIF(A$996:A1792,"&lt;&gt;")=0,COUNTA(B$996:B1791),IFERROR(MATCH(TRUE(),INDEX((A$996:A1792&lt;&gt;""),0),0),COUNTA(B$996:B1791))),"")</f>
        <v/>
      </c>
      <c r="L1791" s="27"/>
    </row>
    <row r="1792" customFormat="false" ht="13.8" hidden="false" customHeight="false" outlineLevel="0" collapsed="false">
      <c r="A1792" s="16"/>
      <c r="B1792" s="16"/>
      <c r="C1792" s="26"/>
      <c r="D1792" s="26"/>
      <c r="E1792" s="16"/>
      <c r="F1792" s="18"/>
      <c r="G1792" s="19" t="str">
        <f aca="true">IF(F1792="", "", DATEDIF(F1792, TODAY(), "Y"))</f>
        <v/>
      </c>
      <c r="H1792" s="18"/>
      <c r="I1792" s="18"/>
      <c r="J1792" s="24" t="str">
        <f aca="true">IF(ISBLANK(H1792), "", I1792-TODAY())</f>
        <v/>
      </c>
      <c r="K1792" s="24" t="str">
        <f aca="false" t="array" ref="K1792:K1792">IF(A1792&lt;&gt;"",IF(COUNTIF(A$996:A1793,"&lt;&gt;")=0,COUNTA(B$996:B1792),IFERROR(MATCH(TRUE(),INDEX((A$996:A1793&lt;&gt;""),0),0),COUNTA(B$996:B1792))),"")</f>
        <v/>
      </c>
      <c r="L1792" s="27"/>
    </row>
    <row r="1793" customFormat="false" ht="13.8" hidden="false" customHeight="false" outlineLevel="0" collapsed="false">
      <c r="A1793" s="16"/>
      <c r="B1793" s="16"/>
      <c r="C1793" s="26"/>
      <c r="D1793" s="26"/>
      <c r="E1793" s="16"/>
      <c r="F1793" s="18"/>
      <c r="G1793" s="19" t="str">
        <f aca="true">IF(F1793="", "", DATEDIF(F1793, TODAY(), "Y"))</f>
        <v/>
      </c>
      <c r="H1793" s="18"/>
      <c r="I1793" s="18"/>
      <c r="J1793" s="24" t="str">
        <f aca="true">IF(ISBLANK(H1793), "", I1793-TODAY())</f>
        <v/>
      </c>
      <c r="K1793" s="24" t="str">
        <f aca="false" t="array" ref="K1793:K1793">IF(A1793&lt;&gt;"",IF(COUNTIF(A$996:A1794,"&lt;&gt;")=0,COUNTA(B$996:B1793),IFERROR(MATCH(TRUE(),INDEX((A$996:A1794&lt;&gt;""),0),0),COUNTA(B$996:B1793))),"")</f>
        <v/>
      </c>
      <c r="L1793" s="27"/>
    </row>
    <row r="1794" customFormat="false" ht="13.8" hidden="false" customHeight="false" outlineLevel="0" collapsed="false">
      <c r="A1794" s="16"/>
      <c r="B1794" s="16"/>
      <c r="C1794" s="26"/>
      <c r="D1794" s="26"/>
      <c r="E1794" s="16"/>
      <c r="F1794" s="18"/>
      <c r="G1794" s="19" t="str">
        <f aca="true">IF(F1794="", "", DATEDIF(F1794, TODAY(), "Y"))</f>
        <v/>
      </c>
      <c r="H1794" s="18"/>
      <c r="I1794" s="18"/>
      <c r="J1794" s="24" t="str">
        <f aca="true">IF(ISBLANK(H1794), "", I1794-TODAY())</f>
        <v/>
      </c>
      <c r="K1794" s="24" t="str">
        <f aca="false" t="array" ref="K1794:K1794">IF(A1794&lt;&gt;"",IF(COUNTIF(A$996:A1795,"&lt;&gt;")=0,COUNTA(B$996:B1794),IFERROR(MATCH(TRUE(),INDEX((A$996:A1795&lt;&gt;""),0),0),COUNTA(B$996:B1794))),"")</f>
        <v/>
      </c>
      <c r="L1794" s="27"/>
    </row>
    <row r="1795" customFormat="false" ht="13.8" hidden="false" customHeight="false" outlineLevel="0" collapsed="false">
      <c r="A1795" s="16"/>
      <c r="B1795" s="16"/>
      <c r="C1795" s="26"/>
      <c r="D1795" s="26"/>
      <c r="E1795" s="16"/>
      <c r="F1795" s="18"/>
      <c r="G1795" s="19" t="str">
        <f aca="true">IF(F1795="", "", DATEDIF(F1795, TODAY(), "Y"))</f>
        <v/>
      </c>
      <c r="H1795" s="18"/>
      <c r="I1795" s="18"/>
      <c r="J1795" s="24" t="str">
        <f aca="true">IF(ISBLANK(H1795), "", I1795-TODAY())</f>
        <v/>
      </c>
      <c r="K1795" s="24" t="str">
        <f aca="false" t="array" ref="K1795:K1795">IF(A1795&lt;&gt;"",IF(COUNTIF(A$996:A1796,"&lt;&gt;")=0,COUNTA(B$996:B1795),IFERROR(MATCH(TRUE(),INDEX((A$996:A1796&lt;&gt;""),0),0),COUNTA(B$996:B1795))),"")</f>
        <v/>
      </c>
      <c r="L1795" s="27"/>
    </row>
    <row r="1796" customFormat="false" ht="13.8" hidden="false" customHeight="false" outlineLevel="0" collapsed="false">
      <c r="A1796" s="16"/>
      <c r="B1796" s="16"/>
      <c r="C1796" s="26"/>
      <c r="D1796" s="26"/>
      <c r="E1796" s="16"/>
      <c r="F1796" s="18"/>
      <c r="G1796" s="19" t="str">
        <f aca="true">IF(F1796="", "", DATEDIF(F1796, TODAY(), "Y"))</f>
        <v/>
      </c>
      <c r="H1796" s="18"/>
      <c r="I1796" s="18"/>
      <c r="J1796" s="24" t="str">
        <f aca="true">IF(ISBLANK(H1796), "", I1796-TODAY())</f>
        <v/>
      </c>
      <c r="K1796" s="24" t="str">
        <f aca="false" t="array" ref="K1796:K1796">IF(A1796&lt;&gt;"",IF(COUNTIF(A$996:A1797,"&lt;&gt;")=0,COUNTA(B$996:B1796),IFERROR(MATCH(TRUE(),INDEX((A$996:A1797&lt;&gt;""),0),0),COUNTA(B$996:B1796))),"")</f>
        <v/>
      </c>
      <c r="L1796" s="27"/>
    </row>
    <row r="1797" customFormat="false" ht="13.8" hidden="false" customHeight="false" outlineLevel="0" collapsed="false">
      <c r="A1797" s="16"/>
      <c r="B1797" s="16"/>
      <c r="C1797" s="26"/>
      <c r="D1797" s="26"/>
      <c r="E1797" s="16"/>
      <c r="F1797" s="18"/>
      <c r="G1797" s="19" t="str">
        <f aca="true">IF(F1797="", "", DATEDIF(F1797, TODAY(), "Y"))</f>
        <v/>
      </c>
      <c r="H1797" s="18"/>
      <c r="I1797" s="18"/>
      <c r="J1797" s="24" t="str">
        <f aca="true">IF(ISBLANK(H1797), "", I1797-TODAY())</f>
        <v/>
      </c>
      <c r="K1797" s="24" t="str">
        <f aca="false" t="array" ref="K1797:K1797">IF(A1797&lt;&gt;"",IF(COUNTIF(A$996:A1798,"&lt;&gt;")=0,COUNTA(B$996:B1797),IFERROR(MATCH(TRUE(),INDEX((A$996:A1798&lt;&gt;""),0),0),COUNTA(B$996:B1797))),"")</f>
        <v/>
      </c>
      <c r="L1797" s="27"/>
    </row>
    <row r="1798" customFormat="false" ht="13.8" hidden="false" customHeight="false" outlineLevel="0" collapsed="false">
      <c r="A1798" s="16"/>
      <c r="B1798" s="16"/>
      <c r="C1798" s="26"/>
      <c r="D1798" s="26"/>
      <c r="E1798" s="16"/>
      <c r="F1798" s="18"/>
      <c r="G1798" s="19" t="str">
        <f aca="true">IF(F1798="", "", DATEDIF(F1798, TODAY(), "Y"))</f>
        <v/>
      </c>
      <c r="H1798" s="18"/>
      <c r="I1798" s="18"/>
      <c r="J1798" s="24" t="str">
        <f aca="true">IF(ISBLANK(H1798), "", I1798-TODAY())</f>
        <v/>
      </c>
      <c r="K1798" s="24" t="str">
        <f aca="false" t="array" ref="K1798:K1798">IF(A1798&lt;&gt;"",IF(COUNTIF(A$996:A1799,"&lt;&gt;")=0,COUNTA(B$996:B1798),IFERROR(MATCH(TRUE(),INDEX((A$996:A1799&lt;&gt;""),0),0),COUNTA(B$996:B1798))),"")</f>
        <v/>
      </c>
      <c r="L1798" s="27"/>
    </row>
    <row r="1799" customFormat="false" ht="13.8" hidden="false" customHeight="false" outlineLevel="0" collapsed="false">
      <c r="A1799" s="16"/>
      <c r="B1799" s="16"/>
      <c r="C1799" s="26"/>
      <c r="D1799" s="26"/>
      <c r="E1799" s="16"/>
      <c r="F1799" s="18"/>
      <c r="G1799" s="19" t="str">
        <f aca="true">IF(F1799="", "", DATEDIF(F1799, TODAY(), "Y"))</f>
        <v/>
      </c>
      <c r="H1799" s="18"/>
      <c r="I1799" s="18"/>
      <c r="J1799" s="24" t="str">
        <f aca="true">IF(ISBLANK(H1799), "", I1799-TODAY())</f>
        <v/>
      </c>
      <c r="K1799" s="24" t="str">
        <f aca="false" t="array" ref="K1799:K1799">IF(A1799&lt;&gt;"",IF(COUNTIF(A$996:A1800,"&lt;&gt;")=0,COUNTA(B$996:B1799),IFERROR(MATCH(TRUE(),INDEX((A$996:A1800&lt;&gt;""),0),0),COUNTA(B$996:B1799))),"")</f>
        <v/>
      </c>
      <c r="L1799" s="27"/>
    </row>
    <row r="1800" customFormat="false" ht="13.8" hidden="false" customHeight="false" outlineLevel="0" collapsed="false">
      <c r="A1800" s="16"/>
      <c r="B1800" s="16"/>
      <c r="C1800" s="26"/>
      <c r="D1800" s="26"/>
      <c r="E1800" s="16"/>
      <c r="F1800" s="18"/>
      <c r="G1800" s="19" t="str">
        <f aca="true">IF(F1800="", "", DATEDIF(F1800, TODAY(), "Y"))</f>
        <v/>
      </c>
      <c r="H1800" s="18"/>
      <c r="I1800" s="18"/>
      <c r="J1800" s="24" t="str">
        <f aca="true">IF(ISBLANK(H1800), "", I1800-TODAY())</f>
        <v/>
      </c>
      <c r="K1800" s="24" t="str">
        <f aca="false" t="array" ref="K1800:K1800">IF(A1800&lt;&gt;"",IF(COUNTIF(A$996:A1801,"&lt;&gt;")=0,COUNTA(B$996:B1800),IFERROR(MATCH(TRUE(),INDEX((A$996:A1801&lt;&gt;""),0),0),COUNTA(B$996:B1800))),"")</f>
        <v/>
      </c>
      <c r="L1800" s="27"/>
    </row>
    <row r="1801" customFormat="false" ht="13.8" hidden="false" customHeight="false" outlineLevel="0" collapsed="false">
      <c r="A1801" s="16"/>
      <c r="B1801" s="16"/>
      <c r="C1801" s="26"/>
      <c r="D1801" s="26"/>
      <c r="E1801" s="16"/>
      <c r="F1801" s="18"/>
      <c r="G1801" s="19" t="str">
        <f aca="true">IF(F1801="", "", DATEDIF(F1801, TODAY(), "Y"))</f>
        <v/>
      </c>
      <c r="H1801" s="18"/>
      <c r="I1801" s="18"/>
      <c r="J1801" s="24" t="str">
        <f aca="true">IF(ISBLANK(H1801), "", I1801-TODAY())</f>
        <v/>
      </c>
      <c r="K1801" s="24" t="str">
        <f aca="false" t="array" ref="K1801:K1801">IF(A1801&lt;&gt;"",IF(COUNTIF(A$996:A1802,"&lt;&gt;")=0,COUNTA(B$996:B1801),IFERROR(MATCH(TRUE(),INDEX((A$996:A1802&lt;&gt;""),0),0),COUNTA(B$996:B1801))),"")</f>
        <v/>
      </c>
      <c r="L1801" s="27"/>
    </row>
    <row r="1802" customFormat="false" ht="13.8" hidden="false" customHeight="false" outlineLevel="0" collapsed="false">
      <c r="A1802" s="16"/>
      <c r="B1802" s="16"/>
      <c r="C1802" s="26"/>
      <c r="D1802" s="26"/>
      <c r="E1802" s="16"/>
      <c r="F1802" s="18"/>
      <c r="G1802" s="19" t="str">
        <f aca="true">IF(F1802="", "", DATEDIF(F1802, TODAY(), "Y"))</f>
        <v/>
      </c>
      <c r="H1802" s="18"/>
      <c r="I1802" s="18"/>
      <c r="J1802" s="24" t="str">
        <f aca="true">IF(ISBLANK(H1802), "", I1802-TODAY())</f>
        <v/>
      </c>
      <c r="K1802" s="24" t="str">
        <f aca="false" t="array" ref="K1802:K1802">IF(A1802&lt;&gt;"",IF(COUNTIF(A$996:A1803,"&lt;&gt;")=0,COUNTA(B$996:B1802),IFERROR(MATCH(TRUE(),INDEX((A$996:A1803&lt;&gt;""),0),0),COUNTA(B$996:B1802))),"")</f>
        <v/>
      </c>
      <c r="L1802" s="27"/>
    </row>
    <row r="1803" customFormat="false" ht="13.8" hidden="false" customHeight="false" outlineLevel="0" collapsed="false">
      <c r="A1803" s="16"/>
      <c r="B1803" s="16"/>
      <c r="C1803" s="26"/>
      <c r="D1803" s="26"/>
      <c r="E1803" s="16"/>
      <c r="F1803" s="18"/>
      <c r="G1803" s="19" t="str">
        <f aca="true">IF(F1803="", "", DATEDIF(F1803, TODAY(), "Y"))</f>
        <v/>
      </c>
      <c r="H1803" s="18"/>
      <c r="I1803" s="18"/>
      <c r="J1803" s="24" t="str">
        <f aca="true">IF(ISBLANK(H1803), "", I1803-TODAY())</f>
        <v/>
      </c>
      <c r="K1803" s="24" t="str">
        <f aca="false" t="array" ref="K1803:K1803">IF(A1803&lt;&gt;"",IF(COUNTIF(A$996:A1804,"&lt;&gt;")=0,COUNTA(B$996:B1803),IFERROR(MATCH(TRUE(),INDEX((A$996:A1804&lt;&gt;""),0),0),COUNTA(B$996:B1803))),"")</f>
        <v/>
      </c>
      <c r="L1803" s="27"/>
    </row>
    <row r="1804" customFormat="false" ht="13.8" hidden="false" customHeight="false" outlineLevel="0" collapsed="false">
      <c r="A1804" s="16"/>
      <c r="B1804" s="16"/>
      <c r="C1804" s="26"/>
      <c r="D1804" s="26"/>
      <c r="E1804" s="16"/>
      <c r="F1804" s="18"/>
      <c r="G1804" s="19" t="str">
        <f aca="true">IF(F1804="", "", DATEDIF(F1804, TODAY(), "Y"))</f>
        <v/>
      </c>
      <c r="H1804" s="18"/>
      <c r="I1804" s="18"/>
      <c r="J1804" s="24" t="str">
        <f aca="true">IF(ISBLANK(H1804), "", I1804-TODAY())</f>
        <v/>
      </c>
      <c r="K1804" s="24" t="str">
        <f aca="false" t="array" ref="K1804:K1804">IF(A1804&lt;&gt;"",IF(COUNTIF(A$996:A1805,"&lt;&gt;")=0,COUNTA(B$996:B1804),IFERROR(MATCH(TRUE(),INDEX((A$996:A1805&lt;&gt;""),0),0),COUNTA(B$996:B1804))),"")</f>
        <v/>
      </c>
      <c r="L1804" s="27"/>
    </row>
    <row r="1805" customFormat="false" ht="13.8" hidden="false" customHeight="false" outlineLevel="0" collapsed="false">
      <c r="A1805" s="16"/>
      <c r="B1805" s="16"/>
      <c r="C1805" s="26"/>
      <c r="D1805" s="26"/>
      <c r="E1805" s="16"/>
      <c r="F1805" s="18"/>
      <c r="G1805" s="19" t="str">
        <f aca="true">IF(F1805="", "", DATEDIF(F1805, TODAY(), "Y"))</f>
        <v/>
      </c>
      <c r="H1805" s="18"/>
      <c r="I1805" s="18"/>
      <c r="J1805" s="24" t="str">
        <f aca="true">IF(ISBLANK(H1805), "", I1805-TODAY())</f>
        <v/>
      </c>
      <c r="K1805" s="24" t="str">
        <f aca="false" t="array" ref="K1805:K1805">IF(A1805&lt;&gt;"",IF(COUNTIF(A$996:A1806,"&lt;&gt;")=0,COUNTA(B$996:B1805),IFERROR(MATCH(TRUE(),INDEX((A$996:A1806&lt;&gt;""),0),0),COUNTA(B$996:B1805))),"")</f>
        <v/>
      </c>
      <c r="L1805" s="27"/>
    </row>
    <row r="1806" customFormat="false" ht="13.8" hidden="false" customHeight="false" outlineLevel="0" collapsed="false">
      <c r="A1806" s="16"/>
      <c r="B1806" s="16"/>
      <c r="C1806" s="26"/>
      <c r="D1806" s="26"/>
      <c r="E1806" s="16"/>
      <c r="F1806" s="18"/>
      <c r="G1806" s="19" t="str">
        <f aca="true">IF(F1806="", "", DATEDIF(F1806, TODAY(), "Y"))</f>
        <v/>
      </c>
      <c r="H1806" s="18"/>
      <c r="I1806" s="18"/>
      <c r="J1806" s="24" t="str">
        <f aca="true">IF(ISBLANK(H1806), "", I1806-TODAY())</f>
        <v/>
      </c>
      <c r="K1806" s="24" t="str">
        <f aca="false" t="array" ref="K1806:K1806">IF(A1806&lt;&gt;"",IF(COUNTIF(A$996:A1807,"&lt;&gt;")=0,COUNTA(B$996:B1806),IFERROR(MATCH(TRUE(),INDEX((A$996:A1807&lt;&gt;""),0),0),COUNTA(B$996:B1806))),"")</f>
        <v/>
      </c>
      <c r="L1806" s="27"/>
    </row>
    <row r="1807" customFormat="false" ht="13.8" hidden="false" customHeight="false" outlineLevel="0" collapsed="false">
      <c r="A1807" s="16"/>
      <c r="B1807" s="16"/>
      <c r="C1807" s="26"/>
      <c r="D1807" s="26"/>
      <c r="E1807" s="16"/>
      <c r="F1807" s="18"/>
      <c r="G1807" s="19" t="str">
        <f aca="true">IF(F1807="", "", DATEDIF(F1807, TODAY(), "Y"))</f>
        <v/>
      </c>
      <c r="H1807" s="18"/>
      <c r="I1807" s="18"/>
      <c r="J1807" s="24" t="str">
        <f aca="true">IF(ISBLANK(H1807), "", I1807-TODAY())</f>
        <v/>
      </c>
      <c r="K1807" s="24" t="str">
        <f aca="false" t="array" ref="K1807:K1807">IF(A1807&lt;&gt;"",IF(COUNTIF(A$996:A1808,"&lt;&gt;")=0,COUNTA(B$996:B1807),IFERROR(MATCH(TRUE(),INDEX((A$996:A1808&lt;&gt;""),0),0),COUNTA(B$996:B1807))),"")</f>
        <v/>
      </c>
      <c r="L1807" s="27"/>
    </row>
    <row r="1808" customFormat="false" ht="13.8" hidden="false" customHeight="false" outlineLevel="0" collapsed="false">
      <c r="A1808" s="16"/>
      <c r="B1808" s="16"/>
      <c r="C1808" s="26"/>
      <c r="D1808" s="26"/>
      <c r="E1808" s="16"/>
      <c r="F1808" s="18"/>
      <c r="G1808" s="19" t="str">
        <f aca="true">IF(F1808="", "", DATEDIF(F1808, TODAY(), "Y"))</f>
        <v/>
      </c>
      <c r="H1808" s="18"/>
      <c r="I1808" s="18"/>
      <c r="J1808" s="24" t="str">
        <f aca="true">IF(ISBLANK(H1808), "", I1808-TODAY())</f>
        <v/>
      </c>
      <c r="K1808" s="24" t="str">
        <f aca="false" t="array" ref="K1808:K1808">IF(A1808&lt;&gt;"",IF(COUNTIF(A$996:A1809,"&lt;&gt;")=0,COUNTA(B$996:B1808),IFERROR(MATCH(TRUE(),INDEX((A$996:A1809&lt;&gt;""),0),0),COUNTA(B$996:B1808))),"")</f>
        <v/>
      </c>
      <c r="L1808" s="27"/>
    </row>
    <row r="1809" customFormat="false" ht="13.8" hidden="false" customHeight="false" outlineLevel="0" collapsed="false">
      <c r="A1809" s="16"/>
      <c r="B1809" s="16"/>
      <c r="C1809" s="26"/>
      <c r="D1809" s="26"/>
      <c r="E1809" s="16"/>
      <c r="F1809" s="18"/>
      <c r="G1809" s="19" t="str">
        <f aca="true">IF(F1809="", "", DATEDIF(F1809, TODAY(), "Y"))</f>
        <v/>
      </c>
      <c r="H1809" s="18"/>
      <c r="I1809" s="18"/>
      <c r="J1809" s="24" t="str">
        <f aca="true">IF(ISBLANK(H1809), "", I1809-TODAY())</f>
        <v/>
      </c>
      <c r="K1809" s="24" t="str">
        <f aca="false" t="array" ref="K1809:K1809">IF(A1809&lt;&gt;"",IF(COUNTIF(A$996:A1810,"&lt;&gt;")=0,COUNTA(B$996:B1809),IFERROR(MATCH(TRUE(),INDEX((A$996:A1810&lt;&gt;""),0),0),COUNTA(B$996:B1809))),"")</f>
        <v/>
      </c>
      <c r="L1809" s="27"/>
    </row>
    <row r="1810" customFormat="false" ht="13.8" hidden="false" customHeight="false" outlineLevel="0" collapsed="false">
      <c r="A1810" s="16"/>
      <c r="B1810" s="16"/>
      <c r="C1810" s="26"/>
      <c r="D1810" s="26"/>
      <c r="E1810" s="16"/>
      <c r="F1810" s="18"/>
      <c r="G1810" s="19" t="str">
        <f aca="true">IF(F1810="", "", DATEDIF(F1810, TODAY(), "Y"))</f>
        <v/>
      </c>
      <c r="H1810" s="18"/>
      <c r="I1810" s="18"/>
      <c r="J1810" s="24" t="str">
        <f aca="true">IF(ISBLANK(H1810), "", I1810-TODAY())</f>
        <v/>
      </c>
      <c r="K1810" s="24" t="str">
        <f aca="false" t="array" ref="K1810:K1810">IF(A1810&lt;&gt;"",IF(COUNTIF(A$996:A1811,"&lt;&gt;")=0,COUNTA(B$996:B1810),IFERROR(MATCH(TRUE(),INDEX((A$996:A1811&lt;&gt;""),0),0),COUNTA(B$996:B1810))),"")</f>
        <v/>
      </c>
      <c r="L1810" s="27"/>
    </row>
    <row r="1811" customFormat="false" ht="13.8" hidden="false" customHeight="false" outlineLevel="0" collapsed="false">
      <c r="A1811" s="16"/>
      <c r="B1811" s="16"/>
      <c r="C1811" s="26"/>
      <c r="D1811" s="26"/>
      <c r="E1811" s="16"/>
      <c r="F1811" s="18"/>
      <c r="G1811" s="19" t="str">
        <f aca="true">IF(F1811="", "", DATEDIF(F1811, TODAY(), "Y"))</f>
        <v/>
      </c>
      <c r="H1811" s="18"/>
      <c r="I1811" s="18"/>
      <c r="J1811" s="24" t="str">
        <f aca="true">IF(ISBLANK(H1811), "", I1811-TODAY())</f>
        <v/>
      </c>
      <c r="K1811" s="24" t="str">
        <f aca="false" t="array" ref="K1811:K1811">IF(A1811&lt;&gt;"",IF(COUNTIF(A$996:A1812,"&lt;&gt;")=0,COUNTA(B$996:B1811),IFERROR(MATCH(TRUE(),INDEX((A$996:A1812&lt;&gt;""),0),0),COUNTA(B$996:B1811))),"")</f>
        <v/>
      </c>
      <c r="L1811" s="27"/>
    </row>
    <row r="1812" customFormat="false" ht="13.8" hidden="false" customHeight="false" outlineLevel="0" collapsed="false">
      <c r="A1812" s="16"/>
      <c r="B1812" s="16"/>
      <c r="C1812" s="26"/>
      <c r="D1812" s="26"/>
      <c r="E1812" s="16"/>
      <c r="F1812" s="18"/>
      <c r="G1812" s="19" t="str">
        <f aca="true">IF(F1812="", "", DATEDIF(F1812, TODAY(), "Y"))</f>
        <v/>
      </c>
      <c r="H1812" s="18"/>
      <c r="I1812" s="18"/>
      <c r="J1812" s="24" t="str">
        <f aca="true">IF(ISBLANK(H1812), "", I1812-TODAY())</f>
        <v/>
      </c>
      <c r="K1812" s="24" t="str">
        <f aca="false" t="array" ref="K1812:K1812">IF(A1812&lt;&gt;"",IF(COUNTIF(A$996:A1813,"&lt;&gt;")=0,COUNTA(B$996:B1812),IFERROR(MATCH(TRUE(),INDEX((A$996:A1813&lt;&gt;""),0),0),COUNTA(B$996:B1812))),"")</f>
        <v/>
      </c>
      <c r="L1812" s="27"/>
    </row>
    <row r="1813" customFormat="false" ht="13.8" hidden="false" customHeight="false" outlineLevel="0" collapsed="false">
      <c r="A1813" s="16"/>
      <c r="B1813" s="16"/>
      <c r="C1813" s="26"/>
      <c r="D1813" s="26"/>
      <c r="E1813" s="16"/>
      <c r="F1813" s="18"/>
      <c r="G1813" s="19" t="str">
        <f aca="true">IF(F1813="", "", DATEDIF(F1813, TODAY(), "Y"))</f>
        <v/>
      </c>
      <c r="H1813" s="18"/>
      <c r="I1813" s="18"/>
      <c r="J1813" s="24" t="str">
        <f aca="true">IF(ISBLANK(H1813), "", I1813-TODAY())</f>
        <v/>
      </c>
      <c r="K1813" s="24" t="str">
        <f aca="false" t="array" ref="K1813:K1813">IF(A1813&lt;&gt;"",IF(COUNTIF(A$996:A1814,"&lt;&gt;")=0,COUNTA(B$996:B1813),IFERROR(MATCH(TRUE(),INDEX((A$996:A1814&lt;&gt;""),0),0),COUNTA(B$996:B1813))),"")</f>
        <v/>
      </c>
      <c r="L1813" s="27"/>
    </row>
    <row r="1814" customFormat="false" ht="13.8" hidden="false" customHeight="false" outlineLevel="0" collapsed="false">
      <c r="A1814" s="16"/>
      <c r="B1814" s="16"/>
      <c r="C1814" s="26"/>
      <c r="D1814" s="26"/>
      <c r="E1814" s="16"/>
      <c r="F1814" s="18"/>
      <c r="G1814" s="19" t="str">
        <f aca="true">IF(F1814="", "", DATEDIF(F1814, TODAY(), "Y"))</f>
        <v/>
      </c>
      <c r="H1814" s="18"/>
      <c r="I1814" s="18"/>
      <c r="J1814" s="24" t="str">
        <f aca="true">IF(ISBLANK(H1814), "", I1814-TODAY())</f>
        <v/>
      </c>
      <c r="K1814" s="24" t="str">
        <f aca="false" t="array" ref="K1814:K1814">IF(A1814&lt;&gt;"",IF(COUNTIF(A$996:A1815,"&lt;&gt;")=0,COUNTA(B$996:B1814),IFERROR(MATCH(TRUE(),INDEX((A$996:A1815&lt;&gt;""),0),0),COUNTA(B$996:B1814))),"")</f>
        <v/>
      </c>
      <c r="L1814" s="27"/>
    </row>
    <row r="1815" customFormat="false" ht="13.8" hidden="false" customHeight="false" outlineLevel="0" collapsed="false">
      <c r="A1815" s="16"/>
      <c r="B1815" s="16"/>
      <c r="C1815" s="26"/>
      <c r="D1815" s="26"/>
      <c r="E1815" s="16"/>
      <c r="F1815" s="18"/>
      <c r="G1815" s="19" t="str">
        <f aca="true">IF(F1815="", "", DATEDIF(F1815, TODAY(), "Y"))</f>
        <v/>
      </c>
      <c r="H1815" s="18"/>
      <c r="I1815" s="18"/>
      <c r="J1815" s="24" t="str">
        <f aca="true">IF(ISBLANK(H1815), "", I1815-TODAY())</f>
        <v/>
      </c>
      <c r="K1815" s="24" t="str">
        <f aca="false" t="array" ref="K1815:K1815">IF(A1815&lt;&gt;"",IF(COUNTIF(A$996:A1816,"&lt;&gt;")=0,COUNTA(B$996:B1815),IFERROR(MATCH(TRUE(),INDEX((A$996:A1816&lt;&gt;""),0),0),COUNTA(B$996:B1815))),"")</f>
        <v/>
      </c>
      <c r="L1815" s="27"/>
    </row>
    <row r="1816" customFormat="false" ht="13.8" hidden="false" customHeight="false" outlineLevel="0" collapsed="false">
      <c r="A1816" s="16"/>
      <c r="B1816" s="16"/>
      <c r="C1816" s="26"/>
      <c r="D1816" s="26"/>
      <c r="E1816" s="16"/>
      <c r="F1816" s="18"/>
      <c r="G1816" s="19" t="str">
        <f aca="true">IF(F1816="", "", DATEDIF(F1816, TODAY(), "Y"))</f>
        <v/>
      </c>
      <c r="H1816" s="18"/>
      <c r="I1816" s="18"/>
      <c r="J1816" s="24" t="str">
        <f aca="true">IF(ISBLANK(H1816), "", I1816-TODAY())</f>
        <v/>
      </c>
      <c r="K1816" s="24" t="str">
        <f aca="false" t="array" ref="K1816:K1816">IF(A1816&lt;&gt;"",IF(COUNTIF(A$996:A1817,"&lt;&gt;")=0,COUNTA(B$996:B1816),IFERROR(MATCH(TRUE(),INDEX((A$996:A1817&lt;&gt;""),0),0),COUNTA(B$996:B1816))),"")</f>
        <v/>
      </c>
      <c r="L1816" s="27"/>
    </row>
    <row r="1817" customFormat="false" ht="13.8" hidden="false" customHeight="false" outlineLevel="0" collapsed="false">
      <c r="A1817" s="16"/>
      <c r="B1817" s="16"/>
      <c r="C1817" s="26"/>
      <c r="D1817" s="26"/>
      <c r="E1817" s="16"/>
      <c r="F1817" s="18"/>
      <c r="G1817" s="19" t="str">
        <f aca="true">IF(F1817="", "", DATEDIF(F1817, TODAY(), "Y"))</f>
        <v/>
      </c>
      <c r="H1817" s="18"/>
      <c r="I1817" s="18"/>
      <c r="J1817" s="24" t="str">
        <f aca="true">IF(ISBLANK(H1817), "", I1817-TODAY())</f>
        <v/>
      </c>
      <c r="K1817" s="24" t="str">
        <f aca="false" t="array" ref="K1817:K1817">IF(A1817&lt;&gt;"",IF(COUNTIF(A$996:A1818,"&lt;&gt;")=0,COUNTA(B$996:B1817),IFERROR(MATCH(TRUE(),INDEX((A$996:A1818&lt;&gt;""),0),0),COUNTA(B$996:B1817))),"")</f>
        <v/>
      </c>
      <c r="L1817" s="27"/>
    </row>
    <row r="1818" customFormat="false" ht="13.8" hidden="false" customHeight="false" outlineLevel="0" collapsed="false">
      <c r="A1818" s="16"/>
      <c r="B1818" s="16"/>
      <c r="C1818" s="26"/>
      <c r="D1818" s="26"/>
      <c r="E1818" s="16"/>
      <c r="F1818" s="18"/>
      <c r="G1818" s="19" t="str">
        <f aca="true">IF(F1818="", "", DATEDIF(F1818, TODAY(), "Y"))</f>
        <v/>
      </c>
      <c r="H1818" s="18"/>
      <c r="I1818" s="18"/>
      <c r="J1818" s="24" t="str">
        <f aca="true">IF(ISBLANK(H1818), "", I1818-TODAY())</f>
        <v/>
      </c>
      <c r="K1818" s="24" t="str">
        <f aca="false" t="array" ref="K1818:K1818">IF(A1818&lt;&gt;"",IF(COUNTIF(A$996:A1819,"&lt;&gt;")=0,COUNTA(B$996:B1818),IFERROR(MATCH(TRUE(),INDEX((A$996:A1819&lt;&gt;""),0),0),COUNTA(B$996:B1818))),"")</f>
        <v/>
      </c>
      <c r="L1818" s="27"/>
    </row>
    <row r="1819" customFormat="false" ht="13.8" hidden="false" customHeight="false" outlineLevel="0" collapsed="false">
      <c r="A1819" s="16"/>
      <c r="B1819" s="16"/>
      <c r="C1819" s="26"/>
      <c r="D1819" s="26"/>
      <c r="E1819" s="16"/>
      <c r="F1819" s="18"/>
      <c r="G1819" s="19" t="str">
        <f aca="true">IF(F1819="", "", DATEDIF(F1819, TODAY(), "Y"))</f>
        <v/>
      </c>
      <c r="H1819" s="18"/>
      <c r="I1819" s="18"/>
      <c r="J1819" s="24" t="str">
        <f aca="true">IF(ISBLANK(H1819), "", I1819-TODAY())</f>
        <v/>
      </c>
      <c r="K1819" s="24" t="str">
        <f aca="false" t="array" ref="K1819:K1819">IF(A1819&lt;&gt;"",IF(COUNTIF(A$996:A1820,"&lt;&gt;")=0,COUNTA(B$996:B1819),IFERROR(MATCH(TRUE(),INDEX((A$996:A1820&lt;&gt;""),0),0),COUNTA(B$996:B1819))),"")</f>
        <v/>
      </c>
      <c r="L1819" s="27"/>
    </row>
    <row r="1820" customFormat="false" ht="13.8" hidden="false" customHeight="false" outlineLevel="0" collapsed="false">
      <c r="A1820" s="16"/>
      <c r="B1820" s="16"/>
      <c r="C1820" s="26"/>
      <c r="D1820" s="26"/>
      <c r="E1820" s="16"/>
      <c r="F1820" s="18"/>
      <c r="G1820" s="19" t="str">
        <f aca="true">IF(F1820="", "", DATEDIF(F1820, TODAY(), "Y"))</f>
        <v/>
      </c>
      <c r="H1820" s="18"/>
      <c r="I1820" s="18"/>
      <c r="J1820" s="24" t="str">
        <f aca="true">IF(ISBLANK(H1820), "", I1820-TODAY())</f>
        <v/>
      </c>
      <c r="K1820" s="24" t="str">
        <f aca="false" t="array" ref="K1820:K1820">IF(A1820&lt;&gt;"",IF(COUNTIF(A$996:A1821,"&lt;&gt;")=0,COUNTA(B$996:B1820),IFERROR(MATCH(TRUE(),INDEX((A$996:A1821&lt;&gt;""),0),0),COUNTA(B$996:B1820))),"")</f>
        <v/>
      </c>
      <c r="L1820" s="27"/>
    </row>
    <row r="1821" customFormat="false" ht="13.8" hidden="false" customHeight="false" outlineLevel="0" collapsed="false">
      <c r="A1821" s="16"/>
      <c r="B1821" s="16"/>
      <c r="C1821" s="26"/>
      <c r="D1821" s="26"/>
      <c r="E1821" s="16"/>
      <c r="F1821" s="18"/>
      <c r="G1821" s="19" t="str">
        <f aca="true">IF(F1821="", "", DATEDIF(F1821, TODAY(), "Y"))</f>
        <v/>
      </c>
      <c r="H1821" s="18"/>
      <c r="I1821" s="18"/>
      <c r="J1821" s="24" t="str">
        <f aca="true">IF(ISBLANK(H1821), "", I1821-TODAY())</f>
        <v/>
      </c>
      <c r="K1821" s="24" t="str">
        <f aca="false" t="array" ref="K1821:K1821">IF(A1821&lt;&gt;"",IF(COUNTIF(A$996:A1822,"&lt;&gt;")=0,COUNTA(B$996:B1821),IFERROR(MATCH(TRUE(),INDEX((A$996:A1822&lt;&gt;""),0),0),COUNTA(B$996:B1821))),"")</f>
        <v/>
      </c>
      <c r="L1821" s="27"/>
    </row>
    <row r="1822" customFormat="false" ht="13.8" hidden="false" customHeight="false" outlineLevel="0" collapsed="false">
      <c r="A1822" s="16"/>
      <c r="B1822" s="16"/>
      <c r="C1822" s="26"/>
      <c r="D1822" s="26"/>
      <c r="E1822" s="16"/>
      <c r="F1822" s="18"/>
      <c r="G1822" s="19" t="str">
        <f aca="true">IF(F1822="", "", DATEDIF(F1822, TODAY(), "Y"))</f>
        <v/>
      </c>
      <c r="H1822" s="18"/>
      <c r="I1822" s="18"/>
      <c r="J1822" s="24" t="str">
        <f aca="true">IF(ISBLANK(H1822), "", I1822-TODAY())</f>
        <v/>
      </c>
      <c r="K1822" s="24" t="str">
        <f aca="false" t="array" ref="K1822:K1822">IF(A1822&lt;&gt;"",IF(COUNTIF(A$996:A1823,"&lt;&gt;")=0,COUNTA(B$996:B1822),IFERROR(MATCH(TRUE(),INDEX((A$996:A1823&lt;&gt;""),0),0),COUNTA(B$996:B1822))),"")</f>
        <v/>
      </c>
      <c r="L1822" s="27"/>
    </row>
    <row r="1823" customFormat="false" ht="13.8" hidden="false" customHeight="false" outlineLevel="0" collapsed="false">
      <c r="A1823" s="16"/>
      <c r="B1823" s="16"/>
      <c r="C1823" s="26"/>
      <c r="D1823" s="26"/>
      <c r="E1823" s="16"/>
      <c r="F1823" s="18"/>
      <c r="G1823" s="19" t="str">
        <f aca="true">IF(F1823="", "", DATEDIF(F1823, TODAY(), "Y"))</f>
        <v/>
      </c>
      <c r="H1823" s="18"/>
      <c r="I1823" s="18"/>
      <c r="J1823" s="24" t="str">
        <f aca="true">IF(ISBLANK(H1823), "", I1823-TODAY())</f>
        <v/>
      </c>
      <c r="K1823" s="24" t="str">
        <f aca="false" t="array" ref="K1823:K1823">IF(A1823&lt;&gt;"",IF(COUNTIF(A$996:A1824,"&lt;&gt;")=0,COUNTA(B$996:B1823),IFERROR(MATCH(TRUE(),INDEX((A$996:A1824&lt;&gt;""),0),0),COUNTA(B$996:B1823))),"")</f>
        <v/>
      </c>
      <c r="L1823" s="27"/>
    </row>
    <row r="1824" customFormat="false" ht="13.8" hidden="false" customHeight="false" outlineLevel="0" collapsed="false">
      <c r="A1824" s="16"/>
      <c r="B1824" s="16"/>
      <c r="C1824" s="26"/>
      <c r="D1824" s="26"/>
      <c r="E1824" s="16"/>
      <c r="F1824" s="18"/>
      <c r="G1824" s="19" t="str">
        <f aca="true">IF(F1824="", "", DATEDIF(F1824, TODAY(), "Y"))</f>
        <v/>
      </c>
      <c r="H1824" s="18"/>
      <c r="I1824" s="18"/>
      <c r="J1824" s="24" t="str">
        <f aca="true">IF(ISBLANK(H1824), "", I1824-TODAY())</f>
        <v/>
      </c>
      <c r="K1824" s="24" t="str">
        <f aca="false" t="array" ref="K1824:K1824">IF(A1824&lt;&gt;"",IF(COUNTIF(A$996:A1825,"&lt;&gt;")=0,COUNTA(B$996:B1824),IFERROR(MATCH(TRUE(),INDEX((A$996:A1825&lt;&gt;""),0),0),COUNTA(B$996:B1824))),"")</f>
        <v/>
      </c>
      <c r="L1824" s="27"/>
    </row>
    <row r="1825" customFormat="false" ht="13.8" hidden="false" customHeight="false" outlineLevel="0" collapsed="false">
      <c r="A1825" s="16"/>
      <c r="B1825" s="16"/>
      <c r="C1825" s="26"/>
      <c r="D1825" s="26"/>
      <c r="E1825" s="16"/>
      <c r="F1825" s="18"/>
      <c r="G1825" s="19" t="str">
        <f aca="true">IF(F1825="", "", DATEDIF(F1825, TODAY(), "Y"))</f>
        <v/>
      </c>
      <c r="H1825" s="18"/>
      <c r="I1825" s="18"/>
      <c r="J1825" s="24" t="str">
        <f aca="true">IF(ISBLANK(H1825), "", I1825-TODAY())</f>
        <v/>
      </c>
      <c r="K1825" s="24" t="str">
        <f aca="false" t="array" ref="K1825:K1825">IF(A1825&lt;&gt;"",IF(COUNTIF(A$996:A1826,"&lt;&gt;")=0,COUNTA(B$996:B1825),IFERROR(MATCH(TRUE(),INDEX((A$996:A1826&lt;&gt;""),0),0),COUNTA(B$996:B1825))),"")</f>
        <v/>
      </c>
      <c r="L1825" s="27"/>
    </row>
    <row r="1826" customFormat="false" ht="13.8" hidden="false" customHeight="false" outlineLevel="0" collapsed="false">
      <c r="A1826" s="16"/>
      <c r="B1826" s="16"/>
      <c r="C1826" s="26"/>
      <c r="D1826" s="26"/>
      <c r="E1826" s="16"/>
      <c r="F1826" s="18"/>
      <c r="G1826" s="19" t="str">
        <f aca="true">IF(F1826="", "", DATEDIF(F1826, TODAY(), "Y"))</f>
        <v/>
      </c>
      <c r="H1826" s="18"/>
      <c r="I1826" s="18"/>
      <c r="J1826" s="24" t="str">
        <f aca="true">IF(ISBLANK(H1826), "", I1826-TODAY())</f>
        <v/>
      </c>
      <c r="K1826" s="24" t="str">
        <f aca="false" t="array" ref="K1826:K1826">IF(A1826&lt;&gt;"",IF(COUNTIF(A$996:A1827,"&lt;&gt;")=0,COUNTA(B$996:B1826),IFERROR(MATCH(TRUE(),INDEX((A$996:A1827&lt;&gt;""),0),0),COUNTA(B$996:B1826))),"")</f>
        <v/>
      </c>
      <c r="L1826" s="27"/>
    </row>
    <row r="1827" customFormat="false" ht="13.8" hidden="false" customHeight="false" outlineLevel="0" collapsed="false">
      <c r="A1827" s="16"/>
      <c r="B1827" s="16"/>
      <c r="C1827" s="26"/>
      <c r="D1827" s="26"/>
      <c r="E1827" s="16"/>
      <c r="F1827" s="18"/>
      <c r="G1827" s="19" t="str">
        <f aca="true">IF(F1827="", "", DATEDIF(F1827, TODAY(), "Y"))</f>
        <v/>
      </c>
      <c r="H1827" s="18"/>
      <c r="I1827" s="18"/>
      <c r="J1827" s="24" t="str">
        <f aca="true">IF(ISBLANK(H1827), "", I1827-TODAY())</f>
        <v/>
      </c>
      <c r="K1827" s="24" t="str">
        <f aca="false" t="array" ref="K1827:K1827">IF(A1827&lt;&gt;"",IF(COUNTIF(A$996:A1828,"&lt;&gt;")=0,COUNTA(B$996:B1827),IFERROR(MATCH(TRUE(),INDEX((A$996:A1828&lt;&gt;""),0),0),COUNTA(B$996:B1827))),"")</f>
        <v/>
      </c>
      <c r="L1827" s="27"/>
    </row>
    <row r="1828" customFormat="false" ht="13.8" hidden="false" customHeight="false" outlineLevel="0" collapsed="false">
      <c r="A1828" s="16"/>
      <c r="B1828" s="16"/>
      <c r="C1828" s="26"/>
      <c r="D1828" s="26"/>
      <c r="E1828" s="16"/>
      <c r="F1828" s="18"/>
      <c r="G1828" s="19" t="str">
        <f aca="true">IF(F1828="", "", DATEDIF(F1828, TODAY(), "Y"))</f>
        <v/>
      </c>
      <c r="H1828" s="18"/>
      <c r="I1828" s="18"/>
      <c r="J1828" s="24" t="str">
        <f aca="true">IF(ISBLANK(H1828), "", I1828-TODAY())</f>
        <v/>
      </c>
      <c r="K1828" s="24" t="str">
        <f aca="false" t="array" ref="K1828:K1828">IF(A1828&lt;&gt;"",IF(COUNTIF(A$996:A1829,"&lt;&gt;")=0,COUNTA(B$996:B1828),IFERROR(MATCH(TRUE(),INDEX((A$996:A1829&lt;&gt;""),0),0),COUNTA(B$996:B1828))),"")</f>
        <v/>
      </c>
      <c r="L1828" s="27"/>
    </row>
    <row r="1829" customFormat="false" ht="13.8" hidden="false" customHeight="false" outlineLevel="0" collapsed="false">
      <c r="A1829" s="16"/>
      <c r="B1829" s="16"/>
      <c r="C1829" s="26"/>
      <c r="D1829" s="26"/>
      <c r="E1829" s="16"/>
      <c r="F1829" s="18"/>
      <c r="G1829" s="19" t="str">
        <f aca="true">IF(F1829="", "", DATEDIF(F1829, TODAY(), "Y"))</f>
        <v/>
      </c>
      <c r="H1829" s="18"/>
      <c r="I1829" s="18"/>
      <c r="J1829" s="24" t="str">
        <f aca="true">IF(ISBLANK(H1829), "", I1829-TODAY())</f>
        <v/>
      </c>
      <c r="K1829" s="24" t="str">
        <f aca="false" t="array" ref="K1829:K1829">IF(A1829&lt;&gt;"",IF(COUNTIF(A$996:A1830,"&lt;&gt;")=0,COUNTA(B$996:B1829),IFERROR(MATCH(TRUE(),INDEX((A$996:A1830&lt;&gt;""),0),0),COUNTA(B$996:B1829))),"")</f>
        <v/>
      </c>
      <c r="L1829" s="27"/>
    </row>
    <row r="1830" customFormat="false" ht="13.8" hidden="false" customHeight="false" outlineLevel="0" collapsed="false">
      <c r="A1830" s="16"/>
      <c r="B1830" s="16"/>
      <c r="C1830" s="26"/>
      <c r="D1830" s="26"/>
      <c r="E1830" s="16"/>
      <c r="F1830" s="18"/>
      <c r="G1830" s="19" t="str">
        <f aca="true">IF(F1830="", "", DATEDIF(F1830, TODAY(), "Y"))</f>
        <v/>
      </c>
      <c r="H1830" s="18"/>
      <c r="I1830" s="18"/>
      <c r="J1830" s="24" t="str">
        <f aca="true">IF(ISBLANK(H1830), "", I1830-TODAY())</f>
        <v/>
      </c>
      <c r="K1830" s="24" t="str">
        <f aca="false" t="array" ref="K1830:K1830">IF(A1830&lt;&gt;"",IF(COUNTIF(A$996:A1831,"&lt;&gt;")=0,COUNTA(B$996:B1830),IFERROR(MATCH(TRUE(),INDEX((A$996:A1831&lt;&gt;""),0),0),COUNTA(B$996:B1830))),"")</f>
        <v/>
      </c>
      <c r="L1830" s="27"/>
    </row>
    <row r="1831" customFormat="false" ht="13.8" hidden="false" customHeight="false" outlineLevel="0" collapsed="false">
      <c r="A1831" s="16"/>
      <c r="B1831" s="16"/>
      <c r="C1831" s="26"/>
      <c r="D1831" s="26"/>
      <c r="E1831" s="16"/>
      <c r="F1831" s="18"/>
      <c r="G1831" s="19" t="str">
        <f aca="true">IF(F1831="", "", DATEDIF(F1831, TODAY(), "Y"))</f>
        <v/>
      </c>
      <c r="H1831" s="18"/>
      <c r="I1831" s="18"/>
      <c r="J1831" s="24" t="str">
        <f aca="true">IF(ISBLANK(H1831), "", I1831-TODAY())</f>
        <v/>
      </c>
      <c r="K1831" s="24" t="str">
        <f aca="false" t="array" ref="K1831:K1831">IF(A1831&lt;&gt;"",IF(COUNTIF(A$996:A1832,"&lt;&gt;")=0,COUNTA(B$996:B1831),IFERROR(MATCH(TRUE(),INDEX((A$996:A1832&lt;&gt;""),0),0),COUNTA(B$996:B1831))),"")</f>
        <v/>
      </c>
      <c r="L1831" s="27"/>
    </row>
    <row r="1832" customFormat="false" ht="13.8" hidden="false" customHeight="false" outlineLevel="0" collapsed="false">
      <c r="A1832" s="16"/>
      <c r="B1832" s="16"/>
      <c r="C1832" s="26"/>
      <c r="D1832" s="26"/>
      <c r="E1832" s="16"/>
      <c r="F1832" s="18"/>
      <c r="G1832" s="19" t="str">
        <f aca="true">IF(F1832="", "", DATEDIF(F1832, TODAY(), "Y"))</f>
        <v/>
      </c>
      <c r="H1832" s="18"/>
      <c r="I1832" s="18"/>
      <c r="J1832" s="24" t="str">
        <f aca="true">IF(ISBLANK(H1832), "", I1832-TODAY())</f>
        <v/>
      </c>
      <c r="K1832" s="24" t="str">
        <f aca="false" t="array" ref="K1832:K1832">IF(A1832&lt;&gt;"",IF(COUNTIF(A$996:A1833,"&lt;&gt;")=0,COUNTA(B$996:B1832),IFERROR(MATCH(TRUE(),INDEX((A$996:A1833&lt;&gt;""),0),0),COUNTA(B$996:B1832))),"")</f>
        <v/>
      </c>
      <c r="L1832" s="27"/>
    </row>
    <row r="1833" customFormat="false" ht="13.8" hidden="false" customHeight="false" outlineLevel="0" collapsed="false">
      <c r="A1833" s="16"/>
      <c r="B1833" s="16"/>
      <c r="C1833" s="26"/>
      <c r="D1833" s="26"/>
      <c r="E1833" s="16"/>
      <c r="F1833" s="18"/>
      <c r="G1833" s="19" t="str">
        <f aca="true">IF(F1833="", "", DATEDIF(F1833, TODAY(), "Y"))</f>
        <v/>
      </c>
      <c r="H1833" s="18"/>
      <c r="I1833" s="18"/>
      <c r="J1833" s="24" t="str">
        <f aca="true">IF(ISBLANK(H1833), "", I1833-TODAY())</f>
        <v/>
      </c>
      <c r="K1833" s="24" t="str">
        <f aca="false" t="array" ref="K1833:K1833">IF(A1833&lt;&gt;"",IF(COUNTIF(A$996:A1834,"&lt;&gt;")=0,COUNTA(B$996:B1833),IFERROR(MATCH(TRUE(),INDEX((A$996:A1834&lt;&gt;""),0),0),COUNTA(B$996:B1833))),"")</f>
        <v/>
      </c>
      <c r="L1833" s="27"/>
    </row>
    <row r="1834" customFormat="false" ht="13.8" hidden="false" customHeight="false" outlineLevel="0" collapsed="false">
      <c r="A1834" s="16"/>
      <c r="B1834" s="16"/>
      <c r="C1834" s="26"/>
      <c r="D1834" s="26"/>
      <c r="E1834" s="16"/>
      <c r="F1834" s="18"/>
      <c r="G1834" s="19" t="str">
        <f aca="true">IF(F1834="", "", DATEDIF(F1834, TODAY(), "Y"))</f>
        <v/>
      </c>
      <c r="H1834" s="18"/>
      <c r="I1834" s="18"/>
      <c r="J1834" s="24" t="str">
        <f aca="true">IF(ISBLANK(H1834), "", I1834-TODAY())</f>
        <v/>
      </c>
      <c r="K1834" s="24" t="str">
        <f aca="false" t="array" ref="K1834:K1834">IF(A1834&lt;&gt;"",IF(COUNTIF(A$996:A1835,"&lt;&gt;")=0,COUNTA(B$996:B1834),IFERROR(MATCH(TRUE(),INDEX((A$996:A1835&lt;&gt;""),0),0),COUNTA(B$996:B1834))),"")</f>
        <v/>
      </c>
      <c r="L1834" s="27"/>
    </row>
    <row r="1835" customFormat="false" ht="13.8" hidden="false" customHeight="false" outlineLevel="0" collapsed="false">
      <c r="A1835" s="16"/>
      <c r="B1835" s="16"/>
      <c r="C1835" s="26"/>
      <c r="D1835" s="26"/>
      <c r="E1835" s="16"/>
      <c r="F1835" s="18"/>
      <c r="G1835" s="19" t="str">
        <f aca="true">IF(F1835="", "", DATEDIF(F1835, TODAY(), "Y"))</f>
        <v/>
      </c>
      <c r="H1835" s="18"/>
      <c r="I1835" s="18"/>
      <c r="J1835" s="24" t="str">
        <f aca="true">IF(ISBLANK(H1835), "", I1835-TODAY())</f>
        <v/>
      </c>
      <c r="K1835" s="24" t="str">
        <f aca="false" t="array" ref="K1835:K1835">IF(A1835&lt;&gt;"",IF(COUNTIF(A$996:A1836,"&lt;&gt;")=0,COUNTA(B$996:B1835),IFERROR(MATCH(TRUE(),INDEX((A$996:A1836&lt;&gt;""),0),0),COUNTA(B$996:B1835))),"")</f>
        <v/>
      </c>
      <c r="L1835" s="27"/>
    </row>
    <row r="1836" customFormat="false" ht="13.8" hidden="false" customHeight="false" outlineLevel="0" collapsed="false">
      <c r="A1836" s="16"/>
      <c r="B1836" s="16"/>
      <c r="C1836" s="26"/>
      <c r="D1836" s="26"/>
      <c r="E1836" s="16"/>
      <c r="F1836" s="18"/>
      <c r="G1836" s="19" t="str">
        <f aca="true">IF(F1836="", "", DATEDIF(F1836, TODAY(), "Y"))</f>
        <v/>
      </c>
      <c r="H1836" s="18"/>
      <c r="I1836" s="18"/>
      <c r="J1836" s="24" t="str">
        <f aca="true">IF(ISBLANK(H1836), "", I1836-TODAY())</f>
        <v/>
      </c>
      <c r="K1836" s="24" t="str">
        <f aca="false" t="array" ref="K1836:K1836">IF(A1836&lt;&gt;"",IF(COUNTIF(A$996:A1837,"&lt;&gt;")=0,COUNTA(B$996:B1836),IFERROR(MATCH(TRUE(),INDEX((A$996:A1837&lt;&gt;""),0),0),COUNTA(B$996:B1836))),"")</f>
        <v/>
      </c>
      <c r="L1836" s="27"/>
    </row>
    <row r="1837" customFormat="false" ht="13.8" hidden="false" customHeight="false" outlineLevel="0" collapsed="false">
      <c r="A1837" s="16"/>
      <c r="B1837" s="16"/>
      <c r="C1837" s="26"/>
      <c r="D1837" s="26"/>
      <c r="E1837" s="16"/>
      <c r="F1837" s="18"/>
      <c r="G1837" s="19" t="str">
        <f aca="true">IF(F1837="", "", DATEDIF(F1837, TODAY(), "Y"))</f>
        <v/>
      </c>
      <c r="H1837" s="18"/>
      <c r="I1837" s="18"/>
      <c r="J1837" s="24" t="str">
        <f aca="true">IF(ISBLANK(H1837), "", I1837-TODAY())</f>
        <v/>
      </c>
      <c r="K1837" s="24" t="str">
        <f aca="false" t="array" ref="K1837:K1837">IF(A1837&lt;&gt;"",IF(COUNTIF(A$996:A1838,"&lt;&gt;")=0,COUNTA(B$996:B1837),IFERROR(MATCH(TRUE(),INDEX((A$996:A1838&lt;&gt;""),0),0),COUNTA(B$996:B1837))),"")</f>
        <v/>
      </c>
      <c r="L1837" s="27"/>
    </row>
    <row r="1838" customFormat="false" ht="13.8" hidden="false" customHeight="false" outlineLevel="0" collapsed="false">
      <c r="A1838" s="16"/>
      <c r="B1838" s="16"/>
      <c r="C1838" s="26"/>
      <c r="D1838" s="26"/>
      <c r="E1838" s="16"/>
      <c r="F1838" s="18"/>
      <c r="G1838" s="19" t="str">
        <f aca="true">IF(F1838="", "", DATEDIF(F1838, TODAY(), "Y"))</f>
        <v/>
      </c>
      <c r="H1838" s="18"/>
      <c r="I1838" s="18"/>
      <c r="J1838" s="24" t="str">
        <f aca="true">IF(ISBLANK(H1838), "", I1838-TODAY())</f>
        <v/>
      </c>
      <c r="K1838" s="24" t="str">
        <f aca="false" t="array" ref="K1838:K1838">IF(A1838&lt;&gt;"",IF(COUNTIF(A$996:A1839,"&lt;&gt;")=0,COUNTA(B$996:B1838),IFERROR(MATCH(TRUE(),INDEX((A$996:A1839&lt;&gt;""),0),0),COUNTA(B$996:B1838))),"")</f>
        <v/>
      </c>
      <c r="L1838" s="27"/>
    </row>
    <row r="1839" customFormat="false" ht="13.8" hidden="false" customHeight="false" outlineLevel="0" collapsed="false">
      <c r="A1839" s="16"/>
      <c r="B1839" s="16"/>
      <c r="C1839" s="26"/>
      <c r="D1839" s="26"/>
      <c r="E1839" s="16"/>
      <c r="F1839" s="18"/>
      <c r="G1839" s="19" t="str">
        <f aca="true">IF(F1839="", "", DATEDIF(F1839, TODAY(), "Y"))</f>
        <v/>
      </c>
      <c r="H1839" s="18"/>
      <c r="I1839" s="18"/>
      <c r="J1839" s="24" t="str">
        <f aca="true">IF(ISBLANK(H1839), "", I1839-TODAY())</f>
        <v/>
      </c>
      <c r="K1839" s="24" t="str">
        <f aca="false" t="array" ref="K1839:K1839">IF(A1839&lt;&gt;"",IF(COUNTIF(A$996:A1840,"&lt;&gt;")=0,COUNTA(B$996:B1839),IFERROR(MATCH(TRUE(),INDEX((A$996:A1840&lt;&gt;""),0),0),COUNTA(B$996:B1839))),"")</f>
        <v/>
      </c>
      <c r="L1839" s="27"/>
    </row>
    <row r="1840" customFormat="false" ht="13.8" hidden="false" customHeight="false" outlineLevel="0" collapsed="false">
      <c r="A1840" s="16"/>
      <c r="B1840" s="16"/>
      <c r="C1840" s="26"/>
      <c r="D1840" s="26"/>
      <c r="E1840" s="16"/>
      <c r="F1840" s="18"/>
      <c r="G1840" s="19" t="str">
        <f aca="true">IF(F1840="", "", DATEDIF(F1840, TODAY(), "Y"))</f>
        <v/>
      </c>
      <c r="H1840" s="18"/>
      <c r="I1840" s="18"/>
      <c r="J1840" s="24" t="str">
        <f aca="true">IF(ISBLANK(H1840), "", I1840-TODAY())</f>
        <v/>
      </c>
      <c r="K1840" s="24" t="str">
        <f aca="false" t="array" ref="K1840:K1840">IF(A1840&lt;&gt;"",IF(COUNTIF(A$996:A1841,"&lt;&gt;")=0,COUNTA(B$996:B1840),IFERROR(MATCH(TRUE(),INDEX((A$996:A1841&lt;&gt;""),0),0),COUNTA(B$996:B1840))),"")</f>
        <v/>
      </c>
      <c r="L1840" s="27"/>
    </row>
    <row r="1841" customFormat="false" ht="13.8" hidden="false" customHeight="false" outlineLevel="0" collapsed="false">
      <c r="A1841" s="16"/>
      <c r="B1841" s="16"/>
      <c r="C1841" s="26"/>
      <c r="D1841" s="26"/>
      <c r="E1841" s="16"/>
      <c r="F1841" s="18"/>
      <c r="G1841" s="19" t="str">
        <f aca="true">IF(F1841="", "", DATEDIF(F1841, TODAY(), "Y"))</f>
        <v/>
      </c>
      <c r="H1841" s="18"/>
      <c r="I1841" s="18"/>
      <c r="J1841" s="24" t="str">
        <f aca="true">IF(ISBLANK(H1841), "", I1841-TODAY())</f>
        <v/>
      </c>
      <c r="K1841" s="24" t="str">
        <f aca="false" t="array" ref="K1841:K1841">IF(A1841&lt;&gt;"",IF(COUNTIF(A$996:A1842,"&lt;&gt;")=0,COUNTA(B$996:B1841),IFERROR(MATCH(TRUE(),INDEX((A$996:A1842&lt;&gt;""),0),0),COUNTA(B$996:B1841))),"")</f>
        <v/>
      </c>
      <c r="L1841" s="27"/>
    </row>
    <row r="1842" customFormat="false" ht="13.8" hidden="false" customHeight="false" outlineLevel="0" collapsed="false">
      <c r="A1842" s="16"/>
      <c r="B1842" s="16"/>
      <c r="C1842" s="26"/>
      <c r="D1842" s="26"/>
      <c r="E1842" s="16"/>
      <c r="F1842" s="18"/>
      <c r="G1842" s="19" t="str">
        <f aca="true">IF(F1842="", "", DATEDIF(F1842, TODAY(), "Y"))</f>
        <v/>
      </c>
      <c r="H1842" s="18"/>
      <c r="I1842" s="18"/>
      <c r="J1842" s="24" t="str">
        <f aca="true">IF(ISBLANK(H1842), "", I1842-TODAY())</f>
        <v/>
      </c>
      <c r="K1842" s="24" t="str">
        <f aca="false" t="array" ref="K1842:K1842">IF(A1842&lt;&gt;"",IF(COUNTIF(A$996:A1843,"&lt;&gt;")=0,COUNTA(B$996:B1842),IFERROR(MATCH(TRUE(),INDEX((A$996:A1843&lt;&gt;""),0),0),COUNTA(B$996:B1842))),"")</f>
        <v/>
      </c>
      <c r="L1842" s="27"/>
    </row>
    <row r="1843" customFormat="false" ht="13.8" hidden="false" customHeight="false" outlineLevel="0" collapsed="false">
      <c r="A1843" s="16"/>
      <c r="B1843" s="16"/>
      <c r="C1843" s="26"/>
      <c r="D1843" s="26"/>
      <c r="E1843" s="16"/>
      <c r="F1843" s="18"/>
      <c r="G1843" s="19" t="str">
        <f aca="true">IF(F1843="", "", DATEDIF(F1843, TODAY(), "Y"))</f>
        <v/>
      </c>
      <c r="H1843" s="18"/>
      <c r="I1843" s="18"/>
      <c r="J1843" s="24" t="str">
        <f aca="true">IF(ISBLANK(H1843), "", I1843-TODAY())</f>
        <v/>
      </c>
      <c r="K1843" s="24" t="str">
        <f aca="false" t="array" ref="K1843:K1843">IF(A1843&lt;&gt;"",IF(COUNTIF(A$996:A1844,"&lt;&gt;")=0,COUNTA(B$996:B1843),IFERROR(MATCH(TRUE(),INDEX((A$996:A1844&lt;&gt;""),0),0),COUNTA(B$996:B1843))),"")</f>
        <v/>
      </c>
      <c r="L1843" s="27"/>
    </row>
    <row r="1844" customFormat="false" ht="13.8" hidden="false" customHeight="false" outlineLevel="0" collapsed="false">
      <c r="A1844" s="16"/>
      <c r="B1844" s="16"/>
      <c r="C1844" s="26"/>
      <c r="D1844" s="26"/>
      <c r="E1844" s="16"/>
      <c r="F1844" s="18"/>
      <c r="G1844" s="19" t="str">
        <f aca="true">IF(F1844="", "", DATEDIF(F1844, TODAY(), "Y"))</f>
        <v/>
      </c>
      <c r="H1844" s="18"/>
      <c r="I1844" s="18"/>
      <c r="J1844" s="24" t="str">
        <f aca="true">IF(ISBLANK(H1844), "", I1844-TODAY())</f>
        <v/>
      </c>
      <c r="K1844" s="24" t="str">
        <f aca="false" t="array" ref="K1844:K1844">IF(A1844&lt;&gt;"",IF(COUNTIF(A$996:A1845,"&lt;&gt;")=0,COUNTA(B$996:B1844),IFERROR(MATCH(TRUE(),INDEX((A$996:A1845&lt;&gt;""),0),0),COUNTA(B$996:B1844))),"")</f>
        <v/>
      </c>
      <c r="L1844" s="27"/>
    </row>
    <row r="1845" customFormat="false" ht="13.8" hidden="false" customHeight="false" outlineLevel="0" collapsed="false">
      <c r="A1845" s="16"/>
      <c r="B1845" s="16"/>
      <c r="C1845" s="26"/>
      <c r="D1845" s="26"/>
      <c r="E1845" s="16"/>
      <c r="F1845" s="18"/>
      <c r="G1845" s="19" t="str">
        <f aca="true">IF(F1845="", "", DATEDIF(F1845, TODAY(), "Y"))</f>
        <v/>
      </c>
      <c r="H1845" s="18"/>
      <c r="I1845" s="18"/>
      <c r="J1845" s="24" t="str">
        <f aca="true">IF(ISBLANK(H1845), "", I1845-TODAY())</f>
        <v/>
      </c>
      <c r="K1845" s="24" t="str">
        <f aca="false" t="array" ref="K1845:K1845">IF(A1845&lt;&gt;"",IF(COUNTIF(A$996:A1846,"&lt;&gt;")=0,COUNTA(B$996:B1845),IFERROR(MATCH(TRUE(),INDEX((A$996:A1846&lt;&gt;""),0),0),COUNTA(B$996:B1845))),"")</f>
        <v/>
      </c>
      <c r="L1845" s="27"/>
    </row>
    <row r="1846" customFormat="false" ht="13.8" hidden="false" customHeight="false" outlineLevel="0" collapsed="false">
      <c r="A1846" s="16"/>
      <c r="B1846" s="16"/>
      <c r="C1846" s="26"/>
      <c r="D1846" s="26"/>
      <c r="E1846" s="16"/>
      <c r="F1846" s="18"/>
      <c r="G1846" s="19" t="str">
        <f aca="true">IF(F1846="", "", DATEDIF(F1846, TODAY(), "Y"))</f>
        <v/>
      </c>
      <c r="H1846" s="18"/>
      <c r="I1846" s="18"/>
      <c r="J1846" s="24" t="str">
        <f aca="true">IF(ISBLANK(H1846), "", I1846-TODAY())</f>
        <v/>
      </c>
      <c r="K1846" s="24" t="str">
        <f aca="false" t="array" ref="K1846:K1846">IF(A1846&lt;&gt;"",IF(COUNTIF(A$996:A1847,"&lt;&gt;")=0,COUNTA(B$996:B1846),IFERROR(MATCH(TRUE(),INDEX((A$996:A1847&lt;&gt;""),0),0),COUNTA(B$996:B1846))),"")</f>
        <v/>
      </c>
      <c r="L1846" s="27"/>
    </row>
    <row r="1847" customFormat="false" ht="13.8" hidden="false" customHeight="false" outlineLevel="0" collapsed="false">
      <c r="A1847" s="16"/>
      <c r="B1847" s="16"/>
      <c r="C1847" s="26"/>
      <c r="D1847" s="26"/>
      <c r="E1847" s="16"/>
      <c r="F1847" s="18"/>
      <c r="G1847" s="19" t="str">
        <f aca="true">IF(F1847="", "", DATEDIF(F1847, TODAY(), "Y"))</f>
        <v/>
      </c>
      <c r="H1847" s="18"/>
      <c r="I1847" s="18"/>
      <c r="J1847" s="24" t="str">
        <f aca="true">IF(ISBLANK(H1847), "", I1847-TODAY())</f>
        <v/>
      </c>
      <c r="K1847" s="24" t="str">
        <f aca="false" t="array" ref="K1847:K1847">IF(A1847&lt;&gt;"",IF(COUNTIF(A$996:A1848,"&lt;&gt;")=0,COUNTA(B$996:B1847),IFERROR(MATCH(TRUE(),INDEX((A$996:A1848&lt;&gt;""),0),0),COUNTA(B$996:B1847))),"")</f>
        <v/>
      </c>
      <c r="L1847" s="27"/>
    </row>
    <row r="1848" customFormat="false" ht="13.8" hidden="false" customHeight="false" outlineLevel="0" collapsed="false">
      <c r="A1848" s="16"/>
      <c r="B1848" s="16"/>
      <c r="C1848" s="26"/>
      <c r="D1848" s="26"/>
      <c r="E1848" s="16"/>
      <c r="F1848" s="18"/>
      <c r="G1848" s="19" t="str">
        <f aca="true">IF(F1848="", "", DATEDIF(F1848, TODAY(), "Y"))</f>
        <v/>
      </c>
      <c r="H1848" s="18"/>
      <c r="I1848" s="18"/>
      <c r="J1848" s="24" t="str">
        <f aca="true">IF(ISBLANK(H1848), "", I1848-TODAY())</f>
        <v/>
      </c>
      <c r="K1848" s="24" t="str">
        <f aca="false" t="array" ref="K1848:K1848">IF(A1848&lt;&gt;"",IF(COUNTIF(A$996:A1849,"&lt;&gt;")=0,COUNTA(B$996:B1848),IFERROR(MATCH(TRUE(),INDEX((A$996:A1849&lt;&gt;""),0),0),COUNTA(B$996:B1848))),"")</f>
        <v/>
      </c>
      <c r="L1848" s="27"/>
    </row>
    <row r="1849" customFormat="false" ht="13.8" hidden="false" customHeight="false" outlineLevel="0" collapsed="false">
      <c r="A1849" s="16"/>
      <c r="B1849" s="16"/>
      <c r="C1849" s="26"/>
      <c r="D1849" s="26"/>
      <c r="E1849" s="16"/>
      <c r="F1849" s="18"/>
      <c r="G1849" s="19" t="str">
        <f aca="true">IF(F1849="", "", DATEDIF(F1849, TODAY(), "Y"))</f>
        <v/>
      </c>
      <c r="H1849" s="18"/>
      <c r="I1849" s="18"/>
      <c r="J1849" s="24" t="str">
        <f aca="true">IF(ISBLANK(H1849), "", I1849-TODAY())</f>
        <v/>
      </c>
      <c r="K1849" s="24" t="str">
        <f aca="false" t="array" ref="K1849:K1849">IF(A1849&lt;&gt;"",IF(COUNTIF(A$996:A1850,"&lt;&gt;")=0,COUNTA(B$996:B1849),IFERROR(MATCH(TRUE(),INDEX((A$996:A1850&lt;&gt;""),0),0),COUNTA(B$996:B1849))),"")</f>
        <v/>
      </c>
      <c r="L1849" s="27"/>
    </row>
    <row r="1850" customFormat="false" ht="13.8" hidden="false" customHeight="false" outlineLevel="0" collapsed="false">
      <c r="A1850" s="16"/>
      <c r="B1850" s="16"/>
      <c r="C1850" s="26"/>
      <c r="D1850" s="26"/>
      <c r="E1850" s="16"/>
      <c r="F1850" s="18"/>
      <c r="G1850" s="19" t="str">
        <f aca="true">IF(F1850="", "", DATEDIF(F1850, TODAY(), "Y"))</f>
        <v/>
      </c>
      <c r="H1850" s="18"/>
      <c r="I1850" s="18"/>
      <c r="J1850" s="24" t="str">
        <f aca="true">IF(ISBLANK(H1850), "", I1850-TODAY())</f>
        <v/>
      </c>
      <c r="K1850" s="24" t="str">
        <f aca="false" t="array" ref="K1850:K1850">IF(A1850&lt;&gt;"",IF(COUNTIF(A$996:A1851,"&lt;&gt;")=0,COUNTA(B$996:B1850),IFERROR(MATCH(TRUE(),INDEX((A$996:A1851&lt;&gt;""),0),0),COUNTA(B$996:B1850))),"")</f>
        <v/>
      </c>
      <c r="L1850" s="27"/>
    </row>
    <row r="1851" customFormat="false" ht="13.8" hidden="false" customHeight="false" outlineLevel="0" collapsed="false">
      <c r="A1851" s="16"/>
      <c r="B1851" s="16"/>
      <c r="C1851" s="26"/>
      <c r="D1851" s="26"/>
      <c r="E1851" s="16"/>
      <c r="F1851" s="18"/>
      <c r="G1851" s="19" t="str">
        <f aca="true">IF(F1851="", "", DATEDIF(F1851, TODAY(), "Y"))</f>
        <v/>
      </c>
      <c r="H1851" s="18"/>
      <c r="I1851" s="18"/>
      <c r="J1851" s="24" t="str">
        <f aca="true">IF(ISBLANK(H1851), "", I1851-TODAY())</f>
        <v/>
      </c>
      <c r="K1851" s="24" t="str">
        <f aca="false" t="array" ref="K1851:K1851">IF(A1851&lt;&gt;"",IF(COUNTIF(A$996:A1852,"&lt;&gt;")=0,COUNTA(B$996:B1851),IFERROR(MATCH(TRUE(),INDEX((A$996:A1852&lt;&gt;""),0),0),COUNTA(B$996:B1851))),"")</f>
        <v/>
      </c>
      <c r="L1851" s="27"/>
    </row>
    <row r="1852" customFormat="false" ht="13.8" hidden="false" customHeight="false" outlineLevel="0" collapsed="false">
      <c r="A1852" s="16"/>
      <c r="B1852" s="16"/>
      <c r="C1852" s="26"/>
      <c r="D1852" s="26"/>
      <c r="E1852" s="16"/>
      <c r="F1852" s="18"/>
      <c r="G1852" s="19" t="str">
        <f aca="true">IF(F1852="", "", DATEDIF(F1852, TODAY(), "Y"))</f>
        <v/>
      </c>
      <c r="H1852" s="18"/>
      <c r="I1852" s="18"/>
      <c r="J1852" s="24" t="str">
        <f aca="true">IF(ISBLANK(H1852), "", I1852-TODAY())</f>
        <v/>
      </c>
      <c r="K1852" s="24" t="str">
        <f aca="false" t="array" ref="K1852:K1852">IF(A1852&lt;&gt;"",IF(COUNTIF(A$996:A1853,"&lt;&gt;")=0,COUNTA(B$996:B1852),IFERROR(MATCH(TRUE(),INDEX((A$996:A1853&lt;&gt;""),0),0),COUNTA(B$996:B1852))),"")</f>
        <v/>
      </c>
      <c r="L1852" s="27"/>
    </row>
    <row r="1853" customFormat="false" ht="13.8" hidden="false" customHeight="false" outlineLevel="0" collapsed="false">
      <c r="A1853" s="16"/>
      <c r="B1853" s="16"/>
      <c r="C1853" s="26"/>
      <c r="D1853" s="26"/>
      <c r="E1853" s="16"/>
      <c r="F1853" s="18"/>
      <c r="G1853" s="19" t="str">
        <f aca="true">IF(F1853="", "", DATEDIF(F1853, TODAY(), "Y"))</f>
        <v/>
      </c>
      <c r="H1853" s="18"/>
      <c r="I1853" s="18"/>
      <c r="J1853" s="24" t="str">
        <f aca="true">IF(ISBLANK(H1853), "", I1853-TODAY())</f>
        <v/>
      </c>
      <c r="K1853" s="24" t="str">
        <f aca="false" t="array" ref="K1853:K1853">IF(A1853&lt;&gt;"",IF(COUNTIF(A$996:A1854,"&lt;&gt;")=0,COUNTA(B$996:B1853),IFERROR(MATCH(TRUE(),INDEX((A$996:A1854&lt;&gt;""),0),0),COUNTA(B$996:B1853))),"")</f>
        <v/>
      </c>
      <c r="L1853" s="27"/>
    </row>
    <row r="1854" customFormat="false" ht="13.8" hidden="false" customHeight="false" outlineLevel="0" collapsed="false">
      <c r="A1854" s="16"/>
      <c r="B1854" s="16"/>
      <c r="C1854" s="26"/>
      <c r="D1854" s="26"/>
      <c r="E1854" s="16"/>
      <c r="F1854" s="18"/>
      <c r="G1854" s="19" t="str">
        <f aca="true">IF(F1854="", "", DATEDIF(F1854, TODAY(), "Y"))</f>
        <v/>
      </c>
      <c r="H1854" s="18"/>
      <c r="I1854" s="18"/>
      <c r="J1854" s="24" t="str">
        <f aca="true">IF(ISBLANK(H1854), "", I1854-TODAY())</f>
        <v/>
      </c>
      <c r="K1854" s="24" t="str">
        <f aca="false" t="array" ref="K1854:K1854">IF(A1854&lt;&gt;"",IF(COUNTIF(A$996:A1855,"&lt;&gt;")=0,COUNTA(B$996:B1854),IFERROR(MATCH(TRUE(),INDEX((A$996:A1855&lt;&gt;""),0),0),COUNTA(B$996:B1854))),"")</f>
        <v/>
      </c>
      <c r="L1854" s="27"/>
    </row>
    <row r="1855" customFormat="false" ht="13.8" hidden="false" customHeight="false" outlineLevel="0" collapsed="false">
      <c r="A1855" s="16"/>
      <c r="B1855" s="16"/>
      <c r="C1855" s="26"/>
      <c r="D1855" s="26"/>
      <c r="E1855" s="16"/>
      <c r="F1855" s="18"/>
      <c r="G1855" s="19" t="str">
        <f aca="true">IF(F1855="", "", DATEDIF(F1855, TODAY(), "Y"))</f>
        <v/>
      </c>
      <c r="H1855" s="18"/>
      <c r="I1855" s="18"/>
      <c r="J1855" s="24" t="str">
        <f aca="true">IF(ISBLANK(H1855), "", I1855-TODAY())</f>
        <v/>
      </c>
      <c r="K1855" s="24" t="str">
        <f aca="false" t="array" ref="K1855:K1855">IF(A1855&lt;&gt;"",IF(COUNTIF(A$996:A1856,"&lt;&gt;")=0,COUNTA(B$996:B1855),IFERROR(MATCH(TRUE(),INDEX((A$996:A1856&lt;&gt;""),0),0),COUNTA(B$996:B1855))),"")</f>
        <v/>
      </c>
      <c r="L1855" s="27"/>
    </row>
    <row r="1856" customFormat="false" ht="13.8" hidden="false" customHeight="false" outlineLevel="0" collapsed="false">
      <c r="A1856" s="16"/>
      <c r="B1856" s="16"/>
      <c r="C1856" s="26"/>
      <c r="D1856" s="26"/>
      <c r="E1856" s="16"/>
      <c r="F1856" s="18"/>
      <c r="G1856" s="19" t="str">
        <f aca="true">IF(F1856="", "", DATEDIF(F1856, TODAY(), "Y"))</f>
        <v/>
      </c>
      <c r="H1856" s="18"/>
      <c r="I1856" s="18"/>
      <c r="J1856" s="24" t="str">
        <f aca="true">IF(ISBLANK(H1856), "", I1856-TODAY())</f>
        <v/>
      </c>
      <c r="K1856" s="24" t="str">
        <f aca="false" t="array" ref="K1856:K1856">IF(A1856&lt;&gt;"",IF(COUNTIF(A$996:A1857,"&lt;&gt;")=0,COUNTA(B$996:B1856),IFERROR(MATCH(TRUE(),INDEX((A$996:A1857&lt;&gt;""),0),0),COUNTA(B$996:B1856))),"")</f>
        <v/>
      </c>
      <c r="L1856" s="27"/>
    </row>
    <row r="1857" customFormat="false" ht="13.8" hidden="false" customHeight="false" outlineLevel="0" collapsed="false">
      <c r="A1857" s="16"/>
      <c r="B1857" s="16"/>
      <c r="C1857" s="26"/>
      <c r="D1857" s="26"/>
      <c r="E1857" s="16"/>
      <c r="F1857" s="18"/>
      <c r="G1857" s="19" t="str">
        <f aca="true">IF(F1857="", "", DATEDIF(F1857, TODAY(), "Y"))</f>
        <v/>
      </c>
      <c r="H1857" s="18"/>
      <c r="I1857" s="18"/>
      <c r="J1857" s="24" t="str">
        <f aca="true">IF(ISBLANK(H1857), "", I1857-TODAY())</f>
        <v/>
      </c>
      <c r="K1857" s="24" t="str">
        <f aca="false" t="array" ref="K1857:K1857">IF(A1857&lt;&gt;"",IF(COUNTIF(A$996:A1858,"&lt;&gt;")=0,COUNTA(B$996:B1857),IFERROR(MATCH(TRUE(),INDEX((A$996:A1858&lt;&gt;""),0),0),COUNTA(B$996:B1857))),"")</f>
        <v/>
      </c>
      <c r="L1857" s="27"/>
    </row>
    <row r="1858" customFormat="false" ht="13.8" hidden="false" customHeight="false" outlineLevel="0" collapsed="false">
      <c r="A1858" s="16"/>
      <c r="B1858" s="16"/>
      <c r="C1858" s="26"/>
      <c r="D1858" s="26"/>
      <c r="E1858" s="16"/>
      <c r="F1858" s="18"/>
      <c r="G1858" s="19" t="str">
        <f aca="true">IF(F1858="", "", DATEDIF(F1858, TODAY(), "Y"))</f>
        <v/>
      </c>
      <c r="H1858" s="18"/>
      <c r="I1858" s="18"/>
      <c r="J1858" s="24" t="str">
        <f aca="true">IF(ISBLANK(H1858), "", I1858-TODAY())</f>
        <v/>
      </c>
      <c r="K1858" s="24" t="str">
        <f aca="false" t="array" ref="K1858:K1858">IF(A1858&lt;&gt;"",IF(COUNTIF(A$996:A1859,"&lt;&gt;")=0,COUNTA(B$996:B1858),IFERROR(MATCH(TRUE(),INDEX((A$996:A1859&lt;&gt;""),0),0),COUNTA(B$996:B1858))),"")</f>
        <v/>
      </c>
      <c r="L1858" s="27"/>
    </row>
    <row r="1859" customFormat="false" ht="13.8" hidden="false" customHeight="false" outlineLevel="0" collapsed="false">
      <c r="A1859" s="16"/>
      <c r="B1859" s="16"/>
      <c r="C1859" s="26"/>
      <c r="D1859" s="26"/>
      <c r="E1859" s="16"/>
      <c r="F1859" s="18"/>
      <c r="G1859" s="19" t="str">
        <f aca="true">IF(F1859="", "", DATEDIF(F1859, TODAY(), "Y"))</f>
        <v/>
      </c>
      <c r="H1859" s="18"/>
      <c r="I1859" s="18"/>
      <c r="J1859" s="24" t="str">
        <f aca="true">IF(ISBLANK(H1859), "", I1859-TODAY())</f>
        <v/>
      </c>
      <c r="K1859" s="24" t="str">
        <f aca="false" t="array" ref="K1859:K1859">IF(A1859&lt;&gt;"",IF(COUNTIF(A$996:A1860,"&lt;&gt;")=0,COUNTA(B$996:B1859),IFERROR(MATCH(TRUE(),INDEX((A$996:A1860&lt;&gt;""),0),0),COUNTA(B$996:B1859))),"")</f>
        <v/>
      </c>
      <c r="L1859" s="27"/>
    </row>
    <row r="1860" customFormat="false" ht="13.8" hidden="false" customHeight="false" outlineLevel="0" collapsed="false">
      <c r="A1860" s="16"/>
      <c r="B1860" s="16"/>
      <c r="C1860" s="26"/>
      <c r="D1860" s="26"/>
      <c r="E1860" s="16"/>
      <c r="F1860" s="18"/>
      <c r="G1860" s="19" t="str">
        <f aca="true">IF(F1860="", "", DATEDIF(F1860, TODAY(), "Y"))</f>
        <v/>
      </c>
      <c r="H1860" s="18"/>
      <c r="I1860" s="18"/>
      <c r="J1860" s="24" t="str">
        <f aca="true">IF(ISBLANK(H1860), "", I1860-TODAY())</f>
        <v/>
      </c>
      <c r="K1860" s="24" t="str">
        <f aca="false" t="array" ref="K1860:K1860">IF(A1860&lt;&gt;"",IF(COUNTIF(A$996:A1861,"&lt;&gt;")=0,COUNTA(B$996:B1860),IFERROR(MATCH(TRUE(),INDEX((A$996:A1861&lt;&gt;""),0),0),COUNTA(B$996:B1860))),"")</f>
        <v/>
      </c>
      <c r="L1860" s="27"/>
    </row>
    <row r="1861" customFormat="false" ht="13.8" hidden="false" customHeight="false" outlineLevel="0" collapsed="false">
      <c r="A1861" s="16"/>
      <c r="B1861" s="16"/>
      <c r="C1861" s="26"/>
      <c r="D1861" s="26"/>
      <c r="E1861" s="16"/>
      <c r="F1861" s="18"/>
      <c r="G1861" s="19" t="str">
        <f aca="true">IF(F1861="", "", DATEDIF(F1861, TODAY(), "Y"))</f>
        <v/>
      </c>
      <c r="H1861" s="18"/>
      <c r="I1861" s="18"/>
      <c r="J1861" s="24" t="str">
        <f aca="true">IF(ISBLANK(H1861), "", I1861-TODAY())</f>
        <v/>
      </c>
      <c r="K1861" s="24" t="str">
        <f aca="false" t="array" ref="K1861:K1861">IF(A1861&lt;&gt;"",IF(COUNTIF(A$996:A1862,"&lt;&gt;")=0,COUNTA(B$996:B1861),IFERROR(MATCH(TRUE(),INDEX((A$996:A1862&lt;&gt;""),0),0),COUNTA(B$996:B1861))),"")</f>
        <v/>
      </c>
      <c r="L1861" s="27"/>
    </row>
    <row r="1862" customFormat="false" ht="13.8" hidden="false" customHeight="false" outlineLevel="0" collapsed="false">
      <c r="A1862" s="16"/>
      <c r="B1862" s="16"/>
      <c r="C1862" s="26"/>
      <c r="D1862" s="26"/>
      <c r="E1862" s="16"/>
      <c r="F1862" s="18"/>
      <c r="G1862" s="19" t="str">
        <f aca="true">IF(F1862="", "", DATEDIF(F1862, TODAY(), "Y"))</f>
        <v/>
      </c>
      <c r="H1862" s="18"/>
      <c r="I1862" s="18"/>
      <c r="J1862" s="24" t="str">
        <f aca="true">IF(ISBLANK(H1862), "", I1862-TODAY())</f>
        <v/>
      </c>
      <c r="K1862" s="24" t="str">
        <f aca="false" t="array" ref="K1862:K1862">IF(A1862&lt;&gt;"",IF(COUNTIF(A$996:A1863,"&lt;&gt;")=0,COUNTA(B$996:B1862),IFERROR(MATCH(TRUE(),INDEX((A$996:A1863&lt;&gt;""),0),0),COUNTA(B$996:B1862))),"")</f>
        <v/>
      </c>
      <c r="L1862" s="27"/>
    </row>
    <row r="1863" customFormat="false" ht="13.8" hidden="false" customHeight="false" outlineLevel="0" collapsed="false">
      <c r="A1863" s="16"/>
      <c r="B1863" s="16"/>
      <c r="C1863" s="26"/>
      <c r="D1863" s="26"/>
      <c r="E1863" s="16"/>
      <c r="F1863" s="18"/>
      <c r="G1863" s="19" t="str">
        <f aca="true">IF(F1863="", "", DATEDIF(F1863, TODAY(), "Y"))</f>
        <v/>
      </c>
      <c r="H1863" s="18"/>
      <c r="I1863" s="18"/>
      <c r="J1863" s="24" t="str">
        <f aca="true">IF(ISBLANK(H1863), "", I1863-TODAY())</f>
        <v/>
      </c>
      <c r="K1863" s="24" t="str">
        <f aca="false" t="array" ref="K1863:K1863">IF(A1863&lt;&gt;"",IF(COUNTIF(A$996:A1864,"&lt;&gt;")=0,COUNTA(B$996:B1863),IFERROR(MATCH(TRUE(),INDEX((A$996:A1864&lt;&gt;""),0),0),COUNTA(B$996:B1863))),"")</f>
        <v/>
      </c>
      <c r="L1863" s="27"/>
    </row>
    <row r="1864" customFormat="false" ht="13.8" hidden="false" customHeight="false" outlineLevel="0" collapsed="false">
      <c r="A1864" s="16"/>
      <c r="B1864" s="16"/>
      <c r="C1864" s="26"/>
      <c r="D1864" s="26"/>
      <c r="E1864" s="16"/>
      <c r="F1864" s="18"/>
      <c r="G1864" s="19" t="str">
        <f aca="true">IF(F1864="", "", DATEDIF(F1864, TODAY(), "Y"))</f>
        <v/>
      </c>
      <c r="H1864" s="18"/>
      <c r="I1864" s="18"/>
      <c r="J1864" s="24" t="str">
        <f aca="true">IF(ISBLANK(H1864), "", I1864-TODAY())</f>
        <v/>
      </c>
      <c r="K1864" s="24" t="str">
        <f aca="false" t="array" ref="K1864:K1864">IF(A1864&lt;&gt;"",IF(COUNTIF(A$996:A1865,"&lt;&gt;")=0,COUNTA(B$996:B1864),IFERROR(MATCH(TRUE(),INDEX((A$996:A1865&lt;&gt;""),0),0),COUNTA(B$996:B1864))),"")</f>
        <v/>
      </c>
      <c r="L1864" s="27"/>
    </row>
    <row r="1865" customFormat="false" ht="13.8" hidden="false" customHeight="false" outlineLevel="0" collapsed="false">
      <c r="A1865" s="16"/>
      <c r="B1865" s="16"/>
      <c r="C1865" s="26"/>
      <c r="D1865" s="26"/>
      <c r="E1865" s="16"/>
      <c r="F1865" s="18"/>
      <c r="G1865" s="19" t="str">
        <f aca="true">IF(F1865="", "", DATEDIF(F1865, TODAY(), "Y"))</f>
        <v/>
      </c>
      <c r="H1865" s="18"/>
      <c r="I1865" s="18"/>
      <c r="J1865" s="24" t="str">
        <f aca="true">IF(ISBLANK(H1865), "", I1865-TODAY())</f>
        <v/>
      </c>
      <c r="K1865" s="24" t="str">
        <f aca="false" t="array" ref="K1865:K1865">IF(A1865&lt;&gt;"",IF(COUNTIF(A$996:A1866,"&lt;&gt;")=0,COUNTA(B$996:B1865),IFERROR(MATCH(TRUE(),INDEX((A$996:A1866&lt;&gt;""),0),0),COUNTA(B$996:B1865))),"")</f>
        <v/>
      </c>
      <c r="L1865" s="27"/>
    </row>
    <row r="1866" customFormat="false" ht="13.8" hidden="false" customHeight="false" outlineLevel="0" collapsed="false">
      <c r="A1866" s="16"/>
      <c r="B1866" s="16"/>
      <c r="C1866" s="26"/>
      <c r="D1866" s="26"/>
      <c r="E1866" s="16"/>
      <c r="F1866" s="18"/>
      <c r="G1866" s="19" t="str">
        <f aca="true">IF(F1866="", "", DATEDIF(F1866, TODAY(), "Y"))</f>
        <v/>
      </c>
      <c r="H1866" s="18"/>
      <c r="I1866" s="18"/>
      <c r="J1866" s="24" t="str">
        <f aca="true">IF(ISBLANK(H1866), "", I1866-TODAY())</f>
        <v/>
      </c>
      <c r="K1866" s="24" t="str">
        <f aca="false" t="array" ref="K1866:K1866">IF(A1866&lt;&gt;"",IF(COUNTIF(A$996:A1867,"&lt;&gt;")=0,COUNTA(B$996:B1866),IFERROR(MATCH(TRUE(),INDEX((A$996:A1867&lt;&gt;""),0),0),COUNTA(B$996:B1866))),"")</f>
        <v/>
      </c>
      <c r="L1866" s="27"/>
    </row>
    <row r="1867" customFormat="false" ht="13.8" hidden="false" customHeight="false" outlineLevel="0" collapsed="false">
      <c r="A1867" s="16"/>
      <c r="B1867" s="16"/>
      <c r="C1867" s="26"/>
      <c r="D1867" s="26"/>
      <c r="E1867" s="16"/>
      <c r="F1867" s="18"/>
      <c r="G1867" s="19" t="str">
        <f aca="true">IF(F1867="", "", DATEDIF(F1867, TODAY(), "Y"))</f>
        <v/>
      </c>
      <c r="H1867" s="18"/>
      <c r="I1867" s="18"/>
      <c r="J1867" s="24" t="str">
        <f aca="true">IF(ISBLANK(H1867), "", I1867-TODAY())</f>
        <v/>
      </c>
      <c r="K1867" s="24" t="str">
        <f aca="false" t="array" ref="K1867:K1867">IF(A1867&lt;&gt;"",IF(COUNTIF(A$996:A1868,"&lt;&gt;")=0,COUNTA(B$996:B1867),IFERROR(MATCH(TRUE(),INDEX((A$996:A1868&lt;&gt;""),0),0),COUNTA(B$996:B1867))),"")</f>
        <v/>
      </c>
      <c r="L1867" s="27"/>
    </row>
    <row r="1868" customFormat="false" ht="13.8" hidden="false" customHeight="false" outlineLevel="0" collapsed="false">
      <c r="A1868" s="16"/>
      <c r="B1868" s="16"/>
      <c r="C1868" s="26"/>
      <c r="D1868" s="26"/>
      <c r="E1868" s="16"/>
      <c r="F1868" s="18"/>
      <c r="G1868" s="19" t="str">
        <f aca="true">IF(F1868="", "", DATEDIF(F1868, TODAY(), "Y"))</f>
        <v/>
      </c>
      <c r="H1868" s="18"/>
      <c r="I1868" s="18"/>
      <c r="J1868" s="24" t="str">
        <f aca="true">IF(ISBLANK(H1868), "", I1868-TODAY())</f>
        <v/>
      </c>
      <c r="K1868" s="24" t="str">
        <f aca="false" t="array" ref="K1868:K1868">IF(A1868&lt;&gt;"",IF(COUNTIF(A$996:A1869,"&lt;&gt;")=0,COUNTA(B$996:B1868),IFERROR(MATCH(TRUE(),INDEX((A$996:A1869&lt;&gt;""),0),0),COUNTA(B$996:B1868))),"")</f>
        <v/>
      </c>
      <c r="L1868" s="27"/>
    </row>
    <row r="1869" customFormat="false" ht="13.8" hidden="false" customHeight="false" outlineLevel="0" collapsed="false">
      <c r="A1869" s="16"/>
      <c r="B1869" s="16"/>
      <c r="C1869" s="26"/>
      <c r="D1869" s="26"/>
      <c r="E1869" s="16"/>
      <c r="F1869" s="18"/>
      <c r="G1869" s="19" t="str">
        <f aca="true">IF(F1869="", "", DATEDIF(F1869, TODAY(), "Y"))</f>
        <v/>
      </c>
      <c r="H1869" s="18"/>
      <c r="I1869" s="18"/>
      <c r="J1869" s="24" t="str">
        <f aca="true">IF(ISBLANK(H1869), "", I1869-TODAY())</f>
        <v/>
      </c>
      <c r="K1869" s="24" t="str">
        <f aca="false" t="array" ref="K1869:K1869">IF(A1869&lt;&gt;"",IF(COUNTIF(A$996:A1870,"&lt;&gt;")=0,COUNTA(B$996:B1869),IFERROR(MATCH(TRUE(),INDEX((A$996:A1870&lt;&gt;""),0),0),COUNTA(B$996:B1869))),"")</f>
        <v/>
      </c>
      <c r="L1869" s="27"/>
    </row>
    <row r="1870" customFormat="false" ht="13.8" hidden="false" customHeight="false" outlineLevel="0" collapsed="false">
      <c r="A1870" s="16"/>
      <c r="B1870" s="16"/>
      <c r="C1870" s="26"/>
      <c r="D1870" s="26"/>
      <c r="E1870" s="16"/>
      <c r="F1870" s="18"/>
      <c r="G1870" s="19" t="str">
        <f aca="true">IF(F1870="", "", DATEDIF(F1870, TODAY(), "Y"))</f>
        <v/>
      </c>
      <c r="H1870" s="18"/>
      <c r="I1870" s="18"/>
      <c r="J1870" s="24" t="str">
        <f aca="true">IF(ISBLANK(H1870), "", I1870-TODAY())</f>
        <v/>
      </c>
      <c r="K1870" s="24" t="str">
        <f aca="false" t="array" ref="K1870:K1870">IF(A1870&lt;&gt;"",IF(COUNTIF(A$996:A1871,"&lt;&gt;")=0,COUNTA(B$996:B1870),IFERROR(MATCH(TRUE(),INDEX((A$996:A1871&lt;&gt;""),0),0),COUNTA(B$996:B1870))),"")</f>
        <v/>
      </c>
      <c r="L1870" s="27"/>
    </row>
    <row r="1871" customFormat="false" ht="13.8" hidden="false" customHeight="false" outlineLevel="0" collapsed="false">
      <c r="A1871" s="16"/>
      <c r="B1871" s="16"/>
      <c r="C1871" s="26"/>
      <c r="D1871" s="26"/>
      <c r="E1871" s="16"/>
      <c r="F1871" s="18"/>
      <c r="G1871" s="19" t="str">
        <f aca="true">IF(F1871="", "", DATEDIF(F1871, TODAY(), "Y"))</f>
        <v/>
      </c>
      <c r="H1871" s="18"/>
      <c r="I1871" s="18"/>
      <c r="J1871" s="24" t="str">
        <f aca="true">IF(ISBLANK(H1871), "", I1871-TODAY())</f>
        <v/>
      </c>
      <c r="K1871" s="24" t="str">
        <f aca="false" t="array" ref="K1871:K1871">IF(A1871&lt;&gt;"",IF(COUNTIF(A$996:A1872,"&lt;&gt;")=0,COUNTA(B$996:B1871),IFERROR(MATCH(TRUE(),INDEX((A$996:A1872&lt;&gt;""),0),0),COUNTA(B$996:B1871))),"")</f>
        <v/>
      </c>
      <c r="L1871" s="27"/>
    </row>
    <row r="1872" customFormat="false" ht="13.8" hidden="false" customHeight="false" outlineLevel="0" collapsed="false">
      <c r="A1872" s="16"/>
      <c r="B1872" s="16"/>
      <c r="C1872" s="26"/>
      <c r="D1872" s="26"/>
      <c r="E1872" s="16"/>
      <c r="F1872" s="18"/>
      <c r="G1872" s="19" t="str">
        <f aca="true">IF(F1872="", "", DATEDIF(F1872, TODAY(), "Y"))</f>
        <v/>
      </c>
      <c r="H1872" s="18"/>
      <c r="I1872" s="18"/>
      <c r="J1872" s="24" t="str">
        <f aca="true">IF(ISBLANK(H1872), "", I1872-TODAY())</f>
        <v/>
      </c>
      <c r="K1872" s="24" t="str">
        <f aca="false" t="array" ref="K1872:K1872">IF(A1872&lt;&gt;"",IF(COUNTIF(A$996:A1873,"&lt;&gt;")=0,COUNTA(B$996:B1872),IFERROR(MATCH(TRUE(),INDEX((A$996:A1873&lt;&gt;""),0),0),COUNTA(B$996:B1872))),"")</f>
        <v/>
      </c>
      <c r="L1872" s="27"/>
    </row>
    <row r="1873" customFormat="false" ht="13.8" hidden="false" customHeight="false" outlineLevel="0" collapsed="false">
      <c r="A1873" s="16"/>
      <c r="B1873" s="16"/>
      <c r="C1873" s="26"/>
      <c r="D1873" s="26"/>
      <c r="E1873" s="16"/>
      <c r="F1873" s="18"/>
      <c r="G1873" s="19" t="str">
        <f aca="true">IF(F1873="", "", DATEDIF(F1873, TODAY(), "Y"))</f>
        <v/>
      </c>
      <c r="H1873" s="18"/>
      <c r="I1873" s="18"/>
      <c r="J1873" s="24" t="str">
        <f aca="true">IF(ISBLANK(H1873), "", I1873-TODAY())</f>
        <v/>
      </c>
      <c r="K1873" s="24" t="str">
        <f aca="false" t="array" ref="K1873:K1873">IF(A1873&lt;&gt;"",IF(COUNTIF(A$996:A1874,"&lt;&gt;")=0,COUNTA(B$996:B1873),IFERROR(MATCH(TRUE(),INDEX((A$996:A1874&lt;&gt;""),0),0),COUNTA(B$996:B1873))),"")</f>
        <v/>
      </c>
      <c r="L1873" s="27"/>
    </row>
    <row r="1874" customFormat="false" ht="13.8" hidden="false" customHeight="false" outlineLevel="0" collapsed="false">
      <c r="A1874" s="16"/>
      <c r="B1874" s="16"/>
      <c r="C1874" s="26"/>
      <c r="D1874" s="26"/>
      <c r="E1874" s="16"/>
      <c r="F1874" s="18"/>
      <c r="G1874" s="19" t="str">
        <f aca="true">IF(F1874="", "", DATEDIF(F1874, TODAY(), "Y"))</f>
        <v/>
      </c>
      <c r="H1874" s="18"/>
      <c r="I1874" s="18"/>
      <c r="J1874" s="24" t="str">
        <f aca="true">IF(ISBLANK(H1874), "", I1874-TODAY())</f>
        <v/>
      </c>
      <c r="K1874" s="24" t="str">
        <f aca="false" t="array" ref="K1874:K1874">IF(A1874&lt;&gt;"",IF(COUNTIF(A$996:A1875,"&lt;&gt;")=0,COUNTA(B$996:B1874),IFERROR(MATCH(TRUE(),INDEX((A$996:A1875&lt;&gt;""),0),0),COUNTA(B$996:B1874))),"")</f>
        <v/>
      </c>
      <c r="L1874" s="27"/>
    </row>
    <row r="1875" customFormat="false" ht="13.8" hidden="false" customHeight="false" outlineLevel="0" collapsed="false">
      <c r="A1875" s="16"/>
      <c r="B1875" s="16"/>
      <c r="C1875" s="26"/>
      <c r="D1875" s="26"/>
      <c r="E1875" s="16"/>
      <c r="F1875" s="18"/>
      <c r="G1875" s="19" t="str">
        <f aca="true">IF(F1875="", "", DATEDIF(F1875, TODAY(), "Y"))</f>
        <v/>
      </c>
      <c r="H1875" s="18"/>
      <c r="I1875" s="18"/>
      <c r="J1875" s="24" t="str">
        <f aca="true">IF(ISBLANK(H1875), "", I1875-TODAY())</f>
        <v/>
      </c>
      <c r="K1875" s="24" t="str">
        <f aca="false" t="array" ref="K1875:K1875">IF(A1875&lt;&gt;"",IF(COUNTIF(A$996:A1876,"&lt;&gt;")=0,COUNTA(B$996:B1875),IFERROR(MATCH(TRUE(),INDEX((A$996:A1876&lt;&gt;""),0),0),COUNTA(B$996:B1875))),"")</f>
        <v/>
      </c>
      <c r="L1875" s="27"/>
    </row>
    <row r="1876" customFormat="false" ht="13.8" hidden="false" customHeight="false" outlineLevel="0" collapsed="false">
      <c r="A1876" s="16"/>
      <c r="B1876" s="16"/>
      <c r="C1876" s="26"/>
      <c r="D1876" s="26"/>
      <c r="E1876" s="16"/>
      <c r="F1876" s="18"/>
      <c r="G1876" s="19" t="str">
        <f aca="true">IF(F1876="", "", DATEDIF(F1876, TODAY(), "Y"))</f>
        <v/>
      </c>
      <c r="H1876" s="18"/>
      <c r="I1876" s="18"/>
      <c r="J1876" s="24" t="str">
        <f aca="true">IF(ISBLANK(H1876), "", I1876-TODAY())</f>
        <v/>
      </c>
      <c r="K1876" s="24" t="str">
        <f aca="false" t="array" ref="K1876:K1876">IF(A1876&lt;&gt;"",IF(COUNTIF(A$996:A1877,"&lt;&gt;")=0,COUNTA(B$996:B1876),IFERROR(MATCH(TRUE(),INDEX((A$996:A1877&lt;&gt;""),0),0),COUNTA(B$996:B1876))),"")</f>
        <v/>
      </c>
      <c r="L1876" s="27"/>
    </row>
    <row r="1877" customFormat="false" ht="13.8" hidden="false" customHeight="false" outlineLevel="0" collapsed="false">
      <c r="A1877" s="16"/>
      <c r="B1877" s="16"/>
      <c r="C1877" s="26"/>
      <c r="D1877" s="26"/>
      <c r="E1877" s="16"/>
      <c r="F1877" s="18"/>
      <c r="G1877" s="19" t="str">
        <f aca="true">IF(F1877="", "", DATEDIF(F1877, TODAY(), "Y"))</f>
        <v/>
      </c>
      <c r="H1877" s="18"/>
      <c r="I1877" s="18"/>
      <c r="J1877" s="24" t="str">
        <f aca="true">IF(ISBLANK(H1877), "", I1877-TODAY())</f>
        <v/>
      </c>
      <c r="K1877" s="24" t="str">
        <f aca="false" t="array" ref="K1877:K1877">IF(A1877&lt;&gt;"",IF(COUNTIF(A$996:A1878,"&lt;&gt;")=0,COUNTA(B$996:B1877),IFERROR(MATCH(TRUE(),INDEX((A$996:A1878&lt;&gt;""),0),0),COUNTA(B$996:B1877))),"")</f>
        <v/>
      </c>
      <c r="L1877" s="27"/>
    </row>
    <row r="1878" customFormat="false" ht="13.8" hidden="false" customHeight="false" outlineLevel="0" collapsed="false">
      <c r="A1878" s="16"/>
      <c r="B1878" s="16"/>
      <c r="C1878" s="26"/>
      <c r="D1878" s="26"/>
      <c r="E1878" s="16"/>
      <c r="F1878" s="18"/>
      <c r="G1878" s="19" t="str">
        <f aca="true">IF(F1878="", "", DATEDIF(F1878, TODAY(), "Y"))</f>
        <v/>
      </c>
      <c r="H1878" s="18"/>
      <c r="I1878" s="18"/>
      <c r="J1878" s="24" t="str">
        <f aca="true">IF(ISBLANK(H1878), "", I1878-TODAY())</f>
        <v/>
      </c>
      <c r="K1878" s="24" t="str">
        <f aca="false" t="array" ref="K1878:K1878">IF(A1878&lt;&gt;"",IF(COUNTIF(A$996:A1879,"&lt;&gt;")=0,COUNTA(B$996:B1878),IFERROR(MATCH(TRUE(),INDEX((A$996:A1879&lt;&gt;""),0),0),COUNTA(B$996:B1878))),"")</f>
        <v/>
      </c>
      <c r="L1878" s="27"/>
    </row>
    <row r="1879" customFormat="false" ht="13.8" hidden="false" customHeight="false" outlineLevel="0" collapsed="false">
      <c r="A1879" s="16"/>
      <c r="B1879" s="16"/>
      <c r="C1879" s="26"/>
      <c r="D1879" s="26"/>
      <c r="E1879" s="16"/>
      <c r="F1879" s="18"/>
      <c r="G1879" s="19" t="str">
        <f aca="true">IF(F1879="", "", DATEDIF(F1879, TODAY(), "Y"))</f>
        <v/>
      </c>
      <c r="H1879" s="18"/>
      <c r="I1879" s="18"/>
      <c r="J1879" s="24" t="str">
        <f aca="true">IF(ISBLANK(H1879), "", I1879-TODAY())</f>
        <v/>
      </c>
      <c r="K1879" s="24" t="str">
        <f aca="false" t="array" ref="K1879:K1879">IF(A1879&lt;&gt;"",IF(COUNTIF(A$996:A1880,"&lt;&gt;")=0,COUNTA(B$996:B1879),IFERROR(MATCH(TRUE(),INDEX((A$996:A1880&lt;&gt;""),0),0),COUNTA(B$996:B1879))),"")</f>
        <v/>
      </c>
      <c r="L1879" s="27"/>
    </row>
    <row r="1880" customFormat="false" ht="13.8" hidden="false" customHeight="false" outlineLevel="0" collapsed="false">
      <c r="A1880" s="16"/>
      <c r="B1880" s="16"/>
      <c r="C1880" s="26"/>
      <c r="D1880" s="26"/>
      <c r="E1880" s="16"/>
      <c r="F1880" s="18"/>
      <c r="G1880" s="19" t="str">
        <f aca="true">IF(F1880="", "", DATEDIF(F1880, TODAY(), "Y"))</f>
        <v/>
      </c>
      <c r="H1880" s="18"/>
      <c r="I1880" s="18"/>
      <c r="J1880" s="24" t="str">
        <f aca="true">IF(ISBLANK(H1880), "", I1880-TODAY())</f>
        <v/>
      </c>
      <c r="K1880" s="24" t="str">
        <f aca="false" t="array" ref="K1880:K1880">IF(A1880&lt;&gt;"",IF(COUNTIF(A$996:A1881,"&lt;&gt;")=0,COUNTA(B$996:B1880),IFERROR(MATCH(TRUE(),INDEX((A$996:A1881&lt;&gt;""),0),0),COUNTA(B$996:B1880))),"")</f>
        <v/>
      </c>
      <c r="L1880" s="27"/>
    </row>
    <row r="1881" customFormat="false" ht="13.8" hidden="false" customHeight="false" outlineLevel="0" collapsed="false">
      <c r="A1881" s="16"/>
      <c r="B1881" s="16"/>
      <c r="C1881" s="26"/>
      <c r="D1881" s="26"/>
      <c r="E1881" s="16"/>
      <c r="F1881" s="18"/>
      <c r="G1881" s="19" t="str">
        <f aca="true">IF(F1881="", "", DATEDIF(F1881, TODAY(), "Y"))</f>
        <v/>
      </c>
      <c r="H1881" s="18"/>
      <c r="I1881" s="18"/>
      <c r="J1881" s="24" t="str">
        <f aca="true">IF(ISBLANK(H1881), "", I1881-TODAY())</f>
        <v/>
      </c>
      <c r="K1881" s="24" t="str">
        <f aca="false" t="array" ref="K1881:K1881">IF(A1881&lt;&gt;"",IF(COUNTIF(A$996:A1882,"&lt;&gt;")=0,COUNTA(B$996:B1881),IFERROR(MATCH(TRUE(),INDEX((A$996:A1882&lt;&gt;""),0),0),COUNTA(B$996:B1881))),"")</f>
        <v/>
      </c>
      <c r="L1881" s="27"/>
    </row>
    <row r="1882" customFormat="false" ht="13.8" hidden="false" customHeight="false" outlineLevel="0" collapsed="false">
      <c r="A1882" s="16"/>
      <c r="B1882" s="16"/>
      <c r="C1882" s="26"/>
      <c r="D1882" s="26"/>
      <c r="E1882" s="16"/>
      <c r="F1882" s="18"/>
      <c r="G1882" s="19" t="str">
        <f aca="true">IF(F1882="", "", DATEDIF(F1882, TODAY(), "Y"))</f>
        <v/>
      </c>
      <c r="H1882" s="18"/>
      <c r="I1882" s="18"/>
      <c r="J1882" s="24" t="str">
        <f aca="true">IF(ISBLANK(H1882), "", I1882-TODAY())</f>
        <v/>
      </c>
      <c r="K1882" s="24" t="str">
        <f aca="false" t="array" ref="K1882:K1882">IF(A1882&lt;&gt;"",IF(COUNTIF(A$996:A1883,"&lt;&gt;")=0,COUNTA(B$996:B1882),IFERROR(MATCH(TRUE(),INDEX((A$996:A1883&lt;&gt;""),0),0),COUNTA(B$996:B1882))),"")</f>
        <v/>
      </c>
      <c r="L1882" s="27"/>
    </row>
    <row r="1883" customFormat="false" ht="13.8" hidden="false" customHeight="false" outlineLevel="0" collapsed="false">
      <c r="A1883" s="16"/>
      <c r="B1883" s="16"/>
      <c r="C1883" s="26"/>
      <c r="D1883" s="26"/>
      <c r="E1883" s="16"/>
      <c r="F1883" s="18"/>
      <c r="G1883" s="19" t="str">
        <f aca="true">IF(F1883="", "", DATEDIF(F1883, TODAY(), "Y"))</f>
        <v/>
      </c>
      <c r="H1883" s="18"/>
      <c r="I1883" s="18"/>
      <c r="J1883" s="24" t="str">
        <f aca="true">IF(ISBLANK(H1883), "", I1883-TODAY())</f>
        <v/>
      </c>
      <c r="K1883" s="24" t="str">
        <f aca="false" t="array" ref="K1883:K1883">IF(A1883&lt;&gt;"",IF(COUNTIF(A$996:A1884,"&lt;&gt;")=0,COUNTA(B$996:B1883),IFERROR(MATCH(TRUE(),INDEX((A$996:A1884&lt;&gt;""),0),0),COUNTA(B$996:B1883))),"")</f>
        <v/>
      </c>
      <c r="L1883" s="27"/>
    </row>
    <row r="1884" customFormat="false" ht="13.8" hidden="false" customHeight="false" outlineLevel="0" collapsed="false">
      <c r="A1884" s="16"/>
      <c r="B1884" s="16"/>
      <c r="C1884" s="26"/>
      <c r="D1884" s="26"/>
      <c r="E1884" s="16"/>
      <c r="F1884" s="18"/>
      <c r="G1884" s="19" t="str">
        <f aca="true">IF(F1884="", "", DATEDIF(F1884, TODAY(), "Y"))</f>
        <v/>
      </c>
      <c r="H1884" s="18"/>
      <c r="I1884" s="18"/>
      <c r="J1884" s="24" t="str">
        <f aca="true">IF(ISBLANK(H1884), "", I1884-TODAY())</f>
        <v/>
      </c>
      <c r="K1884" s="24" t="str">
        <f aca="false" t="array" ref="K1884:K1884">IF(A1884&lt;&gt;"",IF(COUNTIF(A$996:A1885,"&lt;&gt;")=0,COUNTA(B$996:B1884),IFERROR(MATCH(TRUE(),INDEX((A$996:A1885&lt;&gt;""),0),0),COUNTA(B$996:B1884))),"")</f>
        <v/>
      </c>
      <c r="L1884" s="27"/>
    </row>
    <row r="1885" customFormat="false" ht="13.8" hidden="false" customHeight="false" outlineLevel="0" collapsed="false">
      <c r="A1885" s="16"/>
      <c r="B1885" s="16"/>
      <c r="C1885" s="26"/>
      <c r="D1885" s="26"/>
      <c r="E1885" s="16"/>
      <c r="F1885" s="18"/>
      <c r="G1885" s="19" t="str">
        <f aca="true">IF(F1885="", "", DATEDIF(F1885, TODAY(), "Y"))</f>
        <v/>
      </c>
      <c r="H1885" s="18"/>
      <c r="I1885" s="18"/>
      <c r="J1885" s="24" t="str">
        <f aca="true">IF(ISBLANK(H1885), "", I1885-TODAY())</f>
        <v/>
      </c>
      <c r="K1885" s="24" t="str">
        <f aca="false" t="array" ref="K1885:K1885">IF(A1885&lt;&gt;"",IF(COUNTIF(A$996:A1886,"&lt;&gt;")=0,COUNTA(B$996:B1885),IFERROR(MATCH(TRUE(),INDEX((A$996:A1886&lt;&gt;""),0),0),COUNTA(B$996:B1885))),"")</f>
        <v/>
      </c>
      <c r="L1885" s="27"/>
    </row>
    <row r="1886" customFormat="false" ht="13.8" hidden="false" customHeight="false" outlineLevel="0" collapsed="false">
      <c r="A1886" s="16"/>
      <c r="B1886" s="16"/>
      <c r="C1886" s="26"/>
      <c r="D1886" s="26"/>
      <c r="E1886" s="16"/>
      <c r="F1886" s="18"/>
      <c r="G1886" s="19" t="str">
        <f aca="true">IF(F1886="", "", DATEDIF(F1886, TODAY(), "Y"))</f>
        <v/>
      </c>
      <c r="H1886" s="18"/>
      <c r="I1886" s="18"/>
      <c r="J1886" s="24" t="str">
        <f aca="true">IF(ISBLANK(H1886), "", I1886-TODAY())</f>
        <v/>
      </c>
      <c r="K1886" s="24" t="str">
        <f aca="false" t="array" ref="K1886:K1886">IF(A1886&lt;&gt;"",IF(COUNTIF(A$996:A1887,"&lt;&gt;")=0,COUNTA(B$996:B1886),IFERROR(MATCH(TRUE(),INDEX((A$996:A1887&lt;&gt;""),0),0),COUNTA(B$996:B1886))),"")</f>
        <v/>
      </c>
      <c r="L1886" s="27"/>
    </row>
    <row r="1887" customFormat="false" ht="13.8" hidden="false" customHeight="false" outlineLevel="0" collapsed="false">
      <c r="A1887" s="16"/>
      <c r="B1887" s="16"/>
      <c r="C1887" s="26"/>
      <c r="D1887" s="26"/>
      <c r="E1887" s="16"/>
      <c r="F1887" s="18"/>
      <c r="G1887" s="19" t="str">
        <f aca="true">IF(F1887="", "", DATEDIF(F1887, TODAY(), "Y"))</f>
        <v/>
      </c>
      <c r="H1887" s="18"/>
      <c r="I1887" s="18"/>
      <c r="J1887" s="24" t="str">
        <f aca="true">IF(ISBLANK(H1887), "", I1887-TODAY())</f>
        <v/>
      </c>
      <c r="K1887" s="24" t="str">
        <f aca="false" t="array" ref="K1887:K1887">IF(A1887&lt;&gt;"",IF(COUNTIF(A$996:A1888,"&lt;&gt;")=0,COUNTA(B$996:B1887),IFERROR(MATCH(TRUE(),INDEX((A$996:A1888&lt;&gt;""),0),0),COUNTA(B$996:B1887))),"")</f>
        <v/>
      </c>
      <c r="L1887" s="27"/>
    </row>
    <row r="1888" customFormat="false" ht="13.8" hidden="false" customHeight="false" outlineLevel="0" collapsed="false">
      <c r="A1888" s="16"/>
      <c r="B1888" s="16"/>
      <c r="C1888" s="26"/>
      <c r="D1888" s="26"/>
      <c r="E1888" s="16"/>
      <c r="F1888" s="18"/>
      <c r="G1888" s="19" t="str">
        <f aca="true">IF(F1888="", "", DATEDIF(F1888, TODAY(), "Y"))</f>
        <v/>
      </c>
      <c r="H1888" s="18"/>
      <c r="I1888" s="18"/>
      <c r="J1888" s="24" t="str">
        <f aca="true">IF(ISBLANK(H1888), "", I1888-TODAY())</f>
        <v/>
      </c>
      <c r="K1888" s="24" t="str">
        <f aca="false" t="array" ref="K1888:K1888">IF(A1888&lt;&gt;"",IF(COUNTIF(A$996:A1889,"&lt;&gt;")=0,COUNTA(B$996:B1888),IFERROR(MATCH(TRUE(),INDEX((A$996:A1889&lt;&gt;""),0),0),COUNTA(B$996:B1888))),"")</f>
        <v/>
      </c>
      <c r="L1888" s="27"/>
    </row>
    <row r="1889" customFormat="false" ht="13.8" hidden="false" customHeight="false" outlineLevel="0" collapsed="false">
      <c r="A1889" s="16"/>
      <c r="B1889" s="16"/>
      <c r="C1889" s="26"/>
      <c r="D1889" s="26"/>
      <c r="E1889" s="16"/>
      <c r="F1889" s="18"/>
      <c r="G1889" s="19" t="str">
        <f aca="true">IF(F1889="", "", DATEDIF(F1889, TODAY(), "Y"))</f>
        <v/>
      </c>
      <c r="H1889" s="18"/>
      <c r="I1889" s="18"/>
      <c r="J1889" s="24" t="str">
        <f aca="true">IF(ISBLANK(H1889), "", I1889-TODAY())</f>
        <v/>
      </c>
      <c r="K1889" s="24" t="str">
        <f aca="false" t="array" ref="K1889:K1889">IF(A1889&lt;&gt;"",IF(COUNTIF(A$996:A1890,"&lt;&gt;")=0,COUNTA(B$996:B1889),IFERROR(MATCH(TRUE(),INDEX((A$996:A1890&lt;&gt;""),0),0),COUNTA(B$996:B1889))),"")</f>
        <v/>
      </c>
      <c r="L1889" s="27"/>
    </row>
    <row r="1890" customFormat="false" ht="13.8" hidden="false" customHeight="false" outlineLevel="0" collapsed="false">
      <c r="A1890" s="16"/>
      <c r="B1890" s="16"/>
      <c r="C1890" s="26"/>
      <c r="D1890" s="26"/>
      <c r="E1890" s="16"/>
      <c r="F1890" s="18"/>
      <c r="G1890" s="19" t="str">
        <f aca="true">IF(F1890="", "", DATEDIF(F1890, TODAY(), "Y"))</f>
        <v/>
      </c>
      <c r="H1890" s="18"/>
      <c r="I1890" s="18"/>
      <c r="J1890" s="24" t="str">
        <f aca="true">IF(ISBLANK(H1890), "", I1890-TODAY())</f>
        <v/>
      </c>
      <c r="K1890" s="24" t="str">
        <f aca="false" t="array" ref="K1890:K1890">IF(A1890&lt;&gt;"",IF(COUNTIF(A$996:A1891,"&lt;&gt;")=0,COUNTA(B$996:B1890),IFERROR(MATCH(TRUE(),INDEX((A$996:A1891&lt;&gt;""),0),0),COUNTA(B$996:B1890))),"")</f>
        <v/>
      </c>
      <c r="L1890" s="27"/>
    </row>
    <row r="1891" customFormat="false" ht="13.8" hidden="false" customHeight="false" outlineLevel="0" collapsed="false">
      <c r="A1891" s="16"/>
      <c r="B1891" s="16"/>
      <c r="C1891" s="26"/>
      <c r="D1891" s="26"/>
      <c r="E1891" s="16"/>
      <c r="F1891" s="18"/>
      <c r="G1891" s="19" t="str">
        <f aca="true">IF(F1891="", "", DATEDIF(F1891, TODAY(), "Y"))</f>
        <v/>
      </c>
      <c r="H1891" s="18"/>
      <c r="I1891" s="18"/>
      <c r="J1891" s="24" t="str">
        <f aca="true">IF(ISBLANK(H1891), "", I1891-TODAY())</f>
        <v/>
      </c>
      <c r="K1891" s="24" t="str">
        <f aca="false" t="array" ref="K1891:K1891">IF(A1891&lt;&gt;"",IF(COUNTIF(A$996:A1892,"&lt;&gt;")=0,COUNTA(B$996:B1891),IFERROR(MATCH(TRUE(),INDEX((A$996:A1892&lt;&gt;""),0),0),COUNTA(B$996:B1891))),"")</f>
        <v/>
      </c>
      <c r="L1891" s="27"/>
    </row>
    <row r="1892" customFormat="false" ht="13.8" hidden="false" customHeight="false" outlineLevel="0" collapsed="false">
      <c r="A1892" s="16"/>
      <c r="B1892" s="16"/>
      <c r="C1892" s="26"/>
      <c r="D1892" s="26"/>
      <c r="E1892" s="16"/>
      <c r="F1892" s="18"/>
      <c r="G1892" s="19" t="str">
        <f aca="true">IF(F1892="", "", DATEDIF(F1892, TODAY(), "Y"))</f>
        <v/>
      </c>
      <c r="H1892" s="18"/>
      <c r="I1892" s="18"/>
      <c r="J1892" s="24" t="str">
        <f aca="true">IF(ISBLANK(H1892), "", I1892-TODAY())</f>
        <v/>
      </c>
      <c r="K1892" s="24" t="str">
        <f aca="false" t="array" ref="K1892:K1892">IF(A1892&lt;&gt;"",IF(COUNTIF(A$996:A1893,"&lt;&gt;")=0,COUNTA(B$996:B1892),IFERROR(MATCH(TRUE(),INDEX((A$996:A1893&lt;&gt;""),0),0),COUNTA(B$996:B1892))),"")</f>
        <v/>
      </c>
      <c r="L1892" s="27"/>
    </row>
    <row r="1893" customFormat="false" ht="13.8" hidden="false" customHeight="false" outlineLevel="0" collapsed="false">
      <c r="A1893" s="16"/>
      <c r="B1893" s="16"/>
      <c r="C1893" s="26"/>
      <c r="D1893" s="26"/>
      <c r="E1893" s="16"/>
      <c r="F1893" s="18"/>
      <c r="G1893" s="19" t="str">
        <f aca="true">IF(F1893="", "", DATEDIF(F1893, TODAY(), "Y"))</f>
        <v/>
      </c>
      <c r="H1893" s="18"/>
      <c r="I1893" s="18"/>
      <c r="J1893" s="24" t="str">
        <f aca="true">IF(ISBLANK(H1893), "", I1893-TODAY())</f>
        <v/>
      </c>
      <c r="K1893" s="24" t="str">
        <f aca="false" t="array" ref="K1893:K1893">IF(A1893&lt;&gt;"",IF(COUNTIF(A$996:A1894,"&lt;&gt;")=0,COUNTA(B$996:B1893),IFERROR(MATCH(TRUE(),INDEX((A$996:A1894&lt;&gt;""),0),0),COUNTA(B$996:B1893))),"")</f>
        <v/>
      </c>
      <c r="L1893" s="27"/>
    </row>
    <row r="1894" customFormat="false" ht="13.8" hidden="false" customHeight="false" outlineLevel="0" collapsed="false">
      <c r="A1894" s="16"/>
      <c r="B1894" s="16"/>
      <c r="C1894" s="26"/>
      <c r="D1894" s="26"/>
      <c r="E1894" s="16"/>
      <c r="F1894" s="18"/>
      <c r="G1894" s="19" t="str">
        <f aca="true">IF(F1894="", "", DATEDIF(F1894, TODAY(), "Y"))</f>
        <v/>
      </c>
      <c r="H1894" s="18"/>
      <c r="I1894" s="18"/>
      <c r="J1894" s="24" t="str">
        <f aca="true">IF(ISBLANK(H1894), "", I1894-TODAY())</f>
        <v/>
      </c>
      <c r="K1894" s="24" t="str">
        <f aca="false" t="array" ref="K1894:K1894">IF(A1894&lt;&gt;"",IF(COUNTIF(A$996:A1895,"&lt;&gt;")=0,COUNTA(B$996:B1894),IFERROR(MATCH(TRUE(),INDEX((A$996:A1895&lt;&gt;""),0),0),COUNTA(B$996:B1894))),"")</f>
        <v/>
      </c>
      <c r="L1894" s="27"/>
    </row>
    <row r="1895" customFormat="false" ht="13.8" hidden="false" customHeight="false" outlineLevel="0" collapsed="false">
      <c r="A1895" s="16"/>
      <c r="B1895" s="16"/>
      <c r="C1895" s="26"/>
      <c r="D1895" s="26"/>
      <c r="E1895" s="16"/>
      <c r="F1895" s="18"/>
      <c r="G1895" s="19" t="str">
        <f aca="true">IF(F1895="", "", DATEDIF(F1895, TODAY(), "Y"))</f>
        <v/>
      </c>
      <c r="H1895" s="18"/>
      <c r="I1895" s="18"/>
      <c r="J1895" s="24" t="str">
        <f aca="true">IF(ISBLANK(H1895), "", I1895-TODAY())</f>
        <v/>
      </c>
      <c r="K1895" s="24" t="str">
        <f aca="false" t="array" ref="K1895:K1895">IF(A1895&lt;&gt;"",IF(COUNTIF(A$996:A1896,"&lt;&gt;")=0,COUNTA(B$996:B1895),IFERROR(MATCH(TRUE(),INDEX((A$996:A1896&lt;&gt;""),0),0),COUNTA(B$996:B1895))),"")</f>
        <v/>
      </c>
      <c r="L1895" s="27"/>
    </row>
    <row r="1896" customFormat="false" ht="13.8" hidden="false" customHeight="false" outlineLevel="0" collapsed="false">
      <c r="A1896" s="16"/>
      <c r="B1896" s="16"/>
      <c r="C1896" s="26"/>
      <c r="D1896" s="26"/>
      <c r="E1896" s="16"/>
      <c r="F1896" s="18"/>
      <c r="G1896" s="19" t="str">
        <f aca="true">IF(F1896="", "", DATEDIF(F1896, TODAY(), "Y"))</f>
        <v/>
      </c>
      <c r="H1896" s="18"/>
      <c r="I1896" s="18"/>
      <c r="J1896" s="24" t="str">
        <f aca="true">IF(ISBLANK(H1896), "", I1896-TODAY())</f>
        <v/>
      </c>
      <c r="K1896" s="24" t="str">
        <f aca="false" t="array" ref="K1896:K1896">IF(A1896&lt;&gt;"",IF(COUNTIF(A$996:A1897,"&lt;&gt;")=0,COUNTA(B$996:B1896),IFERROR(MATCH(TRUE(),INDEX((A$996:A1897&lt;&gt;""),0),0),COUNTA(B$996:B1896))),"")</f>
        <v/>
      </c>
      <c r="L1896" s="27"/>
    </row>
    <row r="1897" customFormat="false" ht="13.8" hidden="false" customHeight="false" outlineLevel="0" collapsed="false">
      <c r="A1897" s="16"/>
      <c r="B1897" s="16"/>
      <c r="C1897" s="26"/>
      <c r="D1897" s="26"/>
      <c r="E1897" s="16"/>
      <c r="F1897" s="18"/>
      <c r="G1897" s="19" t="str">
        <f aca="true">IF(F1897="", "", DATEDIF(F1897, TODAY(), "Y"))</f>
        <v/>
      </c>
      <c r="H1897" s="18"/>
      <c r="I1897" s="18"/>
      <c r="J1897" s="24" t="str">
        <f aca="true">IF(ISBLANK(H1897), "", I1897-TODAY())</f>
        <v/>
      </c>
      <c r="K1897" s="24" t="str">
        <f aca="false" t="array" ref="K1897:K1897">IF(A1897&lt;&gt;"",IF(COUNTIF(A$996:A1898,"&lt;&gt;")=0,COUNTA(B$996:B1897),IFERROR(MATCH(TRUE(),INDEX((A$996:A1898&lt;&gt;""),0),0),COUNTA(B$996:B1897))),"")</f>
        <v/>
      </c>
      <c r="L1897" s="27"/>
    </row>
    <row r="1898" customFormat="false" ht="13.8" hidden="false" customHeight="false" outlineLevel="0" collapsed="false">
      <c r="A1898" s="16"/>
      <c r="B1898" s="16"/>
      <c r="C1898" s="26"/>
      <c r="D1898" s="26"/>
      <c r="E1898" s="16"/>
      <c r="F1898" s="18"/>
      <c r="G1898" s="19" t="str">
        <f aca="true">IF(F1898="", "", DATEDIF(F1898, TODAY(), "Y"))</f>
        <v/>
      </c>
      <c r="H1898" s="18"/>
      <c r="I1898" s="18"/>
      <c r="J1898" s="24" t="str">
        <f aca="true">IF(ISBLANK(H1898), "", I1898-TODAY())</f>
        <v/>
      </c>
      <c r="K1898" s="24" t="str">
        <f aca="false" t="array" ref="K1898:K1898">IF(A1898&lt;&gt;"",IF(COUNTIF(A$996:A1899,"&lt;&gt;")=0,COUNTA(B$996:B1898),IFERROR(MATCH(TRUE(),INDEX((A$996:A1899&lt;&gt;""),0),0),COUNTA(B$996:B1898))),"")</f>
        <v/>
      </c>
      <c r="L1898" s="27"/>
    </row>
    <row r="1899" customFormat="false" ht="13.8" hidden="false" customHeight="false" outlineLevel="0" collapsed="false">
      <c r="A1899" s="16"/>
      <c r="B1899" s="16"/>
      <c r="C1899" s="26"/>
      <c r="D1899" s="26"/>
      <c r="E1899" s="16"/>
      <c r="F1899" s="18"/>
      <c r="G1899" s="19" t="str">
        <f aca="true">IF(F1899="", "", DATEDIF(F1899, TODAY(), "Y"))</f>
        <v/>
      </c>
      <c r="H1899" s="18"/>
      <c r="I1899" s="18"/>
      <c r="J1899" s="24" t="str">
        <f aca="true">IF(ISBLANK(H1899), "", I1899-TODAY())</f>
        <v/>
      </c>
      <c r="K1899" s="24" t="str">
        <f aca="false" t="array" ref="K1899:K1899">IF(A1899&lt;&gt;"",IF(COUNTIF(A$996:A1900,"&lt;&gt;")=0,COUNTA(B$996:B1899),IFERROR(MATCH(TRUE(),INDEX((A$996:A1900&lt;&gt;""),0),0),COUNTA(B$996:B1899))),"")</f>
        <v/>
      </c>
      <c r="L1899" s="27"/>
    </row>
    <row r="1900" customFormat="false" ht="13.8" hidden="false" customHeight="false" outlineLevel="0" collapsed="false">
      <c r="A1900" s="16"/>
      <c r="B1900" s="16"/>
      <c r="C1900" s="26"/>
      <c r="D1900" s="26"/>
      <c r="E1900" s="16"/>
      <c r="F1900" s="18"/>
      <c r="G1900" s="19" t="str">
        <f aca="true">IF(F1900="", "", DATEDIF(F1900, TODAY(), "Y"))</f>
        <v/>
      </c>
      <c r="H1900" s="18"/>
      <c r="I1900" s="18"/>
      <c r="J1900" s="24" t="str">
        <f aca="true">IF(ISBLANK(H1900), "", I1900-TODAY())</f>
        <v/>
      </c>
      <c r="K1900" s="24" t="str">
        <f aca="false" t="array" ref="K1900:K1900">IF(A1900&lt;&gt;"",IF(COUNTIF(A$996:A1901,"&lt;&gt;")=0,COUNTA(B$996:B1900),IFERROR(MATCH(TRUE(),INDEX((A$996:A1901&lt;&gt;""),0),0),COUNTA(B$996:B1900))),"")</f>
        <v/>
      </c>
      <c r="L1900" s="27"/>
    </row>
    <row r="1901" customFormat="false" ht="13.8" hidden="false" customHeight="false" outlineLevel="0" collapsed="false">
      <c r="A1901" s="16"/>
      <c r="B1901" s="16"/>
      <c r="C1901" s="26"/>
      <c r="D1901" s="26"/>
      <c r="E1901" s="16"/>
      <c r="F1901" s="18"/>
      <c r="G1901" s="19" t="str">
        <f aca="true">IF(F1901="", "", DATEDIF(F1901, TODAY(), "Y"))</f>
        <v/>
      </c>
      <c r="H1901" s="18"/>
      <c r="I1901" s="18"/>
      <c r="J1901" s="24" t="str">
        <f aca="true">IF(ISBLANK(H1901), "", I1901-TODAY())</f>
        <v/>
      </c>
      <c r="K1901" s="24" t="str">
        <f aca="false" t="array" ref="K1901:K1901">IF(A1901&lt;&gt;"",IF(COUNTIF(A$996:A1902,"&lt;&gt;")=0,COUNTA(B$996:B1901),IFERROR(MATCH(TRUE(),INDEX((A$996:A1902&lt;&gt;""),0),0),COUNTA(B$996:B1901))),"")</f>
        <v/>
      </c>
      <c r="L1901" s="27"/>
    </row>
    <row r="1902" customFormat="false" ht="13.8" hidden="false" customHeight="false" outlineLevel="0" collapsed="false">
      <c r="A1902" s="16"/>
      <c r="B1902" s="16"/>
      <c r="C1902" s="26"/>
      <c r="D1902" s="26"/>
      <c r="E1902" s="16"/>
      <c r="F1902" s="18"/>
      <c r="G1902" s="19" t="str">
        <f aca="true">IF(F1902="", "", DATEDIF(F1902, TODAY(), "Y"))</f>
        <v/>
      </c>
      <c r="H1902" s="18"/>
      <c r="I1902" s="18"/>
      <c r="J1902" s="24" t="str">
        <f aca="true">IF(ISBLANK(H1902), "", I1902-TODAY())</f>
        <v/>
      </c>
      <c r="K1902" s="24" t="str">
        <f aca="false" t="array" ref="K1902:K1902">IF(A1902&lt;&gt;"",IF(COUNTIF(A$996:A1903,"&lt;&gt;")=0,COUNTA(B$996:B1902),IFERROR(MATCH(TRUE(),INDEX((A$996:A1903&lt;&gt;""),0),0),COUNTA(B$996:B1902))),"")</f>
        <v/>
      </c>
      <c r="L1902" s="27"/>
    </row>
    <row r="1903" customFormat="false" ht="13.8" hidden="false" customHeight="false" outlineLevel="0" collapsed="false">
      <c r="A1903" s="16"/>
      <c r="B1903" s="16"/>
      <c r="C1903" s="26"/>
      <c r="D1903" s="26"/>
      <c r="E1903" s="16"/>
      <c r="F1903" s="18"/>
      <c r="G1903" s="19" t="str">
        <f aca="true">IF(F1903="", "", DATEDIF(F1903, TODAY(), "Y"))</f>
        <v/>
      </c>
      <c r="H1903" s="18"/>
      <c r="I1903" s="18"/>
      <c r="J1903" s="24" t="str">
        <f aca="true">IF(ISBLANK(H1903), "", I1903-TODAY())</f>
        <v/>
      </c>
      <c r="K1903" s="24" t="str">
        <f aca="false" t="array" ref="K1903:K1903">IF(A1903&lt;&gt;"",IF(COUNTIF(A$996:A1904,"&lt;&gt;")=0,COUNTA(B$996:B1903),IFERROR(MATCH(TRUE(),INDEX((A$996:A1904&lt;&gt;""),0),0),COUNTA(B$996:B1903))),"")</f>
        <v/>
      </c>
      <c r="L1903" s="27"/>
    </row>
    <row r="1904" customFormat="false" ht="13.8" hidden="false" customHeight="false" outlineLevel="0" collapsed="false">
      <c r="A1904" s="16"/>
      <c r="B1904" s="16"/>
      <c r="C1904" s="26"/>
      <c r="D1904" s="26"/>
      <c r="E1904" s="16"/>
      <c r="F1904" s="18"/>
      <c r="G1904" s="19" t="str">
        <f aca="true">IF(F1904="", "", DATEDIF(F1904, TODAY(), "Y"))</f>
        <v/>
      </c>
      <c r="H1904" s="18"/>
      <c r="I1904" s="18"/>
      <c r="J1904" s="24" t="str">
        <f aca="true">IF(ISBLANK(H1904), "", I1904-TODAY())</f>
        <v/>
      </c>
      <c r="K1904" s="24" t="str">
        <f aca="false" t="array" ref="K1904:K1904">IF(A1904&lt;&gt;"",IF(COUNTIF(A$996:A1905,"&lt;&gt;")=0,COUNTA(B$996:B1904),IFERROR(MATCH(TRUE(),INDEX((A$996:A1905&lt;&gt;""),0),0),COUNTA(B$996:B1904))),"")</f>
        <v/>
      </c>
      <c r="L1904" s="27"/>
    </row>
    <row r="1905" customFormat="false" ht="13.8" hidden="false" customHeight="false" outlineLevel="0" collapsed="false">
      <c r="A1905" s="16"/>
      <c r="B1905" s="16"/>
      <c r="C1905" s="26"/>
      <c r="D1905" s="26"/>
      <c r="E1905" s="16"/>
      <c r="F1905" s="18"/>
      <c r="G1905" s="19" t="str">
        <f aca="true">IF(F1905="", "", DATEDIF(F1905, TODAY(), "Y"))</f>
        <v/>
      </c>
      <c r="H1905" s="18"/>
      <c r="I1905" s="18"/>
      <c r="J1905" s="24" t="str">
        <f aca="true">IF(ISBLANK(H1905), "", I1905-TODAY())</f>
        <v/>
      </c>
      <c r="K1905" s="24" t="str">
        <f aca="false" t="array" ref="K1905:K1905">IF(A1905&lt;&gt;"",IF(COUNTIF(A$996:A1906,"&lt;&gt;")=0,COUNTA(B$996:B1905),IFERROR(MATCH(TRUE(),INDEX((A$996:A1906&lt;&gt;""),0),0),COUNTA(B$996:B1905))),"")</f>
        <v/>
      </c>
      <c r="L1905" s="27"/>
    </row>
    <row r="1906" customFormat="false" ht="13.8" hidden="false" customHeight="false" outlineLevel="0" collapsed="false">
      <c r="A1906" s="16"/>
      <c r="B1906" s="16"/>
      <c r="C1906" s="26"/>
      <c r="D1906" s="26"/>
      <c r="E1906" s="16"/>
      <c r="F1906" s="18"/>
      <c r="G1906" s="19" t="str">
        <f aca="true">IF(F1906="", "", DATEDIF(F1906, TODAY(), "Y"))</f>
        <v/>
      </c>
      <c r="H1906" s="18"/>
      <c r="I1906" s="18"/>
      <c r="J1906" s="24" t="str">
        <f aca="true">IF(ISBLANK(H1906), "", I1906-TODAY())</f>
        <v/>
      </c>
      <c r="K1906" s="24" t="str">
        <f aca="false" t="array" ref="K1906:K1906">IF(A1906&lt;&gt;"",IF(COUNTIF(A$996:A1907,"&lt;&gt;")=0,COUNTA(B$996:B1906),IFERROR(MATCH(TRUE(),INDEX((A$996:A1907&lt;&gt;""),0),0),COUNTA(B$996:B1906))),"")</f>
        <v/>
      </c>
      <c r="L1906" s="27"/>
    </row>
    <row r="1907" customFormat="false" ht="13.8" hidden="false" customHeight="false" outlineLevel="0" collapsed="false">
      <c r="A1907" s="16"/>
      <c r="B1907" s="16"/>
      <c r="C1907" s="26"/>
      <c r="D1907" s="26"/>
      <c r="E1907" s="16"/>
      <c r="F1907" s="18"/>
      <c r="G1907" s="19" t="str">
        <f aca="true">IF(F1907="", "", DATEDIF(F1907, TODAY(), "Y"))</f>
        <v/>
      </c>
      <c r="H1907" s="18"/>
      <c r="I1907" s="18"/>
      <c r="J1907" s="24" t="str">
        <f aca="true">IF(ISBLANK(H1907), "", I1907-TODAY())</f>
        <v/>
      </c>
      <c r="K1907" s="24" t="str">
        <f aca="false" t="array" ref="K1907:K1907">IF(A1907&lt;&gt;"",IF(COUNTIF(A$996:A1908,"&lt;&gt;")=0,COUNTA(B$996:B1907),IFERROR(MATCH(TRUE(),INDEX((A$996:A1908&lt;&gt;""),0),0),COUNTA(B$996:B1907))),"")</f>
        <v/>
      </c>
      <c r="L1907" s="27"/>
    </row>
    <row r="1908" customFormat="false" ht="13.8" hidden="false" customHeight="false" outlineLevel="0" collapsed="false">
      <c r="A1908" s="16"/>
      <c r="B1908" s="16"/>
      <c r="C1908" s="26"/>
      <c r="D1908" s="26"/>
      <c r="E1908" s="16"/>
      <c r="F1908" s="18"/>
      <c r="G1908" s="19" t="str">
        <f aca="true">IF(F1908="", "", DATEDIF(F1908, TODAY(), "Y"))</f>
        <v/>
      </c>
      <c r="H1908" s="18"/>
      <c r="I1908" s="18"/>
      <c r="J1908" s="24" t="str">
        <f aca="true">IF(ISBLANK(H1908), "", I1908-TODAY())</f>
        <v/>
      </c>
      <c r="K1908" s="24" t="str">
        <f aca="false" t="array" ref="K1908:K1908">IF(A1908&lt;&gt;"",IF(COUNTIF(A$996:A1909,"&lt;&gt;")=0,COUNTA(B$996:B1908),IFERROR(MATCH(TRUE(),INDEX((A$996:A1909&lt;&gt;""),0),0),COUNTA(B$996:B1908))),"")</f>
        <v/>
      </c>
      <c r="L1908" s="27"/>
    </row>
    <row r="1909" customFormat="false" ht="13.8" hidden="false" customHeight="false" outlineLevel="0" collapsed="false">
      <c r="A1909" s="16"/>
      <c r="B1909" s="16"/>
      <c r="C1909" s="26"/>
      <c r="D1909" s="26"/>
      <c r="E1909" s="16"/>
      <c r="F1909" s="18"/>
      <c r="G1909" s="19" t="str">
        <f aca="true">IF(F1909="", "", DATEDIF(F1909, TODAY(), "Y"))</f>
        <v/>
      </c>
      <c r="H1909" s="18"/>
      <c r="I1909" s="18"/>
      <c r="J1909" s="24" t="str">
        <f aca="true">IF(ISBLANK(H1909), "", I1909-TODAY())</f>
        <v/>
      </c>
      <c r="K1909" s="24" t="str">
        <f aca="false" t="array" ref="K1909:K1909">IF(A1909&lt;&gt;"",IF(COUNTIF(A$996:A1910,"&lt;&gt;")=0,COUNTA(B$996:B1909),IFERROR(MATCH(TRUE(),INDEX((A$996:A1910&lt;&gt;""),0),0),COUNTA(B$996:B1909))),"")</f>
        <v/>
      </c>
      <c r="L1909" s="27"/>
    </row>
    <row r="1910" customFormat="false" ht="13.8" hidden="false" customHeight="false" outlineLevel="0" collapsed="false">
      <c r="A1910" s="16"/>
      <c r="B1910" s="16"/>
      <c r="C1910" s="26"/>
      <c r="D1910" s="26"/>
      <c r="E1910" s="16"/>
      <c r="F1910" s="18"/>
      <c r="G1910" s="19" t="str">
        <f aca="true">IF(F1910="", "", DATEDIF(F1910, TODAY(), "Y"))</f>
        <v/>
      </c>
      <c r="H1910" s="18"/>
      <c r="I1910" s="18"/>
      <c r="J1910" s="24" t="str">
        <f aca="true">IF(ISBLANK(H1910), "", I1910-TODAY())</f>
        <v/>
      </c>
      <c r="K1910" s="24" t="str">
        <f aca="false" t="array" ref="K1910:K1910">IF(A1910&lt;&gt;"",IF(COUNTIF(A$996:A1911,"&lt;&gt;")=0,COUNTA(B$996:B1910),IFERROR(MATCH(TRUE(),INDEX((A$996:A1911&lt;&gt;""),0),0),COUNTA(B$996:B1910))),"")</f>
        <v/>
      </c>
      <c r="L1910" s="27"/>
    </row>
    <row r="1911" customFormat="false" ht="13.8" hidden="false" customHeight="false" outlineLevel="0" collapsed="false">
      <c r="A1911" s="16"/>
      <c r="B1911" s="16"/>
      <c r="C1911" s="26"/>
      <c r="D1911" s="26"/>
      <c r="E1911" s="16"/>
      <c r="F1911" s="18"/>
      <c r="G1911" s="19" t="str">
        <f aca="true">IF(F1911="", "", DATEDIF(F1911, TODAY(), "Y"))</f>
        <v/>
      </c>
      <c r="H1911" s="18"/>
      <c r="I1911" s="18"/>
      <c r="J1911" s="24" t="str">
        <f aca="true">IF(ISBLANK(H1911), "", I1911-TODAY())</f>
        <v/>
      </c>
      <c r="K1911" s="24" t="str">
        <f aca="false" t="array" ref="K1911:K1911">IF(A1911&lt;&gt;"",IF(COUNTIF(A$996:A1912,"&lt;&gt;")=0,COUNTA(B$996:B1911),IFERROR(MATCH(TRUE(),INDEX((A$996:A1912&lt;&gt;""),0),0),COUNTA(B$996:B1911))),"")</f>
        <v/>
      </c>
      <c r="L1911" s="27"/>
    </row>
    <row r="1912" customFormat="false" ht="13.8" hidden="false" customHeight="false" outlineLevel="0" collapsed="false">
      <c r="A1912" s="16"/>
      <c r="B1912" s="16"/>
      <c r="C1912" s="26"/>
      <c r="D1912" s="26"/>
      <c r="E1912" s="16"/>
      <c r="F1912" s="18"/>
      <c r="G1912" s="19" t="str">
        <f aca="true">IF(F1912="", "", DATEDIF(F1912, TODAY(), "Y"))</f>
        <v/>
      </c>
      <c r="H1912" s="18"/>
      <c r="I1912" s="18"/>
      <c r="J1912" s="24" t="str">
        <f aca="true">IF(ISBLANK(H1912), "", I1912-TODAY())</f>
        <v/>
      </c>
      <c r="K1912" s="24" t="str">
        <f aca="false" t="array" ref="K1912:K1912">IF(A1912&lt;&gt;"",IF(COUNTIF(A$996:A1913,"&lt;&gt;")=0,COUNTA(B$996:B1912),IFERROR(MATCH(TRUE(),INDEX((A$996:A1913&lt;&gt;""),0),0),COUNTA(B$996:B1912))),"")</f>
        <v/>
      </c>
      <c r="L1912" s="27"/>
    </row>
    <row r="1913" customFormat="false" ht="13.8" hidden="false" customHeight="false" outlineLevel="0" collapsed="false">
      <c r="A1913" s="16"/>
      <c r="B1913" s="16"/>
      <c r="C1913" s="26"/>
      <c r="D1913" s="26"/>
      <c r="E1913" s="16"/>
      <c r="F1913" s="18"/>
      <c r="G1913" s="19" t="str">
        <f aca="true">IF(F1913="", "", DATEDIF(F1913, TODAY(), "Y"))</f>
        <v/>
      </c>
      <c r="H1913" s="18"/>
      <c r="I1913" s="18"/>
      <c r="J1913" s="24" t="str">
        <f aca="true">IF(ISBLANK(H1913), "", I1913-TODAY())</f>
        <v/>
      </c>
      <c r="K1913" s="24" t="str">
        <f aca="false" t="array" ref="K1913:K1913">IF(A1913&lt;&gt;"",IF(COUNTIF(A$996:A1914,"&lt;&gt;")=0,COUNTA(B$996:B1913),IFERROR(MATCH(TRUE(),INDEX((A$996:A1914&lt;&gt;""),0),0),COUNTA(B$996:B1913))),"")</f>
        <v/>
      </c>
      <c r="L1913" s="27"/>
    </row>
    <row r="1914" customFormat="false" ht="13.8" hidden="false" customHeight="false" outlineLevel="0" collapsed="false">
      <c r="A1914" s="16"/>
      <c r="B1914" s="16"/>
      <c r="C1914" s="26"/>
      <c r="D1914" s="26"/>
      <c r="E1914" s="16"/>
      <c r="F1914" s="18"/>
      <c r="G1914" s="19" t="str">
        <f aca="true">IF(F1914="", "", DATEDIF(F1914, TODAY(), "Y"))</f>
        <v/>
      </c>
      <c r="H1914" s="18"/>
      <c r="I1914" s="18"/>
      <c r="J1914" s="24" t="str">
        <f aca="true">IF(ISBLANK(H1914), "", I1914-TODAY())</f>
        <v/>
      </c>
      <c r="K1914" s="24" t="str">
        <f aca="false" t="array" ref="K1914:K1914">IF(A1914&lt;&gt;"",IF(COUNTIF(A$996:A1915,"&lt;&gt;")=0,COUNTA(B$996:B1914),IFERROR(MATCH(TRUE(),INDEX((A$996:A1915&lt;&gt;""),0),0),COUNTA(B$996:B1914))),"")</f>
        <v/>
      </c>
      <c r="L1914" s="27"/>
    </row>
    <row r="1915" customFormat="false" ht="13.8" hidden="false" customHeight="false" outlineLevel="0" collapsed="false">
      <c r="A1915" s="16"/>
      <c r="B1915" s="16"/>
      <c r="C1915" s="26"/>
      <c r="D1915" s="26"/>
      <c r="E1915" s="16"/>
      <c r="F1915" s="18"/>
      <c r="G1915" s="19" t="str">
        <f aca="true">IF(F1915="", "", DATEDIF(F1915, TODAY(), "Y"))</f>
        <v/>
      </c>
      <c r="H1915" s="18"/>
      <c r="I1915" s="18"/>
      <c r="J1915" s="24" t="str">
        <f aca="true">IF(ISBLANK(H1915), "", I1915-TODAY())</f>
        <v/>
      </c>
      <c r="K1915" s="24" t="str">
        <f aca="false" t="array" ref="K1915:K1915">IF(A1915&lt;&gt;"",IF(COUNTIF(A$996:A1916,"&lt;&gt;")=0,COUNTA(B$996:B1915),IFERROR(MATCH(TRUE(),INDEX((A$996:A1916&lt;&gt;""),0),0),COUNTA(B$996:B1915))),"")</f>
        <v/>
      </c>
      <c r="L1915" s="27"/>
    </row>
    <row r="1916" customFormat="false" ht="13.8" hidden="false" customHeight="false" outlineLevel="0" collapsed="false">
      <c r="A1916" s="16"/>
      <c r="B1916" s="16"/>
      <c r="C1916" s="26"/>
      <c r="D1916" s="26"/>
      <c r="E1916" s="16"/>
      <c r="F1916" s="18"/>
      <c r="G1916" s="19" t="str">
        <f aca="true">IF(F1916="", "", DATEDIF(F1916, TODAY(), "Y"))</f>
        <v/>
      </c>
      <c r="H1916" s="18"/>
      <c r="I1916" s="18"/>
      <c r="J1916" s="24" t="str">
        <f aca="true">IF(ISBLANK(H1916), "", I1916-TODAY())</f>
        <v/>
      </c>
      <c r="K1916" s="24" t="str">
        <f aca="false" t="array" ref="K1916:K1916">IF(A1916&lt;&gt;"",IF(COUNTIF(A$996:A1917,"&lt;&gt;")=0,COUNTA(B$996:B1916),IFERROR(MATCH(TRUE(),INDEX((A$996:A1917&lt;&gt;""),0),0),COUNTA(B$996:B1916))),"")</f>
        <v/>
      </c>
      <c r="L1916" s="27"/>
    </row>
    <row r="1917" customFormat="false" ht="13.8" hidden="false" customHeight="false" outlineLevel="0" collapsed="false">
      <c r="A1917" s="16"/>
      <c r="B1917" s="16"/>
      <c r="C1917" s="26"/>
      <c r="D1917" s="26"/>
      <c r="E1917" s="16"/>
      <c r="F1917" s="18"/>
      <c r="G1917" s="19" t="str">
        <f aca="true">IF(F1917="", "", DATEDIF(F1917, TODAY(), "Y"))</f>
        <v/>
      </c>
      <c r="H1917" s="18"/>
      <c r="I1917" s="18"/>
      <c r="J1917" s="24" t="str">
        <f aca="true">IF(ISBLANK(H1917), "", I1917-TODAY())</f>
        <v/>
      </c>
      <c r="K1917" s="24" t="str">
        <f aca="false" t="array" ref="K1917:K1917">IF(A1917&lt;&gt;"",IF(COUNTIF(A$996:A1918,"&lt;&gt;")=0,COUNTA(B$996:B1917),IFERROR(MATCH(TRUE(),INDEX((A$996:A1918&lt;&gt;""),0),0),COUNTA(B$996:B1917))),"")</f>
        <v/>
      </c>
      <c r="L1917" s="27"/>
    </row>
    <row r="1918" customFormat="false" ht="13.8" hidden="false" customHeight="false" outlineLevel="0" collapsed="false">
      <c r="A1918" s="16"/>
      <c r="B1918" s="16"/>
      <c r="C1918" s="26"/>
      <c r="D1918" s="26"/>
      <c r="E1918" s="16"/>
      <c r="F1918" s="18"/>
      <c r="G1918" s="19" t="str">
        <f aca="true">IF(F1918="", "", DATEDIF(F1918, TODAY(), "Y"))</f>
        <v/>
      </c>
      <c r="H1918" s="18"/>
      <c r="I1918" s="18"/>
      <c r="J1918" s="24" t="str">
        <f aca="true">IF(ISBLANK(H1918), "", I1918-TODAY())</f>
        <v/>
      </c>
      <c r="K1918" s="24" t="str">
        <f aca="false" t="array" ref="K1918:K1918">IF(A1918&lt;&gt;"",IF(COUNTIF(A$996:A1919,"&lt;&gt;")=0,COUNTA(B$996:B1918),IFERROR(MATCH(TRUE(),INDEX((A$996:A1919&lt;&gt;""),0),0),COUNTA(B$996:B1918))),"")</f>
        <v/>
      </c>
      <c r="L1918" s="27"/>
    </row>
    <row r="1919" customFormat="false" ht="13.8" hidden="false" customHeight="false" outlineLevel="0" collapsed="false">
      <c r="A1919" s="16"/>
      <c r="B1919" s="16"/>
      <c r="C1919" s="26"/>
      <c r="D1919" s="26"/>
      <c r="E1919" s="16"/>
      <c r="F1919" s="18"/>
      <c r="G1919" s="19" t="str">
        <f aca="true">IF(F1919="", "", DATEDIF(F1919, TODAY(), "Y"))</f>
        <v/>
      </c>
      <c r="H1919" s="18"/>
      <c r="I1919" s="18"/>
      <c r="J1919" s="24" t="str">
        <f aca="true">IF(ISBLANK(H1919), "", I1919-TODAY())</f>
        <v/>
      </c>
      <c r="K1919" s="24" t="str">
        <f aca="false" t="array" ref="K1919:K1919">IF(A1919&lt;&gt;"",IF(COUNTIF(A$996:A1920,"&lt;&gt;")=0,COUNTA(B$996:B1919),IFERROR(MATCH(TRUE(),INDEX((A$996:A1920&lt;&gt;""),0),0),COUNTA(B$996:B1919))),"")</f>
        <v/>
      </c>
      <c r="L1919" s="27"/>
    </row>
    <row r="1920" customFormat="false" ht="13.8" hidden="false" customHeight="false" outlineLevel="0" collapsed="false">
      <c r="A1920" s="16"/>
      <c r="B1920" s="16"/>
      <c r="C1920" s="26"/>
      <c r="D1920" s="26"/>
      <c r="E1920" s="16"/>
      <c r="F1920" s="18"/>
      <c r="G1920" s="19" t="str">
        <f aca="true">IF(F1920="", "", DATEDIF(F1920, TODAY(), "Y"))</f>
        <v/>
      </c>
      <c r="H1920" s="18"/>
      <c r="I1920" s="18"/>
      <c r="J1920" s="24" t="str">
        <f aca="true">IF(ISBLANK(H1920), "", I1920-TODAY())</f>
        <v/>
      </c>
      <c r="K1920" s="24" t="str">
        <f aca="false" t="array" ref="K1920:K1920">IF(A1920&lt;&gt;"",IF(COUNTIF(A$996:A1921,"&lt;&gt;")=0,COUNTA(B$996:B1920),IFERROR(MATCH(TRUE(),INDEX((A$996:A1921&lt;&gt;""),0),0),COUNTA(B$996:B1920))),"")</f>
        <v/>
      </c>
      <c r="L1920" s="27"/>
    </row>
    <row r="1921" customFormat="false" ht="13.8" hidden="false" customHeight="false" outlineLevel="0" collapsed="false">
      <c r="A1921" s="16"/>
      <c r="B1921" s="16"/>
      <c r="C1921" s="26"/>
      <c r="D1921" s="26"/>
      <c r="E1921" s="16"/>
      <c r="F1921" s="18"/>
      <c r="G1921" s="19" t="str">
        <f aca="true">IF(F1921="", "", DATEDIF(F1921, TODAY(), "Y"))</f>
        <v/>
      </c>
      <c r="H1921" s="18"/>
      <c r="I1921" s="18"/>
      <c r="J1921" s="24" t="str">
        <f aca="true">IF(ISBLANK(H1921), "", I1921-TODAY())</f>
        <v/>
      </c>
      <c r="K1921" s="24" t="str">
        <f aca="false" t="array" ref="K1921:K1921">IF(A1921&lt;&gt;"",IF(COUNTIF(A$996:A1922,"&lt;&gt;")=0,COUNTA(B$996:B1921),IFERROR(MATCH(TRUE(),INDEX((A$996:A1922&lt;&gt;""),0),0),COUNTA(B$996:B1921))),"")</f>
        <v/>
      </c>
      <c r="L1921" s="27"/>
    </row>
    <row r="1922" customFormat="false" ht="13.8" hidden="false" customHeight="false" outlineLevel="0" collapsed="false">
      <c r="A1922" s="16"/>
      <c r="B1922" s="16"/>
      <c r="C1922" s="26"/>
      <c r="D1922" s="26"/>
      <c r="E1922" s="16"/>
      <c r="F1922" s="18"/>
      <c r="G1922" s="19" t="str">
        <f aca="true">IF(F1922="", "", DATEDIF(F1922, TODAY(), "Y"))</f>
        <v/>
      </c>
      <c r="H1922" s="18"/>
      <c r="I1922" s="18"/>
      <c r="J1922" s="24" t="str">
        <f aca="true">IF(ISBLANK(H1922), "", I1922-TODAY())</f>
        <v/>
      </c>
      <c r="K1922" s="24" t="str">
        <f aca="false" t="array" ref="K1922:K1922">IF(A1922&lt;&gt;"",IF(COUNTIF(A$996:A1923,"&lt;&gt;")=0,COUNTA(B$996:B1922),IFERROR(MATCH(TRUE(),INDEX((A$996:A1923&lt;&gt;""),0),0),COUNTA(B$996:B1922))),"")</f>
        <v/>
      </c>
      <c r="L1922" s="27"/>
    </row>
    <row r="1923" customFormat="false" ht="13.8" hidden="false" customHeight="false" outlineLevel="0" collapsed="false">
      <c r="A1923" s="16"/>
      <c r="B1923" s="16"/>
      <c r="C1923" s="26"/>
      <c r="D1923" s="26"/>
      <c r="E1923" s="16"/>
      <c r="F1923" s="18"/>
      <c r="G1923" s="19" t="str">
        <f aca="true">IF(F1923="", "", DATEDIF(F1923, TODAY(), "Y"))</f>
        <v/>
      </c>
      <c r="H1923" s="18"/>
      <c r="I1923" s="18"/>
      <c r="J1923" s="24" t="str">
        <f aca="true">IF(ISBLANK(H1923), "", I1923-TODAY())</f>
        <v/>
      </c>
      <c r="K1923" s="24" t="str">
        <f aca="false" t="array" ref="K1923:K1923">IF(A1923&lt;&gt;"",IF(COUNTIF(A$996:A1924,"&lt;&gt;")=0,COUNTA(B$996:B1923),IFERROR(MATCH(TRUE(),INDEX((A$996:A1924&lt;&gt;""),0),0),COUNTA(B$996:B1923))),"")</f>
        <v/>
      </c>
      <c r="L1923" s="27"/>
    </row>
    <row r="1924" customFormat="false" ht="13.8" hidden="false" customHeight="false" outlineLevel="0" collapsed="false">
      <c r="A1924" s="16"/>
      <c r="B1924" s="16"/>
      <c r="C1924" s="26"/>
      <c r="D1924" s="26"/>
      <c r="E1924" s="16"/>
      <c r="F1924" s="18"/>
      <c r="G1924" s="19" t="str">
        <f aca="true">IF(F1924="", "", DATEDIF(F1924, TODAY(), "Y"))</f>
        <v/>
      </c>
      <c r="H1924" s="18"/>
      <c r="I1924" s="18"/>
      <c r="J1924" s="24" t="str">
        <f aca="true">IF(ISBLANK(H1924), "", I1924-TODAY())</f>
        <v/>
      </c>
      <c r="K1924" s="24" t="str">
        <f aca="false" t="array" ref="K1924:K1924">IF(A1924&lt;&gt;"",IF(COUNTIF(A$996:A1925,"&lt;&gt;")=0,COUNTA(B$996:B1924),IFERROR(MATCH(TRUE(),INDEX((A$996:A1925&lt;&gt;""),0),0),COUNTA(B$996:B1924))),"")</f>
        <v/>
      </c>
      <c r="L1924" s="27"/>
    </row>
    <row r="1925" customFormat="false" ht="13.8" hidden="false" customHeight="false" outlineLevel="0" collapsed="false">
      <c r="A1925" s="16"/>
      <c r="B1925" s="16"/>
      <c r="C1925" s="26"/>
      <c r="D1925" s="26"/>
      <c r="E1925" s="16"/>
      <c r="F1925" s="18"/>
      <c r="G1925" s="19" t="str">
        <f aca="true">IF(F1925="", "", DATEDIF(F1925, TODAY(), "Y"))</f>
        <v/>
      </c>
      <c r="H1925" s="18"/>
      <c r="I1925" s="18"/>
      <c r="J1925" s="24" t="str">
        <f aca="true">IF(ISBLANK(H1925), "", I1925-TODAY())</f>
        <v/>
      </c>
      <c r="K1925" s="24" t="str">
        <f aca="false" t="array" ref="K1925:K1925">IF(A1925&lt;&gt;"",IF(COUNTIF(A$996:A1926,"&lt;&gt;")=0,COUNTA(B$996:B1925),IFERROR(MATCH(TRUE(),INDEX((A$996:A1926&lt;&gt;""),0),0),COUNTA(B$996:B1925))),"")</f>
        <v/>
      </c>
      <c r="L1925" s="27"/>
    </row>
    <row r="1926" customFormat="false" ht="13.8" hidden="false" customHeight="false" outlineLevel="0" collapsed="false">
      <c r="A1926" s="16"/>
      <c r="B1926" s="16"/>
      <c r="C1926" s="26"/>
      <c r="D1926" s="26"/>
      <c r="E1926" s="16"/>
      <c r="F1926" s="18"/>
      <c r="G1926" s="19" t="str">
        <f aca="true">IF(F1926="", "", DATEDIF(F1926, TODAY(), "Y"))</f>
        <v/>
      </c>
      <c r="H1926" s="18"/>
      <c r="I1926" s="18"/>
      <c r="J1926" s="24" t="str">
        <f aca="true">IF(ISBLANK(H1926), "", I1926-TODAY())</f>
        <v/>
      </c>
      <c r="K1926" s="24" t="str">
        <f aca="false" t="array" ref="K1926:K1926">IF(A1926&lt;&gt;"",IF(COUNTIF(A$996:A1927,"&lt;&gt;")=0,COUNTA(B$996:B1926),IFERROR(MATCH(TRUE(),INDEX((A$996:A1927&lt;&gt;""),0),0),COUNTA(B$996:B1926))),"")</f>
        <v/>
      </c>
      <c r="L1926" s="27"/>
    </row>
    <row r="1927" customFormat="false" ht="13.8" hidden="false" customHeight="false" outlineLevel="0" collapsed="false">
      <c r="A1927" s="16"/>
      <c r="B1927" s="16"/>
      <c r="C1927" s="26"/>
      <c r="D1927" s="26"/>
      <c r="E1927" s="16"/>
      <c r="F1927" s="18"/>
      <c r="G1927" s="19" t="str">
        <f aca="true">IF(F1927="", "", DATEDIF(F1927, TODAY(), "Y"))</f>
        <v/>
      </c>
      <c r="H1927" s="18"/>
      <c r="I1927" s="18"/>
      <c r="J1927" s="24" t="str">
        <f aca="true">IF(ISBLANK(H1927), "", I1927-TODAY())</f>
        <v/>
      </c>
      <c r="K1927" s="24" t="str">
        <f aca="false" t="array" ref="K1927:K1927">IF(A1927&lt;&gt;"",IF(COUNTIF(A$996:A1928,"&lt;&gt;")=0,COUNTA(B$996:B1927),IFERROR(MATCH(TRUE(),INDEX((A$996:A1928&lt;&gt;""),0),0),COUNTA(B$996:B1927))),"")</f>
        <v/>
      </c>
      <c r="L1927" s="27"/>
    </row>
    <row r="1928" customFormat="false" ht="13.8" hidden="false" customHeight="false" outlineLevel="0" collapsed="false">
      <c r="A1928" s="16"/>
      <c r="B1928" s="16"/>
      <c r="C1928" s="26"/>
      <c r="D1928" s="26"/>
      <c r="E1928" s="16"/>
      <c r="F1928" s="18"/>
      <c r="G1928" s="19" t="str">
        <f aca="true">IF(F1928="", "", DATEDIF(F1928, TODAY(), "Y"))</f>
        <v/>
      </c>
      <c r="H1928" s="18"/>
      <c r="I1928" s="18"/>
      <c r="J1928" s="24" t="str">
        <f aca="true">IF(ISBLANK(H1928), "", I1928-TODAY())</f>
        <v/>
      </c>
      <c r="K1928" s="24" t="str">
        <f aca="false" t="array" ref="K1928:K1928">IF(A1928&lt;&gt;"",IF(COUNTIF(A$996:A1929,"&lt;&gt;")=0,COUNTA(B$996:B1928),IFERROR(MATCH(TRUE(),INDEX((A$996:A1929&lt;&gt;""),0),0),COUNTA(B$996:B1928))),"")</f>
        <v/>
      </c>
      <c r="L1928" s="27"/>
    </row>
    <row r="1929" customFormat="false" ht="13.8" hidden="false" customHeight="false" outlineLevel="0" collapsed="false">
      <c r="A1929" s="16"/>
      <c r="B1929" s="16"/>
      <c r="C1929" s="26"/>
      <c r="D1929" s="26"/>
      <c r="E1929" s="16"/>
      <c r="F1929" s="18"/>
      <c r="G1929" s="19" t="str">
        <f aca="true">IF(F1929="", "", DATEDIF(F1929, TODAY(), "Y"))</f>
        <v/>
      </c>
      <c r="H1929" s="18"/>
      <c r="I1929" s="18"/>
      <c r="J1929" s="24" t="str">
        <f aca="true">IF(ISBLANK(H1929), "", I1929-TODAY())</f>
        <v/>
      </c>
      <c r="K1929" s="24" t="str">
        <f aca="false" t="array" ref="K1929:K1929">IF(A1929&lt;&gt;"",IF(COUNTIF(A$996:A1930,"&lt;&gt;")=0,COUNTA(B$996:B1929),IFERROR(MATCH(TRUE(),INDEX((A$996:A1930&lt;&gt;""),0),0),COUNTA(B$996:B1929))),"")</f>
        <v/>
      </c>
      <c r="L1929" s="27"/>
    </row>
    <row r="1930" customFormat="false" ht="13.8" hidden="false" customHeight="false" outlineLevel="0" collapsed="false">
      <c r="A1930" s="16"/>
      <c r="B1930" s="16"/>
      <c r="C1930" s="26"/>
      <c r="D1930" s="26"/>
      <c r="E1930" s="16"/>
      <c r="F1930" s="18"/>
      <c r="G1930" s="19" t="str">
        <f aca="true">IF(F1930="", "", DATEDIF(F1930, TODAY(), "Y"))</f>
        <v/>
      </c>
      <c r="H1930" s="18"/>
      <c r="I1930" s="18"/>
      <c r="J1930" s="24" t="str">
        <f aca="true">IF(ISBLANK(H1930), "", I1930-TODAY())</f>
        <v/>
      </c>
      <c r="K1930" s="24" t="str">
        <f aca="false" t="array" ref="K1930:K1930">IF(A1930&lt;&gt;"",IF(COUNTIF(A$996:A1931,"&lt;&gt;")=0,COUNTA(B$996:B1930),IFERROR(MATCH(TRUE(),INDEX((A$996:A1931&lt;&gt;""),0),0),COUNTA(B$996:B1930))),"")</f>
        <v/>
      </c>
      <c r="L1930" s="27"/>
    </row>
    <row r="1931" customFormat="false" ht="13.8" hidden="false" customHeight="false" outlineLevel="0" collapsed="false">
      <c r="A1931" s="16"/>
      <c r="B1931" s="16"/>
      <c r="C1931" s="26"/>
      <c r="D1931" s="26"/>
      <c r="E1931" s="16"/>
      <c r="F1931" s="18"/>
      <c r="G1931" s="19" t="str">
        <f aca="true">IF(F1931="", "", DATEDIF(F1931, TODAY(), "Y"))</f>
        <v/>
      </c>
      <c r="H1931" s="18"/>
      <c r="I1931" s="18"/>
      <c r="J1931" s="24" t="str">
        <f aca="true">IF(ISBLANK(H1931), "", I1931-TODAY())</f>
        <v/>
      </c>
      <c r="K1931" s="24" t="str">
        <f aca="false" t="array" ref="K1931:K1931">IF(A1931&lt;&gt;"",IF(COUNTIF(A$996:A1932,"&lt;&gt;")=0,COUNTA(B$996:B1931),IFERROR(MATCH(TRUE(),INDEX((A$996:A1932&lt;&gt;""),0),0),COUNTA(B$996:B1931))),"")</f>
        <v/>
      </c>
      <c r="L1931" s="27"/>
    </row>
    <row r="1932" customFormat="false" ht="13.8" hidden="false" customHeight="false" outlineLevel="0" collapsed="false">
      <c r="A1932" s="16"/>
      <c r="B1932" s="16"/>
      <c r="C1932" s="26"/>
      <c r="D1932" s="26"/>
      <c r="E1932" s="16"/>
      <c r="F1932" s="18"/>
      <c r="G1932" s="19" t="str">
        <f aca="true">IF(F1932="", "", DATEDIF(F1932, TODAY(), "Y"))</f>
        <v/>
      </c>
      <c r="H1932" s="18"/>
      <c r="I1932" s="18"/>
      <c r="J1932" s="24" t="str">
        <f aca="true">IF(ISBLANK(H1932), "", I1932-TODAY())</f>
        <v/>
      </c>
      <c r="K1932" s="24" t="str">
        <f aca="false" t="array" ref="K1932:K1932">IF(A1932&lt;&gt;"",IF(COUNTIF(A$996:A1933,"&lt;&gt;")=0,COUNTA(B$996:B1932),IFERROR(MATCH(TRUE(),INDEX((A$996:A1933&lt;&gt;""),0),0),COUNTA(B$996:B1932))),"")</f>
        <v/>
      </c>
      <c r="L1932" s="27"/>
    </row>
    <row r="1933" customFormat="false" ht="13.8" hidden="false" customHeight="false" outlineLevel="0" collapsed="false">
      <c r="A1933" s="16"/>
      <c r="B1933" s="16"/>
      <c r="C1933" s="26"/>
      <c r="D1933" s="26"/>
      <c r="E1933" s="16"/>
      <c r="F1933" s="18"/>
      <c r="G1933" s="19" t="str">
        <f aca="true">IF(F1933="", "", DATEDIF(F1933, TODAY(), "Y"))</f>
        <v/>
      </c>
      <c r="H1933" s="18"/>
      <c r="I1933" s="18"/>
      <c r="J1933" s="24" t="str">
        <f aca="true">IF(ISBLANK(H1933), "", I1933-TODAY())</f>
        <v/>
      </c>
      <c r="K1933" s="24" t="str">
        <f aca="false" t="array" ref="K1933:K1933">IF(A1933&lt;&gt;"",IF(COUNTIF(A$996:A1934,"&lt;&gt;")=0,COUNTA(B$996:B1933),IFERROR(MATCH(TRUE(),INDEX((A$996:A1934&lt;&gt;""),0),0),COUNTA(B$996:B1933))),"")</f>
        <v/>
      </c>
      <c r="L1933" s="27"/>
    </row>
    <row r="1934" customFormat="false" ht="13.8" hidden="false" customHeight="false" outlineLevel="0" collapsed="false">
      <c r="A1934" s="16"/>
      <c r="B1934" s="16"/>
      <c r="C1934" s="26"/>
      <c r="D1934" s="26"/>
      <c r="E1934" s="16"/>
      <c r="F1934" s="18"/>
      <c r="G1934" s="19" t="str">
        <f aca="true">IF(F1934="", "", DATEDIF(F1934, TODAY(), "Y"))</f>
        <v/>
      </c>
      <c r="H1934" s="18"/>
      <c r="I1934" s="18"/>
      <c r="J1934" s="24" t="str">
        <f aca="true">IF(ISBLANK(H1934), "", I1934-TODAY())</f>
        <v/>
      </c>
      <c r="K1934" s="24" t="str">
        <f aca="false" t="array" ref="K1934:K1934">IF(A1934&lt;&gt;"",IF(COUNTIF(A$996:A1935,"&lt;&gt;")=0,COUNTA(B$996:B1934),IFERROR(MATCH(TRUE(),INDEX((A$996:A1935&lt;&gt;""),0),0),COUNTA(B$996:B1934))),"")</f>
        <v/>
      </c>
      <c r="L1934" s="27"/>
    </row>
    <row r="1935" customFormat="false" ht="13.8" hidden="false" customHeight="false" outlineLevel="0" collapsed="false">
      <c r="A1935" s="16"/>
      <c r="B1935" s="16"/>
      <c r="C1935" s="26"/>
      <c r="D1935" s="26"/>
      <c r="E1935" s="16"/>
      <c r="F1935" s="18"/>
      <c r="G1935" s="19" t="str">
        <f aca="true">IF(F1935="", "", DATEDIF(F1935, TODAY(), "Y"))</f>
        <v/>
      </c>
      <c r="H1935" s="18"/>
      <c r="I1935" s="18"/>
      <c r="J1935" s="24" t="str">
        <f aca="true">IF(ISBLANK(H1935), "", I1935-TODAY())</f>
        <v/>
      </c>
      <c r="K1935" s="24" t="str">
        <f aca="false" t="array" ref="K1935:K1935">IF(A1935&lt;&gt;"",IF(COUNTIF(A$996:A1936,"&lt;&gt;")=0,COUNTA(B$996:B1935),IFERROR(MATCH(TRUE(),INDEX((A$996:A1936&lt;&gt;""),0),0),COUNTA(B$996:B1935))),"")</f>
        <v/>
      </c>
      <c r="L1935" s="27"/>
    </row>
    <row r="1936" customFormat="false" ht="13.8" hidden="false" customHeight="false" outlineLevel="0" collapsed="false">
      <c r="A1936" s="16"/>
      <c r="B1936" s="16"/>
      <c r="C1936" s="26"/>
      <c r="D1936" s="26"/>
      <c r="E1936" s="16"/>
      <c r="F1936" s="18"/>
      <c r="G1936" s="19" t="str">
        <f aca="true">IF(F1936="", "", DATEDIF(F1936, TODAY(), "Y"))</f>
        <v/>
      </c>
      <c r="H1936" s="18"/>
      <c r="I1936" s="18"/>
      <c r="J1936" s="24" t="str">
        <f aca="true">IF(ISBLANK(H1936), "", I1936-TODAY())</f>
        <v/>
      </c>
      <c r="K1936" s="24" t="str">
        <f aca="false" t="array" ref="K1936:K1936">IF(A1936&lt;&gt;"",IF(COUNTIF(A$996:A1937,"&lt;&gt;")=0,COUNTA(B$996:B1936),IFERROR(MATCH(TRUE(),INDEX((A$996:A1937&lt;&gt;""),0),0),COUNTA(B$996:B1936))),"")</f>
        <v/>
      </c>
      <c r="L1936" s="27"/>
    </row>
    <row r="1937" customFormat="false" ht="13.8" hidden="false" customHeight="false" outlineLevel="0" collapsed="false">
      <c r="A1937" s="16"/>
      <c r="B1937" s="16"/>
      <c r="C1937" s="26"/>
      <c r="D1937" s="26"/>
      <c r="E1937" s="16"/>
      <c r="F1937" s="18"/>
      <c r="G1937" s="19" t="str">
        <f aca="true">IF(F1937="", "", DATEDIF(F1937, TODAY(), "Y"))</f>
        <v/>
      </c>
      <c r="H1937" s="18"/>
      <c r="I1937" s="18"/>
      <c r="J1937" s="24" t="str">
        <f aca="true">IF(ISBLANK(H1937), "", I1937-TODAY())</f>
        <v/>
      </c>
      <c r="K1937" s="24" t="str">
        <f aca="false" t="array" ref="K1937:K1937">IF(A1937&lt;&gt;"",IF(COUNTIF(A$996:A1938,"&lt;&gt;")=0,COUNTA(B$996:B1937),IFERROR(MATCH(TRUE(),INDEX((A$996:A1938&lt;&gt;""),0),0),COUNTA(B$996:B1937))),"")</f>
        <v/>
      </c>
      <c r="L1937" s="27"/>
    </row>
    <row r="1938" customFormat="false" ht="13.8" hidden="false" customHeight="false" outlineLevel="0" collapsed="false">
      <c r="A1938" s="16"/>
      <c r="B1938" s="16"/>
      <c r="C1938" s="26"/>
      <c r="D1938" s="26"/>
      <c r="E1938" s="16"/>
      <c r="F1938" s="18"/>
      <c r="G1938" s="19" t="str">
        <f aca="true">IF(F1938="", "", DATEDIF(F1938, TODAY(), "Y"))</f>
        <v/>
      </c>
      <c r="H1938" s="18"/>
      <c r="I1938" s="18"/>
      <c r="J1938" s="24" t="str">
        <f aca="true">IF(ISBLANK(H1938), "", I1938-TODAY())</f>
        <v/>
      </c>
      <c r="K1938" s="24" t="str">
        <f aca="false" t="array" ref="K1938:K1938">IF(A1938&lt;&gt;"",IF(COUNTIF(A$996:A1939,"&lt;&gt;")=0,COUNTA(B$996:B1938),IFERROR(MATCH(TRUE(),INDEX((A$996:A1939&lt;&gt;""),0),0),COUNTA(B$996:B1938))),"")</f>
        <v/>
      </c>
      <c r="L1938" s="27"/>
    </row>
    <row r="1939" customFormat="false" ht="13.8" hidden="false" customHeight="false" outlineLevel="0" collapsed="false">
      <c r="A1939" s="16"/>
      <c r="B1939" s="16"/>
      <c r="C1939" s="26"/>
      <c r="D1939" s="26"/>
      <c r="E1939" s="16"/>
      <c r="F1939" s="18"/>
      <c r="G1939" s="19" t="str">
        <f aca="true">IF(F1939="", "", DATEDIF(F1939, TODAY(), "Y"))</f>
        <v/>
      </c>
      <c r="H1939" s="18"/>
      <c r="I1939" s="18"/>
      <c r="J1939" s="24" t="str">
        <f aca="true">IF(ISBLANK(H1939), "", I1939-TODAY())</f>
        <v/>
      </c>
      <c r="K1939" s="24" t="str">
        <f aca="false" t="array" ref="K1939:K1939">IF(A1939&lt;&gt;"",IF(COUNTIF(A$996:A1940,"&lt;&gt;")=0,COUNTA(B$996:B1939),IFERROR(MATCH(TRUE(),INDEX((A$996:A1940&lt;&gt;""),0),0),COUNTA(B$996:B1939))),"")</f>
        <v/>
      </c>
      <c r="L1939" s="27"/>
    </row>
    <row r="1940" customFormat="false" ht="13.8" hidden="false" customHeight="false" outlineLevel="0" collapsed="false">
      <c r="A1940" s="16"/>
      <c r="B1940" s="16"/>
      <c r="C1940" s="26"/>
      <c r="D1940" s="26"/>
      <c r="E1940" s="16"/>
      <c r="F1940" s="18"/>
      <c r="G1940" s="19" t="str">
        <f aca="true">IF(F1940="", "", DATEDIF(F1940, TODAY(), "Y"))</f>
        <v/>
      </c>
      <c r="H1940" s="18"/>
      <c r="I1940" s="18"/>
      <c r="J1940" s="24" t="str">
        <f aca="true">IF(ISBLANK(H1940), "", I1940-TODAY())</f>
        <v/>
      </c>
      <c r="K1940" s="24" t="str">
        <f aca="false" t="array" ref="K1940:K1940">IF(A1940&lt;&gt;"",IF(COUNTIF(A$996:A1941,"&lt;&gt;")=0,COUNTA(B$996:B1940),IFERROR(MATCH(TRUE(),INDEX((A$996:A1941&lt;&gt;""),0),0),COUNTA(B$996:B1940))),"")</f>
        <v/>
      </c>
      <c r="L1940" s="27"/>
    </row>
    <row r="1941" customFormat="false" ht="13.8" hidden="false" customHeight="false" outlineLevel="0" collapsed="false">
      <c r="A1941" s="16"/>
      <c r="B1941" s="16"/>
      <c r="C1941" s="26"/>
      <c r="D1941" s="26"/>
      <c r="E1941" s="16"/>
      <c r="F1941" s="18"/>
      <c r="G1941" s="19" t="str">
        <f aca="true">IF(F1941="", "", DATEDIF(F1941, TODAY(), "Y"))</f>
        <v/>
      </c>
      <c r="H1941" s="18"/>
      <c r="I1941" s="18"/>
      <c r="J1941" s="24" t="str">
        <f aca="true">IF(ISBLANK(H1941), "", I1941-TODAY())</f>
        <v/>
      </c>
      <c r="K1941" s="24" t="str">
        <f aca="false" t="array" ref="K1941:K1941">IF(A1941&lt;&gt;"",IF(COUNTIF(A$996:A1942,"&lt;&gt;")=0,COUNTA(B$996:B1941),IFERROR(MATCH(TRUE(),INDEX((A$996:A1942&lt;&gt;""),0),0),COUNTA(B$996:B1941))),"")</f>
        <v/>
      </c>
      <c r="L1941" s="27"/>
    </row>
    <row r="1942" customFormat="false" ht="13.8" hidden="false" customHeight="false" outlineLevel="0" collapsed="false">
      <c r="A1942" s="16"/>
      <c r="B1942" s="16"/>
      <c r="C1942" s="26"/>
      <c r="D1942" s="26"/>
      <c r="E1942" s="16"/>
      <c r="F1942" s="18"/>
      <c r="G1942" s="19" t="str">
        <f aca="true">IF(F1942="", "", DATEDIF(F1942, TODAY(), "Y"))</f>
        <v/>
      </c>
      <c r="H1942" s="18"/>
      <c r="I1942" s="18"/>
      <c r="J1942" s="24" t="str">
        <f aca="true">IF(ISBLANK(H1942), "", I1942-TODAY())</f>
        <v/>
      </c>
      <c r="K1942" s="24" t="str">
        <f aca="false" t="array" ref="K1942:K1942">IF(A1942&lt;&gt;"",IF(COUNTIF(A$996:A1943,"&lt;&gt;")=0,COUNTA(B$996:B1942),IFERROR(MATCH(TRUE(),INDEX((A$996:A1943&lt;&gt;""),0),0),COUNTA(B$996:B1942))),"")</f>
        <v/>
      </c>
      <c r="L1942" s="27"/>
    </row>
    <row r="1943" customFormat="false" ht="13.8" hidden="false" customHeight="false" outlineLevel="0" collapsed="false">
      <c r="A1943" s="16"/>
      <c r="B1943" s="16"/>
      <c r="C1943" s="26"/>
      <c r="D1943" s="26"/>
      <c r="E1943" s="16"/>
      <c r="F1943" s="18"/>
      <c r="G1943" s="19" t="str">
        <f aca="true">IF(F1943="", "", DATEDIF(F1943, TODAY(), "Y"))</f>
        <v/>
      </c>
      <c r="H1943" s="18"/>
      <c r="I1943" s="18"/>
      <c r="J1943" s="24" t="str">
        <f aca="true">IF(ISBLANK(H1943), "", I1943-TODAY())</f>
        <v/>
      </c>
      <c r="K1943" s="24" t="str">
        <f aca="false" t="array" ref="K1943:K1943">IF(A1943&lt;&gt;"",IF(COUNTIF(A$996:A1944,"&lt;&gt;")=0,COUNTA(B$996:B1943),IFERROR(MATCH(TRUE(),INDEX((A$996:A1944&lt;&gt;""),0),0),COUNTA(B$996:B1943))),"")</f>
        <v/>
      </c>
      <c r="L1943" s="27"/>
    </row>
    <row r="1944" customFormat="false" ht="13.8" hidden="false" customHeight="false" outlineLevel="0" collapsed="false">
      <c r="A1944" s="16"/>
      <c r="B1944" s="16"/>
      <c r="C1944" s="26"/>
      <c r="D1944" s="26"/>
      <c r="E1944" s="16"/>
      <c r="F1944" s="18"/>
      <c r="G1944" s="19" t="str">
        <f aca="true">IF(F1944="", "", DATEDIF(F1944, TODAY(), "Y"))</f>
        <v/>
      </c>
      <c r="H1944" s="18"/>
      <c r="I1944" s="18"/>
      <c r="J1944" s="24" t="str">
        <f aca="true">IF(ISBLANK(H1944), "", I1944-TODAY())</f>
        <v/>
      </c>
      <c r="K1944" s="24" t="str">
        <f aca="false" t="array" ref="K1944:K1944">IF(A1944&lt;&gt;"",IF(COUNTIF(A$996:A1945,"&lt;&gt;")=0,COUNTA(B$996:B1944),IFERROR(MATCH(TRUE(),INDEX((A$996:A1945&lt;&gt;""),0),0),COUNTA(B$996:B1944))),"")</f>
        <v/>
      </c>
      <c r="L1944" s="27"/>
    </row>
    <row r="1945" customFormat="false" ht="13.8" hidden="false" customHeight="false" outlineLevel="0" collapsed="false">
      <c r="A1945" s="16"/>
      <c r="B1945" s="16"/>
      <c r="C1945" s="26"/>
      <c r="D1945" s="26"/>
      <c r="E1945" s="16"/>
      <c r="F1945" s="18"/>
      <c r="G1945" s="19" t="str">
        <f aca="true">IF(F1945="", "", DATEDIF(F1945, TODAY(), "Y"))</f>
        <v/>
      </c>
      <c r="H1945" s="18"/>
      <c r="I1945" s="18"/>
      <c r="J1945" s="24" t="str">
        <f aca="true">IF(ISBLANK(H1945), "", I1945-TODAY())</f>
        <v/>
      </c>
      <c r="K1945" s="24" t="str">
        <f aca="false" t="array" ref="K1945:K1945">IF(A1945&lt;&gt;"",IF(COUNTIF(A$996:A1946,"&lt;&gt;")=0,COUNTA(B$996:B1945),IFERROR(MATCH(TRUE(),INDEX((A$996:A1946&lt;&gt;""),0),0),COUNTA(B$996:B1945))),"")</f>
        <v/>
      </c>
      <c r="L1945" s="27"/>
    </row>
    <row r="1946" customFormat="false" ht="13.8" hidden="false" customHeight="false" outlineLevel="0" collapsed="false">
      <c r="A1946" s="16"/>
      <c r="B1946" s="16"/>
      <c r="C1946" s="26"/>
      <c r="D1946" s="26"/>
      <c r="E1946" s="16"/>
      <c r="F1946" s="18"/>
      <c r="G1946" s="19" t="str">
        <f aca="true">IF(F1946="", "", DATEDIF(F1946, TODAY(), "Y"))</f>
        <v/>
      </c>
      <c r="H1946" s="18"/>
      <c r="I1946" s="18"/>
      <c r="J1946" s="24" t="str">
        <f aca="true">IF(ISBLANK(H1946), "", I1946-TODAY())</f>
        <v/>
      </c>
      <c r="K1946" s="24" t="str">
        <f aca="false" t="array" ref="K1946:K1946">IF(A1946&lt;&gt;"",IF(COUNTIF(A$996:A1947,"&lt;&gt;")=0,COUNTA(B$996:B1946),IFERROR(MATCH(TRUE(),INDEX((A$996:A1947&lt;&gt;""),0),0),COUNTA(B$996:B1946))),"")</f>
        <v/>
      </c>
      <c r="L1946" s="27"/>
    </row>
    <row r="1947" customFormat="false" ht="13.8" hidden="false" customHeight="false" outlineLevel="0" collapsed="false">
      <c r="A1947" s="16"/>
      <c r="B1947" s="16"/>
      <c r="C1947" s="26"/>
      <c r="D1947" s="26"/>
      <c r="E1947" s="16"/>
      <c r="F1947" s="18"/>
      <c r="G1947" s="19" t="str">
        <f aca="true">IF(F1947="", "", DATEDIF(F1947, TODAY(), "Y"))</f>
        <v/>
      </c>
      <c r="H1947" s="18"/>
      <c r="I1947" s="18"/>
      <c r="J1947" s="24" t="str">
        <f aca="true">IF(ISBLANK(H1947), "", I1947-TODAY())</f>
        <v/>
      </c>
      <c r="K1947" s="24" t="str">
        <f aca="false" t="array" ref="K1947:K1947">IF(A1947&lt;&gt;"",IF(COUNTIF(A$996:A1948,"&lt;&gt;")=0,COUNTA(B$996:B1947),IFERROR(MATCH(TRUE(),INDEX((A$996:A1948&lt;&gt;""),0),0),COUNTA(B$996:B1947))),"")</f>
        <v/>
      </c>
      <c r="L1947" s="27"/>
    </row>
    <row r="1948" customFormat="false" ht="13.8" hidden="false" customHeight="false" outlineLevel="0" collapsed="false">
      <c r="A1948" s="16"/>
      <c r="B1948" s="16"/>
      <c r="C1948" s="26"/>
      <c r="D1948" s="26"/>
      <c r="E1948" s="16"/>
      <c r="F1948" s="18"/>
      <c r="G1948" s="19" t="str">
        <f aca="true">IF(F1948="", "", DATEDIF(F1948, TODAY(), "Y"))</f>
        <v/>
      </c>
      <c r="H1948" s="18"/>
      <c r="I1948" s="18"/>
      <c r="J1948" s="24" t="str">
        <f aca="true">IF(ISBLANK(H1948), "", I1948-TODAY())</f>
        <v/>
      </c>
      <c r="K1948" s="24" t="str">
        <f aca="false" t="array" ref="K1948:K1948">IF(A1948&lt;&gt;"",IF(COUNTIF(A$996:A1949,"&lt;&gt;")=0,COUNTA(B$996:B1948),IFERROR(MATCH(TRUE(),INDEX((A$996:A1949&lt;&gt;""),0),0),COUNTA(B$996:B1948))),"")</f>
        <v/>
      </c>
      <c r="L1948" s="27"/>
    </row>
    <row r="1949" customFormat="false" ht="13.8" hidden="false" customHeight="false" outlineLevel="0" collapsed="false">
      <c r="A1949" s="16"/>
      <c r="B1949" s="16"/>
      <c r="C1949" s="26"/>
      <c r="D1949" s="26"/>
      <c r="E1949" s="16"/>
      <c r="F1949" s="18"/>
      <c r="G1949" s="19" t="str">
        <f aca="true">IF(F1949="", "", DATEDIF(F1949, TODAY(), "Y"))</f>
        <v/>
      </c>
      <c r="H1949" s="18"/>
      <c r="I1949" s="18"/>
      <c r="J1949" s="24" t="str">
        <f aca="true">IF(ISBLANK(H1949), "", I1949-TODAY())</f>
        <v/>
      </c>
      <c r="K1949" s="24" t="str">
        <f aca="false" t="array" ref="K1949:K1949">IF(A1949&lt;&gt;"",IF(COUNTIF(A$996:A1950,"&lt;&gt;")=0,COUNTA(B$996:B1949),IFERROR(MATCH(TRUE(),INDEX((A$996:A1950&lt;&gt;""),0),0),COUNTA(B$996:B1949))),"")</f>
        <v/>
      </c>
      <c r="L1949" s="27"/>
    </row>
    <row r="1950" customFormat="false" ht="13.8" hidden="false" customHeight="false" outlineLevel="0" collapsed="false">
      <c r="A1950" s="16"/>
      <c r="B1950" s="16"/>
      <c r="C1950" s="26"/>
      <c r="D1950" s="26"/>
      <c r="E1950" s="16"/>
      <c r="F1950" s="18"/>
      <c r="G1950" s="19" t="str">
        <f aca="true">IF(F1950="", "", DATEDIF(F1950, TODAY(), "Y"))</f>
        <v/>
      </c>
      <c r="H1950" s="18"/>
      <c r="I1950" s="18"/>
      <c r="J1950" s="24" t="str">
        <f aca="true">IF(ISBLANK(H1950), "", I1950-TODAY())</f>
        <v/>
      </c>
      <c r="K1950" s="24" t="str">
        <f aca="false" t="array" ref="K1950:K1950">IF(A1950&lt;&gt;"",IF(COUNTIF(A$996:A1951,"&lt;&gt;")=0,COUNTA(B$996:B1950),IFERROR(MATCH(TRUE(),INDEX((A$996:A1951&lt;&gt;""),0),0),COUNTA(B$996:B1950))),"")</f>
        <v/>
      </c>
      <c r="L1950" s="27"/>
    </row>
    <row r="1951" customFormat="false" ht="13.8" hidden="false" customHeight="false" outlineLevel="0" collapsed="false">
      <c r="A1951" s="16"/>
      <c r="B1951" s="16"/>
      <c r="C1951" s="26"/>
      <c r="D1951" s="26"/>
      <c r="E1951" s="16"/>
      <c r="F1951" s="18"/>
      <c r="G1951" s="19" t="str">
        <f aca="true">IF(F1951="", "", DATEDIF(F1951, TODAY(), "Y"))</f>
        <v/>
      </c>
      <c r="H1951" s="18"/>
      <c r="I1951" s="18"/>
      <c r="J1951" s="24" t="str">
        <f aca="true">IF(ISBLANK(H1951), "", I1951-TODAY())</f>
        <v/>
      </c>
      <c r="K1951" s="24" t="str">
        <f aca="false" t="array" ref="K1951:K1951">IF(A1951&lt;&gt;"",IF(COUNTIF(A$996:A1952,"&lt;&gt;")=0,COUNTA(B$996:B1951),IFERROR(MATCH(TRUE(),INDEX((A$996:A1952&lt;&gt;""),0),0),COUNTA(B$996:B1951))),"")</f>
        <v/>
      </c>
      <c r="L1951" s="27"/>
    </row>
    <row r="1952" customFormat="false" ht="13.8" hidden="false" customHeight="false" outlineLevel="0" collapsed="false">
      <c r="A1952" s="16"/>
      <c r="B1952" s="16"/>
      <c r="C1952" s="26"/>
      <c r="D1952" s="26"/>
      <c r="E1952" s="16"/>
      <c r="F1952" s="18"/>
      <c r="G1952" s="19" t="str">
        <f aca="true">IF(F1952="", "", DATEDIF(F1952, TODAY(), "Y"))</f>
        <v/>
      </c>
      <c r="H1952" s="18"/>
      <c r="I1952" s="18"/>
      <c r="J1952" s="24" t="str">
        <f aca="true">IF(ISBLANK(H1952), "", I1952-TODAY())</f>
        <v/>
      </c>
      <c r="K1952" s="24" t="str">
        <f aca="false" t="array" ref="K1952:K1952">IF(A1952&lt;&gt;"",IF(COUNTIF(A$996:A1953,"&lt;&gt;")=0,COUNTA(B$996:B1952),IFERROR(MATCH(TRUE(),INDEX((A$996:A1953&lt;&gt;""),0),0),COUNTA(B$996:B1952))),"")</f>
        <v/>
      </c>
      <c r="L1952" s="27"/>
    </row>
    <row r="1953" customFormat="false" ht="13.8" hidden="false" customHeight="false" outlineLevel="0" collapsed="false">
      <c r="A1953" s="16"/>
      <c r="B1953" s="16"/>
      <c r="C1953" s="26"/>
      <c r="D1953" s="26"/>
      <c r="E1953" s="16"/>
      <c r="F1953" s="18"/>
      <c r="G1953" s="19" t="str">
        <f aca="true">IF(F1953="", "", DATEDIF(F1953, TODAY(), "Y"))</f>
        <v/>
      </c>
      <c r="H1953" s="18"/>
      <c r="I1953" s="18"/>
      <c r="J1953" s="24" t="str">
        <f aca="true">IF(ISBLANK(H1953), "", I1953-TODAY())</f>
        <v/>
      </c>
      <c r="K1953" s="24" t="str">
        <f aca="false" t="array" ref="K1953:K1953">IF(A1953&lt;&gt;"",IF(COUNTIF(A$996:A1954,"&lt;&gt;")=0,COUNTA(B$996:B1953),IFERROR(MATCH(TRUE(),INDEX((A$996:A1954&lt;&gt;""),0),0),COUNTA(B$996:B1953))),"")</f>
        <v/>
      </c>
      <c r="L1953" s="27"/>
    </row>
    <row r="1954" customFormat="false" ht="13.8" hidden="false" customHeight="false" outlineLevel="0" collapsed="false">
      <c r="A1954" s="16"/>
      <c r="B1954" s="16"/>
      <c r="C1954" s="26"/>
      <c r="D1954" s="26"/>
      <c r="E1954" s="16"/>
      <c r="F1954" s="18"/>
      <c r="G1954" s="19" t="str">
        <f aca="true">IF(F1954="", "", DATEDIF(F1954, TODAY(), "Y"))</f>
        <v/>
      </c>
      <c r="H1954" s="18"/>
      <c r="I1954" s="18"/>
      <c r="J1954" s="24" t="str">
        <f aca="true">IF(ISBLANK(H1954), "", I1954-TODAY())</f>
        <v/>
      </c>
      <c r="K1954" s="24" t="str">
        <f aca="false" t="array" ref="K1954:K1954">IF(A1954&lt;&gt;"",IF(COUNTIF(A$996:A1955,"&lt;&gt;")=0,COUNTA(B$996:B1954),IFERROR(MATCH(TRUE(),INDEX((A$996:A1955&lt;&gt;""),0),0),COUNTA(B$996:B1954))),"")</f>
        <v/>
      </c>
      <c r="L1954" s="27"/>
    </row>
    <row r="1955" customFormat="false" ht="13.8" hidden="false" customHeight="false" outlineLevel="0" collapsed="false">
      <c r="A1955" s="16"/>
      <c r="B1955" s="16"/>
      <c r="C1955" s="26"/>
      <c r="D1955" s="26"/>
      <c r="E1955" s="16"/>
      <c r="F1955" s="18"/>
      <c r="G1955" s="19" t="str">
        <f aca="true">IF(F1955="", "", DATEDIF(F1955, TODAY(), "Y"))</f>
        <v/>
      </c>
      <c r="H1955" s="18"/>
      <c r="I1955" s="18"/>
      <c r="J1955" s="24" t="str">
        <f aca="true">IF(ISBLANK(H1955), "", I1955-TODAY())</f>
        <v/>
      </c>
      <c r="K1955" s="24" t="str">
        <f aca="false" t="array" ref="K1955:K1955">IF(A1955&lt;&gt;"",IF(COUNTIF(A$996:A1956,"&lt;&gt;")=0,COUNTA(B$996:B1955),IFERROR(MATCH(TRUE(),INDEX((A$996:A1956&lt;&gt;""),0),0),COUNTA(B$996:B1955))),"")</f>
        <v/>
      </c>
      <c r="L1955" s="27"/>
    </row>
    <row r="1956" customFormat="false" ht="13.8" hidden="false" customHeight="false" outlineLevel="0" collapsed="false">
      <c r="A1956" s="16"/>
      <c r="B1956" s="16"/>
      <c r="C1956" s="26"/>
      <c r="D1956" s="26"/>
      <c r="E1956" s="16"/>
      <c r="F1956" s="18"/>
      <c r="G1956" s="19" t="str">
        <f aca="true">IF(F1956="", "", DATEDIF(F1956, TODAY(), "Y"))</f>
        <v/>
      </c>
      <c r="H1956" s="18"/>
      <c r="I1956" s="18"/>
      <c r="J1956" s="24" t="str">
        <f aca="true">IF(ISBLANK(H1956), "", I1956-TODAY())</f>
        <v/>
      </c>
      <c r="K1956" s="24" t="str">
        <f aca="false" t="array" ref="K1956:K1956">IF(A1956&lt;&gt;"",IF(COUNTIF(A$996:A1957,"&lt;&gt;")=0,COUNTA(B$996:B1956),IFERROR(MATCH(TRUE(),INDEX((A$996:A1957&lt;&gt;""),0),0),COUNTA(B$996:B1956))),"")</f>
        <v/>
      </c>
      <c r="L1956" s="27"/>
    </row>
    <row r="1957" customFormat="false" ht="13.8" hidden="false" customHeight="false" outlineLevel="0" collapsed="false">
      <c r="A1957" s="16"/>
      <c r="B1957" s="16"/>
      <c r="C1957" s="26"/>
      <c r="D1957" s="26"/>
      <c r="E1957" s="16"/>
      <c r="F1957" s="18"/>
      <c r="G1957" s="19" t="str">
        <f aca="true">IF(F1957="", "", DATEDIF(F1957, TODAY(), "Y"))</f>
        <v/>
      </c>
      <c r="H1957" s="18"/>
      <c r="I1957" s="18"/>
      <c r="J1957" s="24" t="str">
        <f aca="true">IF(ISBLANK(H1957), "", I1957-TODAY())</f>
        <v/>
      </c>
      <c r="K1957" s="24" t="str">
        <f aca="false" t="array" ref="K1957:K1957">IF(A1957&lt;&gt;"",IF(COUNTIF(A$996:A1958,"&lt;&gt;")=0,COUNTA(B$996:B1957),IFERROR(MATCH(TRUE(),INDEX((A$996:A1958&lt;&gt;""),0),0),COUNTA(B$996:B1957))),"")</f>
        <v/>
      </c>
      <c r="L1957" s="27"/>
    </row>
    <row r="1958" customFormat="false" ht="13.8" hidden="false" customHeight="false" outlineLevel="0" collapsed="false">
      <c r="A1958" s="16"/>
      <c r="B1958" s="16"/>
      <c r="C1958" s="26"/>
      <c r="D1958" s="26"/>
      <c r="E1958" s="16"/>
      <c r="F1958" s="18"/>
      <c r="G1958" s="19" t="str">
        <f aca="true">IF(F1958="", "", DATEDIF(F1958, TODAY(), "Y"))</f>
        <v/>
      </c>
      <c r="H1958" s="18"/>
      <c r="I1958" s="18"/>
      <c r="J1958" s="24" t="str">
        <f aca="true">IF(ISBLANK(H1958), "", I1958-TODAY())</f>
        <v/>
      </c>
      <c r="K1958" s="24" t="str">
        <f aca="false" t="array" ref="K1958:K1958">IF(A1958&lt;&gt;"",IF(COUNTIF(A$996:A1959,"&lt;&gt;")=0,COUNTA(B$996:B1958),IFERROR(MATCH(TRUE(),INDEX((A$996:A1959&lt;&gt;""),0),0),COUNTA(B$996:B1958))),"")</f>
        <v/>
      </c>
      <c r="L1958" s="27"/>
    </row>
    <row r="1959" customFormat="false" ht="13.8" hidden="false" customHeight="false" outlineLevel="0" collapsed="false">
      <c r="A1959" s="16"/>
      <c r="B1959" s="16"/>
      <c r="C1959" s="26"/>
      <c r="D1959" s="26"/>
      <c r="E1959" s="16"/>
      <c r="F1959" s="18"/>
      <c r="G1959" s="19" t="str">
        <f aca="true">IF(F1959="", "", DATEDIF(F1959, TODAY(), "Y"))</f>
        <v/>
      </c>
      <c r="H1959" s="18"/>
      <c r="I1959" s="18"/>
      <c r="J1959" s="24" t="str">
        <f aca="true">IF(ISBLANK(H1959), "", I1959-TODAY())</f>
        <v/>
      </c>
      <c r="K1959" s="24" t="str">
        <f aca="false" t="array" ref="K1959:K1959">IF(A1959&lt;&gt;"",IF(COUNTIF(A$996:A1960,"&lt;&gt;")=0,COUNTA(B$996:B1959),IFERROR(MATCH(TRUE(),INDEX((A$996:A1960&lt;&gt;""),0),0),COUNTA(B$996:B1959))),"")</f>
        <v/>
      </c>
      <c r="L1959" s="27"/>
    </row>
    <row r="1960" customFormat="false" ht="13.8" hidden="false" customHeight="false" outlineLevel="0" collapsed="false">
      <c r="A1960" s="16"/>
      <c r="B1960" s="16"/>
      <c r="C1960" s="26"/>
      <c r="D1960" s="26"/>
      <c r="E1960" s="16"/>
      <c r="F1960" s="18"/>
      <c r="G1960" s="19" t="str">
        <f aca="true">IF(F1960="", "", DATEDIF(F1960, TODAY(), "Y"))</f>
        <v/>
      </c>
      <c r="H1960" s="18"/>
      <c r="I1960" s="18"/>
      <c r="J1960" s="24" t="str">
        <f aca="true">IF(ISBLANK(H1960), "", I1960-TODAY())</f>
        <v/>
      </c>
      <c r="K1960" s="24" t="str">
        <f aca="false" t="array" ref="K1960:K1960">IF(A1960&lt;&gt;"",IF(COUNTIF(A$996:A1961,"&lt;&gt;")=0,COUNTA(B$996:B1960),IFERROR(MATCH(TRUE(),INDEX((A$996:A1961&lt;&gt;""),0),0),COUNTA(B$996:B1960))),"")</f>
        <v/>
      </c>
      <c r="L1960" s="27"/>
    </row>
    <row r="1961" customFormat="false" ht="13.8" hidden="false" customHeight="false" outlineLevel="0" collapsed="false">
      <c r="A1961" s="16"/>
      <c r="B1961" s="16"/>
      <c r="C1961" s="26"/>
      <c r="D1961" s="26"/>
      <c r="E1961" s="16"/>
      <c r="F1961" s="18"/>
      <c r="G1961" s="19" t="str">
        <f aca="true">IF(F1961="", "", DATEDIF(F1961, TODAY(), "Y"))</f>
        <v/>
      </c>
      <c r="H1961" s="18"/>
      <c r="I1961" s="18"/>
      <c r="J1961" s="24" t="str">
        <f aca="true">IF(ISBLANK(H1961), "", I1961-TODAY())</f>
        <v/>
      </c>
      <c r="K1961" s="24" t="str">
        <f aca="false" t="array" ref="K1961:K1961">IF(A1961&lt;&gt;"",IF(COUNTIF(A$996:A1962,"&lt;&gt;")=0,COUNTA(B$996:B1961),IFERROR(MATCH(TRUE(),INDEX((A$996:A1962&lt;&gt;""),0),0),COUNTA(B$996:B1961))),"")</f>
        <v/>
      </c>
      <c r="L1961" s="27"/>
    </row>
    <row r="1962" customFormat="false" ht="13.8" hidden="false" customHeight="false" outlineLevel="0" collapsed="false">
      <c r="A1962" s="16"/>
      <c r="B1962" s="16"/>
      <c r="C1962" s="26"/>
      <c r="D1962" s="26"/>
      <c r="E1962" s="16"/>
      <c r="F1962" s="18"/>
      <c r="G1962" s="19" t="str">
        <f aca="true">IF(F1962="", "", DATEDIF(F1962, TODAY(), "Y"))</f>
        <v/>
      </c>
      <c r="H1962" s="18"/>
      <c r="I1962" s="18"/>
      <c r="J1962" s="24" t="str">
        <f aca="true">IF(ISBLANK(H1962), "", I1962-TODAY())</f>
        <v/>
      </c>
      <c r="K1962" s="24" t="str">
        <f aca="false" t="array" ref="K1962:K1962">IF(A1962&lt;&gt;"",IF(COUNTIF(A$996:A1963,"&lt;&gt;")=0,COUNTA(B$996:B1962),IFERROR(MATCH(TRUE(),INDEX((A$996:A1963&lt;&gt;""),0),0),COUNTA(B$996:B1962))),"")</f>
        <v/>
      </c>
      <c r="L1962" s="27"/>
    </row>
    <row r="1963" customFormat="false" ht="13.8" hidden="false" customHeight="false" outlineLevel="0" collapsed="false">
      <c r="A1963" s="16"/>
      <c r="B1963" s="16"/>
      <c r="C1963" s="26"/>
      <c r="D1963" s="26"/>
      <c r="E1963" s="16"/>
      <c r="F1963" s="18"/>
      <c r="G1963" s="19" t="str">
        <f aca="true">IF(F1963="", "", DATEDIF(F1963, TODAY(), "Y"))</f>
        <v/>
      </c>
      <c r="H1963" s="18"/>
      <c r="I1963" s="18"/>
      <c r="J1963" s="24" t="str">
        <f aca="true">IF(ISBLANK(H1963), "", I1963-TODAY())</f>
        <v/>
      </c>
      <c r="K1963" s="24" t="str">
        <f aca="false" t="array" ref="K1963:K1963">IF(A1963&lt;&gt;"",IF(COUNTIF(A$996:A1964,"&lt;&gt;")=0,COUNTA(B$996:B1963),IFERROR(MATCH(TRUE(),INDEX((A$996:A1964&lt;&gt;""),0),0),COUNTA(B$996:B1963))),"")</f>
        <v/>
      </c>
      <c r="L1963" s="27"/>
    </row>
    <row r="1964" customFormat="false" ht="13.8" hidden="false" customHeight="false" outlineLevel="0" collapsed="false">
      <c r="A1964" s="16"/>
      <c r="B1964" s="16"/>
      <c r="C1964" s="26"/>
      <c r="D1964" s="26"/>
      <c r="E1964" s="16"/>
      <c r="F1964" s="18"/>
      <c r="G1964" s="19" t="str">
        <f aca="true">IF(F1964="", "", DATEDIF(F1964, TODAY(), "Y"))</f>
        <v/>
      </c>
      <c r="H1964" s="18"/>
      <c r="I1964" s="18"/>
      <c r="J1964" s="24" t="str">
        <f aca="true">IF(ISBLANK(H1964), "", I1964-TODAY())</f>
        <v/>
      </c>
      <c r="K1964" s="24" t="str">
        <f aca="false" t="array" ref="K1964:K1964">IF(A1964&lt;&gt;"",IF(COUNTIF(A$996:A1965,"&lt;&gt;")=0,COUNTA(B$996:B1964),IFERROR(MATCH(TRUE(),INDEX((A$996:A1965&lt;&gt;""),0),0),COUNTA(B$996:B1964))),"")</f>
        <v/>
      </c>
      <c r="L1964" s="27"/>
    </row>
    <row r="1965" customFormat="false" ht="13.8" hidden="false" customHeight="false" outlineLevel="0" collapsed="false">
      <c r="A1965" s="16"/>
      <c r="B1965" s="16"/>
      <c r="C1965" s="26"/>
      <c r="D1965" s="26"/>
      <c r="E1965" s="16"/>
      <c r="F1965" s="18"/>
      <c r="G1965" s="19" t="str">
        <f aca="true">IF(F1965="", "", DATEDIF(F1965, TODAY(), "Y"))</f>
        <v/>
      </c>
      <c r="H1965" s="18"/>
      <c r="I1965" s="18"/>
      <c r="J1965" s="24" t="str">
        <f aca="true">IF(ISBLANK(H1965), "", I1965-TODAY())</f>
        <v/>
      </c>
      <c r="K1965" s="24" t="str">
        <f aca="false" t="array" ref="K1965:K1965">IF(A1965&lt;&gt;"",IF(COUNTIF(A$996:A1966,"&lt;&gt;")=0,COUNTA(B$996:B1965),IFERROR(MATCH(TRUE(),INDEX((A$996:A1966&lt;&gt;""),0),0),COUNTA(B$996:B1965))),"")</f>
        <v/>
      </c>
      <c r="L1965" s="27"/>
    </row>
    <row r="1966" customFormat="false" ht="13.8" hidden="false" customHeight="false" outlineLevel="0" collapsed="false">
      <c r="A1966" s="16"/>
      <c r="B1966" s="16"/>
      <c r="C1966" s="26"/>
      <c r="D1966" s="26"/>
      <c r="E1966" s="16"/>
      <c r="F1966" s="18"/>
      <c r="G1966" s="19" t="str">
        <f aca="true">IF(F1966="", "", DATEDIF(F1966, TODAY(), "Y"))</f>
        <v/>
      </c>
      <c r="H1966" s="18"/>
      <c r="I1966" s="18"/>
      <c r="J1966" s="24" t="str">
        <f aca="true">IF(ISBLANK(H1966), "", I1966-TODAY())</f>
        <v/>
      </c>
      <c r="K1966" s="24" t="str">
        <f aca="false" t="array" ref="K1966:K1966">IF(A1966&lt;&gt;"",IF(COUNTIF(A$996:A1967,"&lt;&gt;")=0,COUNTA(B$996:B1966),IFERROR(MATCH(TRUE(),INDEX((A$996:A1967&lt;&gt;""),0),0),COUNTA(B$996:B1966))),"")</f>
        <v/>
      </c>
      <c r="L1966" s="27"/>
    </row>
    <row r="1967" customFormat="false" ht="13.8" hidden="false" customHeight="false" outlineLevel="0" collapsed="false">
      <c r="A1967" s="16"/>
      <c r="B1967" s="16"/>
      <c r="C1967" s="26"/>
      <c r="D1967" s="26"/>
      <c r="E1967" s="16"/>
      <c r="F1967" s="18"/>
      <c r="G1967" s="19" t="str">
        <f aca="true">IF(F1967="", "", DATEDIF(F1967, TODAY(), "Y"))</f>
        <v/>
      </c>
      <c r="H1967" s="18"/>
      <c r="I1967" s="18"/>
      <c r="J1967" s="24" t="str">
        <f aca="true">IF(ISBLANK(H1967), "", I1967-TODAY())</f>
        <v/>
      </c>
      <c r="K1967" s="24" t="str">
        <f aca="false" t="array" ref="K1967:K1967">IF(A1967&lt;&gt;"",IF(COUNTIF(A$996:A1968,"&lt;&gt;")=0,COUNTA(B$996:B1967),IFERROR(MATCH(TRUE(),INDEX((A$996:A1968&lt;&gt;""),0),0),COUNTA(B$996:B1967))),"")</f>
        <v/>
      </c>
      <c r="L1967" s="27"/>
    </row>
    <row r="1968" customFormat="false" ht="13.8" hidden="false" customHeight="false" outlineLevel="0" collapsed="false">
      <c r="A1968" s="16"/>
      <c r="B1968" s="16"/>
      <c r="C1968" s="26"/>
      <c r="D1968" s="26"/>
      <c r="E1968" s="16"/>
      <c r="F1968" s="18"/>
      <c r="G1968" s="19" t="str">
        <f aca="true">IF(F1968="", "", DATEDIF(F1968, TODAY(), "Y"))</f>
        <v/>
      </c>
      <c r="H1968" s="18"/>
      <c r="I1968" s="18"/>
      <c r="J1968" s="24" t="str">
        <f aca="true">IF(ISBLANK(H1968), "", I1968-TODAY())</f>
        <v/>
      </c>
      <c r="K1968" s="24" t="str">
        <f aca="false" t="array" ref="K1968:K1968">IF(A1968&lt;&gt;"",IF(COUNTIF(A$996:A1969,"&lt;&gt;")=0,COUNTA(B$996:B1968),IFERROR(MATCH(TRUE(),INDEX((A$996:A1969&lt;&gt;""),0),0),COUNTA(B$996:B1968))),"")</f>
        <v/>
      </c>
      <c r="L1968" s="27"/>
    </row>
    <row r="1969" customFormat="false" ht="13.8" hidden="false" customHeight="false" outlineLevel="0" collapsed="false">
      <c r="A1969" s="16"/>
      <c r="B1969" s="16"/>
      <c r="C1969" s="26"/>
      <c r="D1969" s="26"/>
      <c r="E1969" s="16"/>
      <c r="F1969" s="18"/>
      <c r="G1969" s="19" t="str">
        <f aca="true">IF(F1969="", "", DATEDIF(F1969, TODAY(), "Y"))</f>
        <v/>
      </c>
      <c r="H1969" s="18"/>
      <c r="I1969" s="18"/>
      <c r="J1969" s="24" t="str">
        <f aca="true">IF(ISBLANK(H1969), "", I1969-TODAY())</f>
        <v/>
      </c>
      <c r="K1969" s="24" t="str">
        <f aca="false" t="array" ref="K1969:K1969">IF(A1969&lt;&gt;"",IF(COUNTIF(A$996:A1970,"&lt;&gt;")=0,COUNTA(B$996:B1969),IFERROR(MATCH(TRUE(),INDEX((A$996:A1970&lt;&gt;""),0),0),COUNTA(B$996:B1969))),"")</f>
        <v/>
      </c>
      <c r="L1969" s="27"/>
    </row>
    <row r="1970" customFormat="false" ht="13.8" hidden="false" customHeight="false" outlineLevel="0" collapsed="false">
      <c r="A1970" s="16"/>
      <c r="B1970" s="16"/>
      <c r="C1970" s="26"/>
      <c r="D1970" s="26"/>
      <c r="E1970" s="16"/>
      <c r="F1970" s="18"/>
      <c r="G1970" s="19" t="str">
        <f aca="true">IF(F1970="", "", DATEDIF(F1970, TODAY(), "Y"))</f>
        <v/>
      </c>
      <c r="H1970" s="18"/>
      <c r="I1970" s="18"/>
      <c r="J1970" s="24" t="str">
        <f aca="true">IF(ISBLANK(H1970), "", I1970-TODAY())</f>
        <v/>
      </c>
      <c r="K1970" s="24" t="str">
        <f aca="false" t="array" ref="K1970:K1970">IF(A1970&lt;&gt;"",IF(COUNTIF(A$996:A1971,"&lt;&gt;")=0,COUNTA(B$996:B1970),IFERROR(MATCH(TRUE(),INDEX((A$996:A1971&lt;&gt;""),0),0),COUNTA(B$996:B1970))),"")</f>
        <v/>
      </c>
      <c r="L1970" s="27"/>
    </row>
    <row r="1971" customFormat="false" ht="13.8" hidden="false" customHeight="false" outlineLevel="0" collapsed="false">
      <c r="A1971" s="16"/>
      <c r="B1971" s="16"/>
      <c r="C1971" s="26"/>
      <c r="D1971" s="26"/>
      <c r="E1971" s="16"/>
      <c r="F1971" s="18"/>
      <c r="G1971" s="19" t="str">
        <f aca="true">IF(F1971="", "", DATEDIF(F1971, TODAY(), "Y"))</f>
        <v/>
      </c>
      <c r="H1971" s="18"/>
      <c r="I1971" s="18"/>
      <c r="J1971" s="24" t="str">
        <f aca="true">IF(ISBLANK(H1971), "", I1971-TODAY())</f>
        <v/>
      </c>
      <c r="K1971" s="24" t="str">
        <f aca="false" t="array" ref="K1971:K1971">IF(A1971&lt;&gt;"",IF(COUNTIF(A$996:A1972,"&lt;&gt;")=0,COUNTA(B$996:B1971),IFERROR(MATCH(TRUE(),INDEX((A$996:A1972&lt;&gt;""),0),0),COUNTA(B$996:B1971))),"")</f>
        <v/>
      </c>
      <c r="L1971" s="27"/>
    </row>
    <row r="1972" customFormat="false" ht="13.8" hidden="false" customHeight="false" outlineLevel="0" collapsed="false">
      <c r="A1972" s="16"/>
      <c r="B1972" s="16"/>
      <c r="C1972" s="26"/>
      <c r="D1972" s="26"/>
      <c r="E1972" s="16"/>
      <c r="F1972" s="18"/>
      <c r="G1972" s="19" t="str">
        <f aca="true">IF(F1972="", "", DATEDIF(F1972, TODAY(), "Y"))</f>
        <v/>
      </c>
      <c r="H1972" s="18"/>
      <c r="I1972" s="18"/>
      <c r="J1972" s="24" t="str">
        <f aca="true">IF(ISBLANK(H1972), "", I1972-TODAY())</f>
        <v/>
      </c>
      <c r="K1972" s="24" t="str">
        <f aca="false" t="array" ref="K1972:K1972">IF(A1972&lt;&gt;"",IF(COUNTIF(A$996:A1973,"&lt;&gt;")=0,COUNTA(B$996:B1972),IFERROR(MATCH(TRUE(),INDEX((A$996:A1973&lt;&gt;""),0),0),COUNTA(B$996:B1972))),"")</f>
        <v/>
      </c>
      <c r="L1972" s="27"/>
    </row>
    <row r="1973" customFormat="false" ht="13.8" hidden="false" customHeight="false" outlineLevel="0" collapsed="false">
      <c r="A1973" s="16"/>
      <c r="B1973" s="16"/>
      <c r="C1973" s="26"/>
      <c r="D1973" s="26"/>
      <c r="E1973" s="16"/>
      <c r="F1973" s="18"/>
      <c r="G1973" s="19" t="str">
        <f aca="true">IF(F1973="", "", DATEDIF(F1973, TODAY(), "Y"))</f>
        <v/>
      </c>
      <c r="H1973" s="18"/>
      <c r="I1973" s="18"/>
      <c r="J1973" s="24" t="str">
        <f aca="true">IF(ISBLANK(H1973), "", I1973-TODAY())</f>
        <v/>
      </c>
      <c r="K1973" s="24" t="str">
        <f aca="false" t="array" ref="K1973:K1973">IF(A1973&lt;&gt;"",IF(COUNTIF(A$996:A1974,"&lt;&gt;")=0,COUNTA(B$996:B1973),IFERROR(MATCH(TRUE(),INDEX((A$996:A1974&lt;&gt;""),0),0),COUNTA(B$996:B1973))),"")</f>
        <v/>
      </c>
      <c r="L1973" s="27"/>
    </row>
    <row r="1974" customFormat="false" ht="13.8" hidden="false" customHeight="false" outlineLevel="0" collapsed="false">
      <c r="A1974" s="16"/>
      <c r="B1974" s="16"/>
      <c r="C1974" s="26"/>
      <c r="D1974" s="26"/>
      <c r="E1974" s="16"/>
      <c r="F1974" s="18"/>
      <c r="G1974" s="19" t="str">
        <f aca="true">IF(F1974="", "", DATEDIF(F1974, TODAY(), "Y"))</f>
        <v/>
      </c>
      <c r="H1974" s="18"/>
      <c r="I1974" s="18"/>
      <c r="J1974" s="24" t="str">
        <f aca="true">IF(ISBLANK(H1974), "", I1974-TODAY())</f>
        <v/>
      </c>
      <c r="K1974" s="24" t="str">
        <f aca="false" t="array" ref="K1974:K1974">IF(A1974&lt;&gt;"",IF(COUNTIF(A$996:A1975,"&lt;&gt;")=0,COUNTA(B$996:B1974),IFERROR(MATCH(TRUE(),INDEX((A$996:A1975&lt;&gt;""),0),0),COUNTA(B$996:B1974))),"")</f>
        <v/>
      </c>
      <c r="L1974" s="27"/>
    </row>
    <row r="1975" customFormat="false" ht="13.8" hidden="false" customHeight="false" outlineLevel="0" collapsed="false">
      <c r="A1975" s="16"/>
      <c r="B1975" s="16"/>
      <c r="C1975" s="26"/>
      <c r="D1975" s="26"/>
      <c r="E1975" s="16"/>
      <c r="F1975" s="18"/>
      <c r="G1975" s="19" t="str">
        <f aca="true">IF(F1975="", "", DATEDIF(F1975, TODAY(), "Y"))</f>
        <v/>
      </c>
      <c r="H1975" s="18"/>
      <c r="I1975" s="18"/>
      <c r="J1975" s="24" t="str">
        <f aca="true">IF(ISBLANK(H1975), "", I1975-TODAY())</f>
        <v/>
      </c>
      <c r="K1975" s="24" t="str">
        <f aca="false" t="array" ref="K1975:K1975">IF(A1975&lt;&gt;"",IF(COUNTIF(A$996:A1976,"&lt;&gt;")=0,COUNTA(B$996:B1975),IFERROR(MATCH(TRUE(),INDEX((A$996:A1976&lt;&gt;""),0),0),COUNTA(B$996:B1975))),"")</f>
        <v/>
      </c>
      <c r="L1975" s="27"/>
    </row>
    <row r="1976" customFormat="false" ht="13.8" hidden="false" customHeight="false" outlineLevel="0" collapsed="false">
      <c r="A1976" s="16"/>
      <c r="B1976" s="16"/>
      <c r="C1976" s="26"/>
      <c r="D1976" s="26"/>
      <c r="E1976" s="16"/>
      <c r="F1976" s="18"/>
      <c r="G1976" s="19" t="str">
        <f aca="true">IF(F1976="", "", DATEDIF(F1976, TODAY(), "Y"))</f>
        <v/>
      </c>
      <c r="H1976" s="18"/>
      <c r="I1976" s="18"/>
      <c r="J1976" s="24" t="str">
        <f aca="true">IF(ISBLANK(H1976), "", I1976-TODAY())</f>
        <v/>
      </c>
      <c r="K1976" s="24" t="str">
        <f aca="false" t="array" ref="K1976:K1976">IF(A1976&lt;&gt;"",IF(COUNTIF(A$996:A1977,"&lt;&gt;")=0,COUNTA(B$996:B1976),IFERROR(MATCH(TRUE(),INDEX((A$996:A1977&lt;&gt;""),0),0),COUNTA(B$996:B1976))),"")</f>
        <v/>
      </c>
      <c r="L1976" s="27"/>
    </row>
    <row r="1977" customFormat="false" ht="13.8" hidden="false" customHeight="false" outlineLevel="0" collapsed="false">
      <c r="A1977" s="16"/>
      <c r="B1977" s="16"/>
      <c r="C1977" s="26"/>
      <c r="D1977" s="26"/>
      <c r="E1977" s="16"/>
      <c r="F1977" s="18"/>
      <c r="G1977" s="19" t="str">
        <f aca="true">IF(F1977="", "", DATEDIF(F1977, TODAY(), "Y"))</f>
        <v/>
      </c>
      <c r="H1977" s="18"/>
      <c r="I1977" s="18"/>
      <c r="J1977" s="24" t="str">
        <f aca="true">IF(ISBLANK(H1977), "", I1977-TODAY())</f>
        <v/>
      </c>
      <c r="K1977" s="24" t="str">
        <f aca="false" t="array" ref="K1977:K1977">IF(A1977&lt;&gt;"",IF(COUNTIF(A$996:A1978,"&lt;&gt;")=0,COUNTA(B$996:B1977),IFERROR(MATCH(TRUE(),INDEX((A$996:A1978&lt;&gt;""),0),0),COUNTA(B$996:B1977))),"")</f>
        <v/>
      </c>
      <c r="L1977" s="27"/>
    </row>
    <row r="1978" customFormat="false" ht="13.8" hidden="false" customHeight="false" outlineLevel="0" collapsed="false">
      <c r="A1978" s="16"/>
      <c r="B1978" s="16"/>
      <c r="C1978" s="26"/>
      <c r="D1978" s="26"/>
      <c r="E1978" s="16"/>
      <c r="F1978" s="18"/>
      <c r="G1978" s="19" t="str">
        <f aca="true">IF(F1978="", "", DATEDIF(F1978, TODAY(), "Y"))</f>
        <v/>
      </c>
      <c r="H1978" s="18"/>
      <c r="I1978" s="18"/>
      <c r="J1978" s="24" t="str">
        <f aca="true">IF(ISBLANK(H1978), "", I1978-TODAY())</f>
        <v/>
      </c>
      <c r="K1978" s="24" t="str">
        <f aca="false" t="array" ref="K1978:K1978">IF(A1978&lt;&gt;"",IF(COUNTIF(A$996:A1979,"&lt;&gt;")=0,COUNTA(B$996:B1978),IFERROR(MATCH(TRUE(),INDEX((A$996:A1979&lt;&gt;""),0),0),COUNTA(B$996:B1978))),"")</f>
        <v/>
      </c>
      <c r="L1978" s="27"/>
    </row>
    <row r="1979" customFormat="false" ht="13.8" hidden="false" customHeight="false" outlineLevel="0" collapsed="false">
      <c r="A1979" s="16"/>
      <c r="B1979" s="16"/>
      <c r="C1979" s="26"/>
      <c r="D1979" s="26"/>
      <c r="E1979" s="16"/>
      <c r="F1979" s="18"/>
      <c r="G1979" s="19" t="str">
        <f aca="true">IF(F1979="", "", DATEDIF(F1979, TODAY(), "Y"))</f>
        <v/>
      </c>
      <c r="H1979" s="18"/>
      <c r="I1979" s="18"/>
      <c r="J1979" s="24" t="str">
        <f aca="true">IF(ISBLANK(H1979), "", I1979-TODAY())</f>
        <v/>
      </c>
      <c r="K1979" s="24" t="str">
        <f aca="false" t="array" ref="K1979:K1979">IF(A1979&lt;&gt;"",IF(COUNTIF(A$996:A1980,"&lt;&gt;")=0,COUNTA(B$996:B1979),IFERROR(MATCH(TRUE(),INDEX((A$996:A1980&lt;&gt;""),0),0),COUNTA(B$996:B1979))),"")</f>
        <v/>
      </c>
      <c r="L1979" s="27"/>
    </row>
    <row r="1980" customFormat="false" ht="13.8" hidden="false" customHeight="false" outlineLevel="0" collapsed="false">
      <c r="A1980" s="16"/>
      <c r="B1980" s="16"/>
      <c r="C1980" s="26"/>
      <c r="D1980" s="26"/>
      <c r="E1980" s="16"/>
      <c r="F1980" s="18"/>
      <c r="G1980" s="19" t="str">
        <f aca="true">IF(F1980="", "", DATEDIF(F1980, TODAY(), "Y"))</f>
        <v/>
      </c>
      <c r="H1980" s="18"/>
      <c r="I1980" s="18"/>
      <c r="J1980" s="24" t="str">
        <f aca="true">IF(ISBLANK(H1980), "", I1980-TODAY())</f>
        <v/>
      </c>
      <c r="K1980" s="24" t="str">
        <f aca="false" t="array" ref="K1980:K1980">IF(A1980&lt;&gt;"",IF(COUNTIF(A$996:A1981,"&lt;&gt;")=0,COUNTA(B$996:B1980),IFERROR(MATCH(TRUE(),INDEX((A$996:A1981&lt;&gt;""),0),0),COUNTA(B$996:B1980))),"")</f>
        <v/>
      </c>
      <c r="L1980" s="27"/>
    </row>
    <row r="1981" customFormat="false" ht="13.8" hidden="false" customHeight="false" outlineLevel="0" collapsed="false">
      <c r="A1981" s="16"/>
      <c r="B1981" s="16"/>
      <c r="C1981" s="26"/>
      <c r="D1981" s="26"/>
      <c r="E1981" s="16"/>
      <c r="F1981" s="18"/>
      <c r="G1981" s="19" t="str">
        <f aca="true">IF(F1981="", "", DATEDIF(F1981, TODAY(), "Y"))</f>
        <v/>
      </c>
      <c r="H1981" s="18"/>
      <c r="I1981" s="18"/>
      <c r="J1981" s="24" t="str">
        <f aca="true">IF(ISBLANK(H1981), "", I1981-TODAY())</f>
        <v/>
      </c>
      <c r="K1981" s="24" t="str">
        <f aca="false" t="array" ref="K1981:K1981">IF(A1981&lt;&gt;"",IF(COUNTIF(A$996:A1982,"&lt;&gt;")=0,COUNTA(B$996:B1981),IFERROR(MATCH(TRUE(),INDEX((A$996:A1982&lt;&gt;""),0),0),COUNTA(B$996:B1981))),"")</f>
        <v/>
      </c>
      <c r="L1981" s="27"/>
    </row>
    <row r="1982" customFormat="false" ht="13.8" hidden="false" customHeight="false" outlineLevel="0" collapsed="false">
      <c r="A1982" s="16"/>
      <c r="B1982" s="16"/>
      <c r="C1982" s="26"/>
      <c r="D1982" s="26"/>
      <c r="E1982" s="16"/>
      <c r="F1982" s="18"/>
      <c r="G1982" s="19" t="str">
        <f aca="true">IF(F1982="", "", DATEDIF(F1982, TODAY(), "Y"))</f>
        <v/>
      </c>
      <c r="H1982" s="18"/>
      <c r="I1982" s="18"/>
      <c r="J1982" s="24" t="str">
        <f aca="true">IF(ISBLANK(H1982), "", I1982-TODAY())</f>
        <v/>
      </c>
      <c r="K1982" s="24" t="str">
        <f aca="false" t="array" ref="K1982:K1982">IF(A1982&lt;&gt;"",IF(COUNTIF(A$996:A1983,"&lt;&gt;")=0,COUNTA(B$996:B1982),IFERROR(MATCH(TRUE(),INDEX((A$996:A1983&lt;&gt;""),0),0),COUNTA(B$996:B1982))),"")</f>
        <v/>
      </c>
      <c r="L1982" s="27"/>
    </row>
    <row r="1983" customFormat="false" ht="13.8" hidden="false" customHeight="false" outlineLevel="0" collapsed="false">
      <c r="A1983" s="16"/>
      <c r="B1983" s="16"/>
      <c r="C1983" s="26"/>
      <c r="D1983" s="26"/>
      <c r="E1983" s="16"/>
      <c r="F1983" s="18"/>
      <c r="G1983" s="19" t="str">
        <f aca="true">IF(F1983="", "", DATEDIF(F1983, TODAY(), "Y"))</f>
        <v/>
      </c>
      <c r="H1983" s="18"/>
      <c r="I1983" s="18"/>
      <c r="J1983" s="24" t="str">
        <f aca="true">IF(ISBLANK(H1983), "", I1983-TODAY())</f>
        <v/>
      </c>
      <c r="K1983" s="24" t="str">
        <f aca="false" t="array" ref="K1983:K1983">IF(A1983&lt;&gt;"",IF(COUNTIF(A$996:A1984,"&lt;&gt;")=0,COUNTA(B$996:B1983),IFERROR(MATCH(TRUE(),INDEX((A$996:A1984&lt;&gt;""),0),0),COUNTA(B$996:B1983))),"")</f>
        <v/>
      </c>
      <c r="L1983" s="27"/>
    </row>
    <row r="1984" customFormat="false" ht="13.8" hidden="false" customHeight="false" outlineLevel="0" collapsed="false">
      <c r="A1984" s="16"/>
      <c r="B1984" s="16"/>
      <c r="C1984" s="26"/>
      <c r="D1984" s="26"/>
      <c r="E1984" s="16"/>
      <c r="F1984" s="18"/>
      <c r="G1984" s="19" t="str">
        <f aca="true">IF(F1984="", "", DATEDIF(F1984, TODAY(), "Y"))</f>
        <v/>
      </c>
      <c r="H1984" s="18"/>
      <c r="I1984" s="18"/>
      <c r="J1984" s="24" t="str">
        <f aca="true">IF(ISBLANK(H1984), "", I1984-TODAY())</f>
        <v/>
      </c>
      <c r="K1984" s="24" t="str">
        <f aca="false" t="array" ref="K1984:K1984">IF(A1984&lt;&gt;"",IF(COUNTIF(A$996:A1985,"&lt;&gt;")=0,COUNTA(B$996:B1984),IFERROR(MATCH(TRUE(),INDEX((A$996:A1985&lt;&gt;""),0),0),COUNTA(B$996:B1984))),"")</f>
        <v/>
      </c>
      <c r="L1984" s="27"/>
    </row>
    <row r="1985" customFormat="false" ht="13.8" hidden="false" customHeight="false" outlineLevel="0" collapsed="false">
      <c r="A1985" s="16"/>
      <c r="B1985" s="16"/>
      <c r="C1985" s="26"/>
      <c r="D1985" s="26"/>
      <c r="E1985" s="16"/>
      <c r="F1985" s="18"/>
      <c r="G1985" s="19" t="str">
        <f aca="true">IF(F1985="", "", DATEDIF(F1985, TODAY(), "Y"))</f>
        <v/>
      </c>
      <c r="H1985" s="18"/>
      <c r="I1985" s="18"/>
      <c r="J1985" s="24" t="str">
        <f aca="true">IF(ISBLANK(H1985), "", I1985-TODAY())</f>
        <v/>
      </c>
      <c r="K1985" s="24" t="str">
        <f aca="false" t="array" ref="K1985:K1985">IF(A1985&lt;&gt;"",IF(COUNTIF(A$996:A1986,"&lt;&gt;")=0,COUNTA(B$996:B1985),IFERROR(MATCH(TRUE(),INDEX((A$996:A1986&lt;&gt;""),0),0),COUNTA(B$996:B1985))),"")</f>
        <v/>
      </c>
      <c r="L1985" s="27"/>
    </row>
    <row r="1986" customFormat="false" ht="13.8" hidden="false" customHeight="false" outlineLevel="0" collapsed="false">
      <c r="A1986" s="16"/>
      <c r="B1986" s="16"/>
      <c r="C1986" s="26"/>
      <c r="D1986" s="26"/>
      <c r="E1986" s="16"/>
      <c r="F1986" s="18"/>
      <c r="G1986" s="19" t="str">
        <f aca="true">IF(F1986="", "", DATEDIF(F1986, TODAY(), "Y"))</f>
        <v/>
      </c>
      <c r="H1986" s="18"/>
      <c r="I1986" s="18"/>
      <c r="J1986" s="24" t="str">
        <f aca="true">IF(ISBLANK(H1986), "", I1986-TODAY())</f>
        <v/>
      </c>
      <c r="K1986" s="24" t="str">
        <f aca="false" t="array" ref="K1986:K1986">IF(A1986&lt;&gt;"",IF(COUNTIF(A$996:A1987,"&lt;&gt;")=0,COUNTA(B$996:B1986),IFERROR(MATCH(TRUE(),INDEX((A$996:A1987&lt;&gt;""),0),0),COUNTA(B$996:B1986))),"")</f>
        <v/>
      </c>
      <c r="L1986" s="27"/>
    </row>
    <row r="1987" customFormat="false" ht="13.8" hidden="false" customHeight="false" outlineLevel="0" collapsed="false">
      <c r="A1987" s="16"/>
      <c r="B1987" s="16"/>
      <c r="C1987" s="26"/>
      <c r="D1987" s="26"/>
      <c r="E1987" s="16"/>
      <c r="F1987" s="18"/>
      <c r="G1987" s="19" t="str">
        <f aca="true">IF(F1987="", "", DATEDIF(F1987, TODAY(), "Y"))</f>
        <v/>
      </c>
      <c r="H1987" s="18"/>
      <c r="I1987" s="18"/>
      <c r="J1987" s="24" t="str">
        <f aca="true">IF(ISBLANK(H1987), "", I1987-TODAY())</f>
        <v/>
      </c>
      <c r="K1987" s="24" t="str">
        <f aca="false" t="array" ref="K1987:K1987">IF(A1987&lt;&gt;"",IF(COUNTIF(A$996:A1988,"&lt;&gt;")=0,COUNTA(B$996:B1987),IFERROR(MATCH(TRUE(),INDEX((A$996:A1988&lt;&gt;""),0),0),COUNTA(B$996:B1987))),"")</f>
        <v/>
      </c>
      <c r="L1987" s="27"/>
    </row>
    <row r="1988" customFormat="false" ht="13.8" hidden="false" customHeight="false" outlineLevel="0" collapsed="false">
      <c r="A1988" s="16"/>
      <c r="B1988" s="16"/>
      <c r="C1988" s="26"/>
      <c r="D1988" s="26"/>
      <c r="E1988" s="16"/>
      <c r="F1988" s="18"/>
      <c r="G1988" s="19" t="str">
        <f aca="true">IF(F1988="", "", DATEDIF(F1988, TODAY(), "Y"))</f>
        <v/>
      </c>
      <c r="H1988" s="18"/>
      <c r="I1988" s="18"/>
      <c r="J1988" s="24" t="str">
        <f aca="true">IF(ISBLANK(H1988), "", I1988-TODAY())</f>
        <v/>
      </c>
      <c r="K1988" s="24" t="str">
        <f aca="false" t="array" ref="K1988:K1988">IF(A1988&lt;&gt;"",IF(COUNTIF(A$996:A1989,"&lt;&gt;")=0,COUNTA(B$996:B1988),IFERROR(MATCH(TRUE(),INDEX((A$996:A1989&lt;&gt;""),0),0),COUNTA(B$996:B1988))),"")</f>
        <v/>
      </c>
      <c r="L1988" s="27"/>
    </row>
    <row r="1989" customFormat="false" ht="13.8" hidden="false" customHeight="false" outlineLevel="0" collapsed="false">
      <c r="A1989" s="16"/>
      <c r="B1989" s="16"/>
      <c r="C1989" s="26"/>
      <c r="D1989" s="26"/>
      <c r="E1989" s="16"/>
      <c r="F1989" s="18"/>
      <c r="G1989" s="19" t="str">
        <f aca="true">IF(F1989="", "", DATEDIF(F1989, TODAY(), "Y"))</f>
        <v/>
      </c>
      <c r="H1989" s="18"/>
      <c r="I1989" s="18"/>
      <c r="J1989" s="24" t="str">
        <f aca="true">IF(ISBLANK(H1989), "", I1989-TODAY())</f>
        <v/>
      </c>
      <c r="K1989" s="24" t="str">
        <f aca="false" t="array" ref="K1989:K1989">IF(A1989&lt;&gt;"",IF(COUNTIF(A$996:A1990,"&lt;&gt;")=0,COUNTA(B$996:B1989),IFERROR(MATCH(TRUE(),INDEX((A$996:A1990&lt;&gt;""),0),0),COUNTA(B$996:B1989))),"")</f>
        <v/>
      </c>
      <c r="L1989" s="27"/>
    </row>
    <row r="1990" customFormat="false" ht="13.8" hidden="false" customHeight="false" outlineLevel="0" collapsed="false">
      <c r="A1990" s="16"/>
      <c r="B1990" s="16"/>
      <c r="C1990" s="26"/>
      <c r="D1990" s="26"/>
      <c r="E1990" s="16"/>
      <c r="F1990" s="18"/>
      <c r="G1990" s="19" t="str">
        <f aca="true">IF(F1990="", "", DATEDIF(F1990, TODAY(), "Y"))</f>
        <v/>
      </c>
      <c r="H1990" s="18"/>
      <c r="I1990" s="18"/>
      <c r="J1990" s="24" t="str">
        <f aca="true">IF(ISBLANK(H1990), "", I1990-TODAY())</f>
        <v/>
      </c>
      <c r="K1990" s="24" t="str">
        <f aca="false" t="array" ref="K1990:K1990">IF(A1990&lt;&gt;"",IF(COUNTIF(A$996:A1991,"&lt;&gt;")=0,COUNTA(B$996:B1990),IFERROR(MATCH(TRUE(),INDEX((A$996:A1991&lt;&gt;""),0),0),COUNTA(B$996:B1990))),"")</f>
        <v/>
      </c>
      <c r="L1990" s="27"/>
    </row>
    <row r="1991" customFormat="false" ht="13.8" hidden="false" customHeight="false" outlineLevel="0" collapsed="false">
      <c r="A1991" s="16"/>
      <c r="B1991" s="16"/>
      <c r="C1991" s="26"/>
      <c r="D1991" s="26"/>
      <c r="E1991" s="16"/>
      <c r="F1991" s="18"/>
      <c r="G1991" s="19" t="str">
        <f aca="true">IF(F1991="", "", DATEDIF(F1991, TODAY(), "Y"))</f>
        <v/>
      </c>
      <c r="H1991" s="18"/>
      <c r="I1991" s="18"/>
      <c r="J1991" s="24" t="str">
        <f aca="true">IF(ISBLANK(H1991), "", I1991-TODAY())</f>
        <v/>
      </c>
      <c r="K1991" s="24" t="str">
        <f aca="false" t="array" ref="K1991:K1991">IF(A1991&lt;&gt;"",IF(COUNTIF(A$996:A1992,"&lt;&gt;")=0,COUNTA(B$996:B1991),IFERROR(MATCH(TRUE(),INDEX((A$996:A1992&lt;&gt;""),0),0),COUNTA(B$996:B1991))),"")</f>
        <v/>
      </c>
      <c r="L1991" s="27"/>
    </row>
    <row r="1992" customFormat="false" ht="13.8" hidden="false" customHeight="false" outlineLevel="0" collapsed="false">
      <c r="A1992" s="16"/>
      <c r="B1992" s="16"/>
      <c r="C1992" s="26"/>
      <c r="D1992" s="26"/>
      <c r="E1992" s="16"/>
      <c r="F1992" s="18"/>
      <c r="G1992" s="19" t="str">
        <f aca="true">IF(F1992="", "", DATEDIF(F1992, TODAY(), "Y"))</f>
        <v/>
      </c>
      <c r="H1992" s="18"/>
      <c r="I1992" s="18"/>
      <c r="J1992" s="24" t="str">
        <f aca="true">IF(ISBLANK(H1992), "", I1992-TODAY())</f>
        <v/>
      </c>
      <c r="K1992" s="24" t="str">
        <f aca="false" t="array" ref="K1992:K1992">IF(A1992&lt;&gt;"",IF(COUNTIF(A$996:A1993,"&lt;&gt;")=0,COUNTA(B$996:B1992),IFERROR(MATCH(TRUE(),INDEX((A$996:A1993&lt;&gt;""),0),0),COUNTA(B$996:B1992))),"")</f>
        <v/>
      </c>
      <c r="L1992" s="27"/>
    </row>
    <row r="1993" customFormat="false" ht="13.8" hidden="false" customHeight="false" outlineLevel="0" collapsed="false">
      <c r="A1993" s="16"/>
      <c r="B1993" s="16"/>
      <c r="C1993" s="26"/>
      <c r="D1993" s="26"/>
      <c r="E1993" s="16"/>
      <c r="F1993" s="18"/>
      <c r="G1993" s="19" t="str">
        <f aca="true">IF(F1993="", "", DATEDIF(F1993, TODAY(), "Y"))</f>
        <v/>
      </c>
      <c r="H1993" s="18"/>
      <c r="I1993" s="18"/>
      <c r="J1993" s="24" t="str">
        <f aca="true">IF(ISBLANK(H1993), "", I1993-TODAY())</f>
        <v/>
      </c>
      <c r="K1993" s="24" t="str">
        <f aca="false" t="array" ref="K1993:K1993">IF(A1993&lt;&gt;"",IF(COUNTIF(A$996:A1994,"&lt;&gt;")=0,COUNTA(B$996:B1993),IFERROR(MATCH(TRUE(),INDEX((A$996:A1994&lt;&gt;""),0),0),COUNTA(B$996:B1993))),"")</f>
        <v/>
      </c>
      <c r="L1993" s="27"/>
    </row>
    <row r="1994" customFormat="false" ht="13.8" hidden="false" customHeight="false" outlineLevel="0" collapsed="false">
      <c r="A1994" s="16"/>
      <c r="B1994" s="16"/>
      <c r="C1994" s="26"/>
      <c r="D1994" s="26"/>
      <c r="E1994" s="16"/>
      <c r="F1994" s="18"/>
      <c r="G1994" s="19" t="str">
        <f aca="true">IF(F1994="", "", DATEDIF(F1994, TODAY(), "Y"))</f>
        <v/>
      </c>
      <c r="H1994" s="18"/>
      <c r="I1994" s="18"/>
      <c r="J1994" s="24" t="str">
        <f aca="true">IF(ISBLANK(H1994), "", I1994-TODAY())</f>
        <v/>
      </c>
      <c r="K1994" s="24" t="str">
        <f aca="false" t="array" ref="K1994:K1994">IF(A1994&lt;&gt;"",IF(COUNTIF(A$996:A1995,"&lt;&gt;")=0,COUNTA(B$996:B1994),IFERROR(MATCH(TRUE(),INDEX((A$996:A1995&lt;&gt;""),0),0),COUNTA(B$996:B1994))),"")</f>
        <v/>
      </c>
      <c r="L1994" s="27"/>
    </row>
    <row r="1995" customFormat="false" ht="13.8" hidden="false" customHeight="false" outlineLevel="0" collapsed="false">
      <c r="A1995" s="16"/>
      <c r="B1995" s="16"/>
      <c r="C1995" s="26"/>
      <c r="D1995" s="26"/>
      <c r="E1995" s="16"/>
      <c r="F1995" s="18"/>
      <c r="G1995" s="19" t="str">
        <f aca="true">IF(F1995="", "", DATEDIF(F1995, TODAY(), "Y"))</f>
        <v/>
      </c>
      <c r="H1995" s="18"/>
      <c r="I1995" s="18"/>
      <c r="J1995" s="24" t="str">
        <f aca="true">IF(ISBLANK(H1995), "", I1995-TODAY())</f>
        <v/>
      </c>
      <c r="K1995" s="24" t="str">
        <f aca="false" t="array" ref="K1995:K1995">IF(A1995&lt;&gt;"",IF(COUNTIF(A$996:A1996,"&lt;&gt;")=0,COUNTA(B$996:B1995),IFERROR(MATCH(TRUE(),INDEX((A$996:A1996&lt;&gt;""),0),0),COUNTA(B$996:B1995))),"")</f>
        <v/>
      </c>
      <c r="L1995" s="27"/>
    </row>
    <row r="1996" customFormat="false" ht="13.8" hidden="false" customHeight="false" outlineLevel="0" collapsed="false">
      <c r="A1996" s="16"/>
      <c r="B1996" s="16"/>
      <c r="C1996" s="26"/>
      <c r="D1996" s="26"/>
      <c r="E1996" s="16"/>
      <c r="F1996" s="18"/>
      <c r="G1996" s="19" t="str">
        <f aca="true">IF(F1996="", "", DATEDIF(F1996, TODAY(), "Y"))</f>
        <v/>
      </c>
      <c r="H1996" s="18"/>
      <c r="I1996" s="18"/>
      <c r="J1996" s="24" t="str">
        <f aca="true">IF(ISBLANK(H1996), "", I1996-TODAY())</f>
        <v/>
      </c>
      <c r="K1996" s="24" t="str">
        <f aca="false" t="array" ref="K1996:K1996">IF(A1996&lt;&gt;"",IF(COUNTIF(A$996:A1997,"&lt;&gt;")=0,COUNTA(B$996:B1996),IFERROR(MATCH(TRUE(),INDEX((A$996:A1997&lt;&gt;""),0),0),COUNTA(B$996:B1996))),"")</f>
        <v/>
      </c>
      <c r="L1996" s="27"/>
    </row>
    <row r="1997" customFormat="false" ht="13.8" hidden="false" customHeight="false" outlineLevel="0" collapsed="false">
      <c r="A1997" s="16"/>
      <c r="B1997" s="16"/>
      <c r="C1997" s="26"/>
      <c r="D1997" s="26"/>
      <c r="E1997" s="16"/>
      <c r="F1997" s="18"/>
      <c r="G1997" s="19" t="str">
        <f aca="true">IF(F1997="", "", DATEDIF(F1997, TODAY(), "Y"))</f>
        <v/>
      </c>
      <c r="H1997" s="18"/>
      <c r="I1997" s="18"/>
      <c r="J1997" s="24" t="str">
        <f aca="true">IF(ISBLANK(H1997), "", I1997-TODAY())</f>
        <v/>
      </c>
      <c r="K1997" s="24" t="str">
        <f aca="false" t="array" ref="K1997:K1997">IF(A1997&lt;&gt;"",IF(COUNTIF(A$996:A1998,"&lt;&gt;")=0,COUNTA(B$996:B1997),IFERROR(MATCH(TRUE(),INDEX((A$996:A1998&lt;&gt;""),0),0),COUNTA(B$996:B1997))),"")</f>
        <v/>
      </c>
      <c r="L1997" s="27"/>
    </row>
    <row r="1998" customFormat="false" ht="13.8" hidden="false" customHeight="false" outlineLevel="0" collapsed="false">
      <c r="A1998" s="16"/>
      <c r="B1998" s="16"/>
      <c r="C1998" s="26"/>
      <c r="D1998" s="26"/>
      <c r="E1998" s="16"/>
      <c r="F1998" s="18"/>
      <c r="G1998" s="19" t="str">
        <f aca="true">IF(F1998="", "", DATEDIF(F1998, TODAY(), "Y"))</f>
        <v/>
      </c>
      <c r="H1998" s="18"/>
      <c r="I1998" s="18"/>
      <c r="J1998" s="24" t="str">
        <f aca="true">IF(ISBLANK(H1998), "", I1998-TODAY())</f>
        <v/>
      </c>
      <c r="K1998" s="24" t="str">
        <f aca="false" t="array" ref="K1998:K1998">IF(A1998&lt;&gt;"",IF(COUNTIF(A$996:A1999,"&lt;&gt;")=0,COUNTA(B$996:B1998),IFERROR(MATCH(TRUE(),INDEX((A$996:A1999&lt;&gt;""),0),0),COUNTA(B$996:B1998))),"")</f>
        <v/>
      </c>
      <c r="L1998" s="27"/>
    </row>
    <row r="1999" customFormat="false" ht="13.8" hidden="false" customHeight="false" outlineLevel="0" collapsed="false">
      <c r="A1999" s="16"/>
      <c r="B1999" s="16"/>
      <c r="C1999" s="26"/>
      <c r="D1999" s="26"/>
      <c r="E1999" s="16"/>
      <c r="F1999" s="18"/>
      <c r="G1999" s="19" t="str">
        <f aca="true">IF(F1999="", "", DATEDIF(F1999, TODAY(), "Y"))</f>
        <v/>
      </c>
      <c r="H1999" s="18"/>
      <c r="I1999" s="18"/>
      <c r="J1999" s="24" t="str">
        <f aca="true">IF(ISBLANK(H1999), "", I1999-TODAY())</f>
        <v/>
      </c>
      <c r="K1999" s="24" t="str">
        <f aca="false" t="array" ref="K1999:K1999">IF(A1999&lt;&gt;"",IF(COUNTIF(A$996:A2000,"&lt;&gt;")=0,COUNTA(B$996:B1999),IFERROR(MATCH(TRUE(),INDEX((A$996:A2000&lt;&gt;""),0),0),COUNTA(B$996:B1999))),"")</f>
        <v/>
      </c>
      <c r="L1999" s="27"/>
    </row>
    <row r="2000" customFormat="false" ht="13.8" hidden="false" customHeight="false" outlineLevel="0" collapsed="false">
      <c r="A2000" s="16"/>
      <c r="B2000" s="16"/>
      <c r="C2000" s="26"/>
      <c r="D2000" s="26"/>
      <c r="E2000" s="16"/>
      <c r="F2000" s="18"/>
      <c r="G2000" s="19" t="str">
        <f aca="true">IF(F2000="", "", DATEDIF(F2000, TODAY(), "Y"))</f>
        <v/>
      </c>
      <c r="H2000" s="28"/>
      <c r="I2000" s="28"/>
      <c r="J2000" s="24" t="str">
        <f aca="true">IF(ISBLANK(H2000), "", I2000-TODAY())</f>
        <v/>
      </c>
      <c r="K2000" s="24" t="str">
        <f aca="false" t="array" ref="K2000:K2000">IF(A2000&lt;&gt;"",IF(COUNTIF(A$996:A2001,"&lt;&gt;")=0,COUNTA(B$996:B2000),IFERROR(MATCH(TRUE(),INDEX((A$996:A2001&lt;&gt;""),0),0),COUNTA(B$996:B2000))),"")</f>
        <v/>
      </c>
      <c r="L2000" s="27"/>
    </row>
    <row r="2001" customFormat="false" ht="13.8" hidden="false" customHeight="false" outlineLevel="0" collapsed="false">
      <c r="A2001" s="16"/>
      <c r="B2001" s="16"/>
      <c r="C2001" s="26"/>
      <c r="D2001" s="26"/>
      <c r="E2001" s="16"/>
      <c r="F2001" s="18"/>
      <c r="G2001" s="19" t="str">
        <f aca="true">IF(F2001="", "", DATEDIF(F2001, TODAY(), "Y"))</f>
        <v/>
      </c>
      <c r="H2001" s="28"/>
      <c r="I2001" s="28"/>
      <c r="J2001" s="24" t="str">
        <f aca="true">IF(ISBLANK(H2001), "", I2001-TODAY())</f>
        <v/>
      </c>
      <c r="K2001" s="24" t="str">
        <f aca="false" t="array" ref="K2001:K2001">IF(A2001&lt;&gt;"",IF(COUNTIF(A$996:A2002,"&lt;&gt;")=0,COUNTA(B$996:B2001),IFERROR(MATCH(TRUE(),INDEX((A$996:A2002&lt;&gt;""),0),0),COUNTA(B$996:B2001))),"")</f>
        <v/>
      </c>
      <c r="L2001" s="27"/>
    </row>
    <row r="2002" customFormat="false" ht="13.8" hidden="false" customHeight="false" outlineLevel="0" collapsed="false">
      <c r="A2002" s="16"/>
      <c r="B2002" s="16"/>
      <c r="C2002" s="26"/>
      <c r="D2002" s="26"/>
      <c r="E2002" s="16"/>
      <c r="F2002" s="18"/>
      <c r="G2002" s="19" t="str">
        <f aca="true">IF(F2002="", "", DATEDIF(F2002, TODAY(), "Y"))</f>
        <v/>
      </c>
      <c r="H2002" s="28"/>
      <c r="I2002" s="28"/>
      <c r="J2002" s="24" t="str">
        <f aca="true">IF(ISBLANK(H2002), "", I2002-TODAY())</f>
        <v/>
      </c>
      <c r="K2002" s="24" t="str">
        <f aca="false" t="array" ref="K2002:K2002">IF(A2002&lt;&gt;"",IF(COUNTIF(A$996:A2003,"&lt;&gt;")=0,COUNTA(B$996:B2002),IFERROR(MATCH(TRUE(),INDEX((A$996:A2003&lt;&gt;""),0),0),COUNTA(B$996:B2002))),"")</f>
        <v/>
      </c>
      <c r="L2002" s="27"/>
    </row>
    <row r="2003" customFormat="false" ht="13.8" hidden="false" customHeight="false" outlineLevel="0" collapsed="false">
      <c r="A2003" s="16"/>
      <c r="B2003" s="16"/>
      <c r="C2003" s="26"/>
      <c r="D2003" s="26"/>
      <c r="E2003" s="16"/>
      <c r="F2003" s="18"/>
      <c r="G2003" s="19" t="str">
        <f aca="true">IF(F2003="", "", DATEDIF(F2003, TODAY(), "Y"))</f>
        <v/>
      </c>
      <c r="H2003" s="28"/>
      <c r="I2003" s="28"/>
      <c r="J2003" s="24" t="str">
        <f aca="true">IF(ISBLANK(H2003), "", I2003-TODAY())</f>
        <v/>
      </c>
      <c r="K2003" s="24" t="str">
        <f aca="false" t="array" ref="K2003:K2003">IF(A2003&lt;&gt;"",IF(COUNTIF(A$996:A2004,"&lt;&gt;")=0,COUNTA(B$996:B2003),IFERROR(MATCH(TRUE(),INDEX((A$996:A2004&lt;&gt;""),0),0),COUNTA(B$996:B2003))),"")</f>
        <v/>
      </c>
      <c r="L2003" s="27"/>
    </row>
    <row r="2004" customFormat="false" ht="13.8" hidden="false" customHeight="false" outlineLevel="0" collapsed="false">
      <c r="A2004" s="16"/>
      <c r="B2004" s="16"/>
      <c r="C2004" s="26"/>
      <c r="D2004" s="26"/>
      <c r="E2004" s="16"/>
      <c r="F2004" s="18"/>
      <c r="G2004" s="19" t="str">
        <f aca="true">IF(F2004="", "", DATEDIF(F2004, TODAY(), "Y"))</f>
        <v/>
      </c>
      <c r="H2004" s="28"/>
      <c r="I2004" s="28"/>
      <c r="J2004" s="24" t="str">
        <f aca="true">IF(ISBLANK(H2004), "", I2004-TODAY())</f>
        <v/>
      </c>
      <c r="K2004" s="24" t="str">
        <f aca="false" t="array" ref="K2004:K2004">IF(A2004&lt;&gt;"",IF(COUNTIF(A$996:A2005,"&lt;&gt;")=0,COUNTA(B$996:B2004),IFERROR(MATCH(TRUE(),INDEX((A$996:A2005&lt;&gt;""),0),0),COUNTA(B$996:B2004))),"")</f>
        <v/>
      </c>
      <c r="L2004" s="27"/>
    </row>
    <row r="2005" customFormat="false" ht="13.8" hidden="false" customHeight="false" outlineLevel="0" collapsed="false">
      <c r="A2005" s="16"/>
      <c r="B2005" s="16"/>
      <c r="C2005" s="26"/>
      <c r="D2005" s="26"/>
      <c r="E2005" s="16"/>
      <c r="F2005" s="18"/>
      <c r="G2005" s="19" t="str">
        <f aca="true">IF(F2005="", "", DATEDIF(F2005, TODAY(), "Y"))</f>
        <v/>
      </c>
      <c r="H2005" s="28"/>
      <c r="I2005" s="28"/>
      <c r="J2005" s="24" t="str">
        <f aca="true">IF(ISBLANK(H2005), "", I2005-TODAY())</f>
        <v/>
      </c>
      <c r="K2005" s="24" t="str">
        <f aca="false" t="array" ref="K2005:K2005">IF(A2005&lt;&gt;"",IF(COUNTIF(A$996:A2006,"&lt;&gt;")=0,COUNTA(B$996:B2005),IFERROR(MATCH(TRUE(),INDEX((A$996:A2006&lt;&gt;""),0),0),COUNTA(B$996:B2005))),"")</f>
        <v/>
      </c>
      <c r="L2005" s="27"/>
    </row>
    <row r="2006" customFormat="false" ht="13.8" hidden="false" customHeight="false" outlineLevel="0" collapsed="false">
      <c r="A2006" s="16"/>
      <c r="B2006" s="16"/>
      <c r="C2006" s="26"/>
      <c r="D2006" s="26"/>
      <c r="E2006" s="16"/>
      <c r="F2006" s="18"/>
      <c r="G2006" s="19" t="str">
        <f aca="true">IF(F2006="", "", DATEDIF(F2006, TODAY(), "Y"))</f>
        <v/>
      </c>
      <c r="H2006" s="28"/>
      <c r="I2006" s="28"/>
      <c r="J2006" s="24" t="str">
        <f aca="true">IF(ISBLANK(H2006), "", I2006-TODAY())</f>
        <v/>
      </c>
      <c r="K2006" s="24" t="str">
        <f aca="false" t="array" ref="K2006:K2006">IF(A2006&lt;&gt;"",IF(COUNTIF(A$996:A2007,"&lt;&gt;")=0,COUNTA(B$996:B2006),IFERROR(MATCH(TRUE(),INDEX((A$996:A2007&lt;&gt;""),0),0),COUNTA(B$996:B2006))),"")</f>
        <v/>
      </c>
      <c r="L2006" s="27"/>
    </row>
    <row r="2007" customFormat="false" ht="13.8" hidden="false" customHeight="false" outlineLevel="0" collapsed="false">
      <c r="A2007" s="16"/>
      <c r="B2007" s="16"/>
      <c r="C2007" s="26"/>
      <c r="D2007" s="26"/>
      <c r="E2007" s="16"/>
      <c r="F2007" s="18"/>
      <c r="G2007" s="19" t="str">
        <f aca="true">IF(F2007="", "", DATEDIF(F2007, TODAY(), "Y"))</f>
        <v/>
      </c>
      <c r="H2007" s="28"/>
      <c r="I2007" s="28"/>
      <c r="J2007" s="24" t="str">
        <f aca="true">IF(ISBLANK(H2007), "", I2007-TODAY())</f>
        <v/>
      </c>
      <c r="K2007" s="24" t="str">
        <f aca="false" t="array" ref="K2007:K2007">IF(A2007&lt;&gt;"",IF(COUNTIF(A$996:A2008,"&lt;&gt;")=0,COUNTA(B$996:B2007),IFERROR(MATCH(TRUE(),INDEX((A$996:A2008&lt;&gt;""),0),0),COUNTA(B$996:B2007))),"")</f>
        <v/>
      </c>
      <c r="L2007" s="27"/>
    </row>
    <row r="2008" customFormat="false" ht="13.8" hidden="false" customHeight="false" outlineLevel="0" collapsed="false">
      <c r="A2008" s="16"/>
      <c r="B2008" s="16"/>
      <c r="C2008" s="26"/>
      <c r="D2008" s="26"/>
      <c r="E2008" s="16"/>
      <c r="F2008" s="18"/>
      <c r="G2008" s="19" t="str">
        <f aca="true">IF(F2008="", "", DATEDIF(F2008, TODAY(), "Y"))</f>
        <v/>
      </c>
      <c r="H2008" s="28"/>
      <c r="I2008" s="28"/>
      <c r="J2008" s="24" t="str">
        <f aca="true">IF(ISBLANK(H2008), "", I2008-TODAY())</f>
        <v/>
      </c>
      <c r="K2008" s="24" t="str">
        <f aca="false" t="array" ref="K2008:K2008">IF(A2008&lt;&gt;"",IF(COUNTIF(A$996:A2009,"&lt;&gt;")=0,COUNTA(B$996:B2008),IFERROR(MATCH(TRUE(),INDEX((A$996:A2009&lt;&gt;""),0),0),COUNTA(B$996:B2008))),"")</f>
        <v/>
      </c>
      <c r="L2008" s="27"/>
    </row>
    <row r="2009" customFormat="false" ht="13.8" hidden="false" customHeight="false" outlineLevel="0" collapsed="false">
      <c r="A2009" s="16"/>
      <c r="B2009" s="16"/>
      <c r="C2009" s="26"/>
      <c r="D2009" s="26"/>
      <c r="E2009" s="16"/>
      <c r="F2009" s="18"/>
      <c r="G2009" s="19" t="str">
        <f aca="true">IF(F2009="", "", DATEDIF(F2009, TODAY(), "Y"))</f>
        <v/>
      </c>
      <c r="H2009" s="28"/>
      <c r="I2009" s="28"/>
      <c r="J2009" s="24" t="str">
        <f aca="true">IF(ISBLANK(H2009), "", I2009-TODAY())</f>
        <v/>
      </c>
      <c r="K2009" s="24" t="str">
        <f aca="false" t="array" ref="K2009:K2009">IF(A2009&lt;&gt;"",IF(COUNTIF(A$996:A2010,"&lt;&gt;")=0,COUNTA(B$996:B2009),IFERROR(MATCH(TRUE(),INDEX((A$996:A2010&lt;&gt;""),0),0),COUNTA(B$996:B2009))),"")</f>
        <v/>
      </c>
      <c r="L2009" s="27"/>
    </row>
    <row r="2010" customFormat="false" ht="13.8" hidden="false" customHeight="false" outlineLevel="0" collapsed="false">
      <c r="A2010" s="16"/>
      <c r="B2010" s="16"/>
      <c r="C2010" s="26"/>
      <c r="D2010" s="26"/>
      <c r="E2010" s="16"/>
      <c r="F2010" s="18"/>
      <c r="G2010" s="19" t="str">
        <f aca="true">IF(F2010="", "", DATEDIF(F2010, TODAY(), "Y"))</f>
        <v/>
      </c>
      <c r="H2010" s="28"/>
      <c r="I2010" s="28"/>
      <c r="J2010" s="24" t="str">
        <f aca="true">IF(ISBLANK(H2010), "", I2010-TODAY())</f>
        <v/>
      </c>
      <c r="K2010" s="24" t="str">
        <f aca="false" t="array" ref="K2010:K2010">IF(A2010&lt;&gt;"",IF(COUNTIF(A$996:A2011,"&lt;&gt;")=0,COUNTA(B$996:B2010),IFERROR(MATCH(TRUE(),INDEX((A$996:A2011&lt;&gt;""),0),0),COUNTA(B$996:B2010))),"")</f>
        <v/>
      </c>
      <c r="L2010" s="27"/>
    </row>
    <row r="2011" customFormat="false" ht="13.8" hidden="false" customHeight="false" outlineLevel="0" collapsed="false">
      <c r="A2011" s="16"/>
      <c r="B2011" s="16"/>
      <c r="C2011" s="26"/>
      <c r="D2011" s="26"/>
      <c r="E2011" s="16"/>
      <c r="F2011" s="18"/>
      <c r="G2011" s="19" t="str">
        <f aca="true">IF(F2011="", "", DATEDIF(F2011, TODAY(), "Y"))</f>
        <v/>
      </c>
      <c r="H2011" s="28"/>
      <c r="I2011" s="28"/>
      <c r="J2011" s="24" t="str">
        <f aca="true">IF(ISBLANK(H2011), "", I2011-TODAY())</f>
        <v/>
      </c>
      <c r="K2011" s="24" t="str">
        <f aca="false" t="array" ref="K2011:K2011">IF(A2011&lt;&gt;"",IF(COUNTIF(A$996:A2012,"&lt;&gt;")=0,COUNTA(B$996:B2011),IFERROR(MATCH(TRUE(),INDEX((A$996:A2012&lt;&gt;""),0),0),COUNTA(B$996:B2011))),"")</f>
        <v/>
      </c>
      <c r="L2011" s="27"/>
    </row>
    <row r="2012" customFormat="false" ht="13.8" hidden="false" customHeight="false" outlineLevel="0" collapsed="false">
      <c r="A2012" s="16"/>
      <c r="B2012" s="16"/>
      <c r="C2012" s="26"/>
      <c r="D2012" s="26"/>
      <c r="E2012" s="16"/>
      <c r="F2012" s="18"/>
      <c r="G2012" s="19" t="str">
        <f aca="true">IF(F2012="", "", DATEDIF(F2012, TODAY(), "Y"))</f>
        <v/>
      </c>
      <c r="H2012" s="28"/>
      <c r="I2012" s="28"/>
      <c r="J2012" s="24" t="str">
        <f aca="true">IF(ISBLANK(H2012), "", I2012-TODAY())</f>
        <v/>
      </c>
      <c r="K2012" s="24" t="str">
        <f aca="false" t="array" ref="K2012:K2012">IF(A2012&lt;&gt;"",IF(COUNTIF(A$996:A2013,"&lt;&gt;")=0,COUNTA(B$996:B2012),IFERROR(MATCH(TRUE(),INDEX((A$996:A2013&lt;&gt;""),0),0),COUNTA(B$996:B2012))),"")</f>
        <v/>
      </c>
      <c r="L2012" s="27"/>
    </row>
    <row r="2013" customFormat="false" ht="13.8" hidden="false" customHeight="false" outlineLevel="0" collapsed="false">
      <c r="A2013" s="16"/>
      <c r="B2013" s="16"/>
      <c r="C2013" s="26"/>
      <c r="D2013" s="26"/>
      <c r="E2013" s="16"/>
      <c r="F2013" s="18"/>
      <c r="G2013" s="19" t="str">
        <f aca="true">IF(F2013="", "", DATEDIF(F2013, TODAY(), "Y"))</f>
        <v/>
      </c>
      <c r="H2013" s="28"/>
      <c r="I2013" s="28"/>
      <c r="J2013" s="24" t="str">
        <f aca="true">IF(ISBLANK(H2013), "", I2013-TODAY())</f>
        <v/>
      </c>
      <c r="K2013" s="24" t="str">
        <f aca="false" t="array" ref="K2013:K2013">IF(A2013&lt;&gt;"",IF(COUNTIF(A$996:A2014,"&lt;&gt;")=0,COUNTA(B$996:B2013),IFERROR(MATCH(TRUE(),INDEX((A$996:A2014&lt;&gt;""),0),0),COUNTA(B$996:B2013))),"")</f>
        <v/>
      </c>
      <c r="L2013" s="27"/>
    </row>
    <row r="2014" customFormat="false" ht="13.8" hidden="false" customHeight="false" outlineLevel="0" collapsed="false">
      <c r="A2014" s="16"/>
      <c r="B2014" s="16"/>
      <c r="C2014" s="26"/>
      <c r="D2014" s="26"/>
      <c r="E2014" s="16"/>
      <c r="F2014" s="18"/>
      <c r="G2014" s="19" t="str">
        <f aca="true">IF(F2014="", "", DATEDIF(F2014, TODAY(), "Y"))</f>
        <v/>
      </c>
      <c r="H2014" s="28"/>
      <c r="I2014" s="28"/>
      <c r="J2014" s="24" t="str">
        <f aca="true">IF(ISBLANK(H2014), "", I2014-TODAY())</f>
        <v/>
      </c>
      <c r="K2014" s="24" t="str">
        <f aca="false" t="array" ref="K2014:K2014">IF(A2014&lt;&gt;"",IF(COUNTIF(A$996:A2015,"&lt;&gt;")=0,COUNTA(B$996:B2014),IFERROR(MATCH(TRUE(),INDEX((A$996:A2015&lt;&gt;""),0),0),COUNTA(B$996:B2014))),"")</f>
        <v/>
      </c>
      <c r="L2014" s="27"/>
    </row>
    <row r="2015" customFormat="false" ht="13.8" hidden="false" customHeight="false" outlineLevel="0" collapsed="false">
      <c r="A2015" s="16"/>
      <c r="B2015" s="16"/>
      <c r="C2015" s="26"/>
      <c r="D2015" s="26"/>
      <c r="E2015" s="16"/>
      <c r="F2015" s="18"/>
      <c r="G2015" s="19" t="str">
        <f aca="true">IF(F2015="", "", DATEDIF(F2015, TODAY(), "Y"))</f>
        <v/>
      </c>
      <c r="H2015" s="28"/>
      <c r="I2015" s="28"/>
      <c r="J2015" s="24" t="str">
        <f aca="true">IF(ISBLANK(H2015), "", I2015-TODAY())</f>
        <v/>
      </c>
      <c r="K2015" s="24" t="str">
        <f aca="false" t="array" ref="K2015:K2015">IF(A2015&lt;&gt;"",IF(COUNTIF(A$996:A2016,"&lt;&gt;")=0,COUNTA(B$996:B2015),IFERROR(MATCH(TRUE(),INDEX((A$996:A2016&lt;&gt;""),0),0),COUNTA(B$996:B2015))),"")</f>
        <v/>
      </c>
      <c r="L2015" s="27"/>
    </row>
    <row r="2016" customFormat="false" ht="13.8" hidden="false" customHeight="false" outlineLevel="0" collapsed="false">
      <c r="A2016" s="16"/>
      <c r="B2016" s="16"/>
      <c r="C2016" s="26"/>
      <c r="D2016" s="26"/>
      <c r="E2016" s="16"/>
      <c r="F2016" s="18"/>
      <c r="G2016" s="19" t="str">
        <f aca="true">IF(F2016="", "", DATEDIF(F2016, TODAY(), "Y"))</f>
        <v/>
      </c>
      <c r="H2016" s="28"/>
      <c r="I2016" s="28"/>
      <c r="J2016" s="24" t="str">
        <f aca="true">IF(ISBLANK(H2016), "", I2016-TODAY())</f>
        <v/>
      </c>
      <c r="K2016" s="24" t="str">
        <f aca="false" t="array" ref="K2016:K2016">IF(A2016&lt;&gt;"",IF(COUNTIF(A$996:A2017,"&lt;&gt;")=0,COUNTA(B$996:B2016),IFERROR(MATCH(TRUE(),INDEX((A$996:A2017&lt;&gt;""),0),0),COUNTA(B$996:B2016))),"")</f>
        <v/>
      </c>
      <c r="L2016" s="27"/>
    </row>
    <row r="2017" customFormat="false" ht="13.8" hidden="false" customHeight="false" outlineLevel="0" collapsed="false">
      <c r="A2017" s="16"/>
      <c r="B2017" s="16"/>
      <c r="C2017" s="26"/>
      <c r="D2017" s="26"/>
      <c r="E2017" s="16"/>
      <c r="F2017" s="18"/>
      <c r="G2017" s="19" t="str">
        <f aca="true">IF(F2017="", "", DATEDIF(F2017, TODAY(), "Y"))</f>
        <v/>
      </c>
      <c r="H2017" s="28"/>
      <c r="I2017" s="28"/>
      <c r="J2017" s="24" t="str">
        <f aca="true">IF(ISBLANK(H2017), "", I2017-TODAY())</f>
        <v/>
      </c>
      <c r="K2017" s="24" t="str">
        <f aca="false" t="array" ref="K2017:K2017">IF(A2017&lt;&gt;"",IF(COUNTIF(A$996:A2018,"&lt;&gt;")=0,COUNTA(B$996:B2017),IFERROR(MATCH(TRUE(),INDEX((A$996:A2018&lt;&gt;""),0),0),COUNTA(B$996:B2017))),"")</f>
        <v/>
      </c>
      <c r="L2017" s="27"/>
    </row>
    <row r="2018" customFormat="false" ht="13.8" hidden="false" customHeight="false" outlineLevel="0" collapsed="false">
      <c r="A2018" s="16"/>
      <c r="B2018" s="16"/>
      <c r="C2018" s="26"/>
      <c r="D2018" s="26"/>
      <c r="E2018" s="16"/>
      <c r="F2018" s="18"/>
      <c r="G2018" s="19" t="str">
        <f aca="true">IF(F2018="", "", DATEDIF(F2018, TODAY(), "Y"))</f>
        <v/>
      </c>
      <c r="H2018" s="28"/>
      <c r="I2018" s="28"/>
      <c r="J2018" s="24" t="str">
        <f aca="true">IF(ISBLANK(H2018), "", I2018-TODAY())</f>
        <v/>
      </c>
      <c r="K2018" s="24" t="str">
        <f aca="false" t="array" ref="K2018:K2018">IF(A2018&lt;&gt;"",IF(COUNTIF(A$996:A2019,"&lt;&gt;")=0,COUNTA(B$996:B2018),IFERROR(MATCH(TRUE(),INDEX((A$996:A2019&lt;&gt;""),0),0),COUNTA(B$996:B2018))),"")</f>
        <v/>
      </c>
      <c r="L2018" s="27"/>
    </row>
    <row r="2019" customFormat="false" ht="13.8" hidden="false" customHeight="false" outlineLevel="0" collapsed="false">
      <c r="A2019" s="16"/>
      <c r="B2019" s="16"/>
      <c r="C2019" s="26"/>
      <c r="D2019" s="26"/>
      <c r="E2019" s="16"/>
      <c r="F2019" s="18"/>
      <c r="G2019" s="19" t="str">
        <f aca="true">IF(F2019="", "", DATEDIF(F2019, TODAY(), "Y"))</f>
        <v/>
      </c>
      <c r="H2019" s="28"/>
      <c r="I2019" s="28"/>
      <c r="J2019" s="24" t="str">
        <f aca="true">IF(ISBLANK(H2019), "", I2019-TODAY())</f>
        <v/>
      </c>
      <c r="K2019" s="24" t="str">
        <f aca="false" t="array" ref="K2019:K2019">IF(A2019&lt;&gt;"",IF(COUNTIF(A$996:A2020,"&lt;&gt;")=0,COUNTA(B$996:B2019),IFERROR(MATCH(TRUE(),INDEX((A$996:A2020&lt;&gt;""),0),0),COUNTA(B$996:B2019))),"")</f>
        <v/>
      </c>
      <c r="L2019" s="27"/>
    </row>
    <row r="2020" customFormat="false" ht="13.8" hidden="false" customHeight="false" outlineLevel="0" collapsed="false">
      <c r="A2020" s="16"/>
      <c r="B2020" s="16"/>
      <c r="C2020" s="26"/>
      <c r="D2020" s="26"/>
      <c r="E2020" s="16"/>
      <c r="F2020" s="18"/>
      <c r="G2020" s="19" t="str">
        <f aca="true">IF(F2020="", "", DATEDIF(F2020, TODAY(), "Y"))</f>
        <v/>
      </c>
      <c r="H2020" s="28"/>
      <c r="I2020" s="28"/>
      <c r="J2020" s="24" t="str">
        <f aca="true">IF(ISBLANK(H2020), "", I2020-TODAY())</f>
        <v/>
      </c>
      <c r="K2020" s="24" t="str">
        <f aca="false" t="array" ref="K2020:K2020">IF(A2020&lt;&gt;"",IF(COUNTIF(A$996:A2021,"&lt;&gt;")=0,COUNTA(B$996:B2020),IFERROR(MATCH(TRUE(),INDEX((A$996:A2021&lt;&gt;""),0),0),COUNTA(B$996:B2020))),"")</f>
        <v/>
      </c>
      <c r="L2020" s="27"/>
    </row>
    <row r="2021" customFormat="false" ht="13.8" hidden="false" customHeight="false" outlineLevel="0" collapsed="false">
      <c r="A2021" s="16"/>
      <c r="B2021" s="16"/>
      <c r="C2021" s="26"/>
      <c r="D2021" s="26"/>
      <c r="E2021" s="16"/>
      <c r="F2021" s="18"/>
      <c r="G2021" s="19" t="str">
        <f aca="true">IF(F2021="", "", DATEDIF(F2021, TODAY(), "Y"))</f>
        <v/>
      </c>
      <c r="H2021" s="28"/>
      <c r="I2021" s="28"/>
      <c r="J2021" s="24" t="str">
        <f aca="true">IF(ISBLANK(H2021), "", I2021-TODAY())</f>
        <v/>
      </c>
      <c r="K2021" s="24" t="str">
        <f aca="false" t="array" ref="K2021:K2021">IF(A2021&lt;&gt;"",IF(COUNTIF(A$996:A2022,"&lt;&gt;")=0,COUNTA(B$996:B2021),IFERROR(MATCH(TRUE(),INDEX((A$996:A2022&lt;&gt;""),0),0),COUNTA(B$996:B2021))),"")</f>
        <v/>
      </c>
      <c r="L2021" s="27"/>
    </row>
    <row r="2022" customFormat="false" ht="13.8" hidden="false" customHeight="false" outlineLevel="0" collapsed="false">
      <c r="A2022" s="16"/>
      <c r="B2022" s="16"/>
      <c r="C2022" s="26"/>
      <c r="D2022" s="26"/>
      <c r="E2022" s="16"/>
      <c r="F2022" s="18"/>
      <c r="G2022" s="19" t="str">
        <f aca="true">IF(F2022="", "", DATEDIF(F2022, TODAY(), "Y"))</f>
        <v/>
      </c>
      <c r="H2022" s="28"/>
      <c r="I2022" s="28"/>
      <c r="J2022" s="24" t="str">
        <f aca="true">IF(ISBLANK(H2022), "", I2022-TODAY())</f>
        <v/>
      </c>
      <c r="K2022" s="24" t="str">
        <f aca="false" t="array" ref="K2022:K2022">IF(A2022&lt;&gt;"",IF(COUNTIF(A$996:A2023,"&lt;&gt;")=0,COUNTA(B$996:B2022),IFERROR(MATCH(TRUE(),INDEX((A$996:A2023&lt;&gt;""),0),0),COUNTA(B$996:B2022))),"")</f>
        <v/>
      </c>
      <c r="L2022" s="27"/>
    </row>
    <row r="2023" customFormat="false" ht="13.8" hidden="false" customHeight="false" outlineLevel="0" collapsed="false">
      <c r="A2023" s="16"/>
      <c r="B2023" s="16"/>
      <c r="C2023" s="26"/>
      <c r="D2023" s="26"/>
      <c r="E2023" s="16"/>
      <c r="F2023" s="18"/>
      <c r="G2023" s="19" t="str">
        <f aca="true">IF(F2023="", "", DATEDIF(F2023, TODAY(), "Y"))</f>
        <v/>
      </c>
      <c r="H2023" s="28"/>
      <c r="I2023" s="28"/>
      <c r="J2023" s="24" t="str">
        <f aca="true">IF(ISBLANK(H2023), "", I2023-TODAY())</f>
        <v/>
      </c>
      <c r="K2023" s="24" t="str">
        <f aca="false" t="array" ref="K2023:K2023">IF(A2023&lt;&gt;"",IF(COUNTIF(A$996:A2024,"&lt;&gt;")=0,COUNTA(B$996:B2023),IFERROR(MATCH(TRUE(),INDEX((A$996:A2024&lt;&gt;""),0),0),COUNTA(B$996:B2023))),"")</f>
        <v/>
      </c>
      <c r="L2023" s="27"/>
    </row>
    <row r="2024" customFormat="false" ht="13.8" hidden="false" customHeight="false" outlineLevel="0" collapsed="false">
      <c r="A2024" s="16"/>
      <c r="B2024" s="16"/>
      <c r="C2024" s="26"/>
      <c r="D2024" s="26"/>
      <c r="E2024" s="16"/>
      <c r="F2024" s="18"/>
      <c r="G2024" s="19" t="str">
        <f aca="true">IF(F2024="", "", DATEDIF(F2024, TODAY(), "Y"))</f>
        <v/>
      </c>
      <c r="H2024" s="28"/>
      <c r="I2024" s="28"/>
      <c r="J2024" s="24" t="str">
        <f aca="true">IF(ISBLANK(H2024), "", I2024-TODAY())</f>
        <v/>
      </c>
      <c r="K2024" s="24" t="str">
        <f aca="false" t="array" ref="K2024:K2024">IF(A2024&lt;&gt;"",IF(COUNTIF(A$996:A2025,"&lt;&gt;")=0,COUNTA(B$996:B2024),IFERROR(MATCH(TRUE(),INDEX((A$996:A2025&lt;&gt;""),0),0),COUNTA(B$996:B2024))),"")</f>
        <v/>
      </c>
      <c r="L2024" s="27"/>
    </row>
    <row r="2025" customFormat="false" ht="13.8" hidden="false" customHeight="false" outlineLevel="0" collapsed="false">
      <c r="A2025" s="16"/>
      <c r="B2025" s="16"/>
      <c r="C2025" s="26"/>
      <c r="D2025" s="26"/>
      <c r="E2025" s="16"/>
      <c r="F2025" s="18"/>
      <c r="G2025" s="19" t="str">
        <f aca="true">IF(F2025="", "", DATEDIF(F2025, TODAY(), "Y"))</f>
        <v/>
      </c>
      <c r="H2025" s="28"/>
      <c r="I2025" s="28"/>
      <c r="J2025" s="24" t="str">
        <f aca="true">IF(ISBLANK(H2025), "", I2025-TODAY())</f>
        <v/>
      </c>
      <c r="K2025" s="24" t="str">
        <f aca="false" t="array" ref="K2025:K2025">IF(A2025&lt;&gt;"",IF(COUNTIF(A$996:A2026,"&lt;&gt;")=0,COUNTA(B$996:B2025),IFERROR(MATCH(TRUE(),INDEX((A$996:A2026&lt;&gt;""),0),0),COUNTA(B$996:B2025))),"")</f>
        <v/>
      </c>
      <c r="L2025" s="27"/>
    </row>
    <row r="2026" customFormat="false" ht="13.8" hidden="false" customHeight="false" outlineLevel="0" collapsed="false">
      <c r="A2026" s="16"/>
      <c r="B2026" s="16"/>
      <c r="C2026" s="26"/>
      <c r="D2026" s="26"/>
      <c r="E2026" s="16"/>
      <c r="F2026" s="18"/>
      <c r="G2026" s="19" t="str">
        <f aca="true">IF(F2026="", "", DATEDIF(F2026, TODAY(), "Y"))</f>
        <v/>
      </c>
      <c r="H2026" s="28"/>
      <c r="I2026" s="28"/>
      <c r="J2026" s="24" t="str">
        <f aca="true">IF(ISBLANK(H2026), "", I2026-TODAY())</f>
        <v/>
      </c>
      <c r="K2026" s="24" t="str">
        <f aca="false" t="array" ref="K2026:K2026">IF(A2026&lt;&gt;"",IF(COUNTIF(A$996:A2027,"&lt;&gt;")=0,COUNTA(B$996:B2026),IFERROR(MATCH(TRUE(),INDEX((A$996:A2027&lt;&gt;""),0),0),COUNTA(B$996:B2026))),"")</f>
        <v/>
      </c>
      <c r="L2026" s="27"/>
    </row>
    <row r="2027" customFormat="false" ht="13.8" hidden="false" customHeight="false" outlineLevel="0" collapsed="false">
      <c r="A2027" s="16"/>
      <c r="B2027" s="16"/>
      <c r="C2027" s="26"/>
      <c r="D2027" s="26"/>
      <c r="E2027" s="16"/>
      <c r="F2027" s="18"/>
      <c r="G2027" s="19" t="str">
        <f aca="true">IF(F2027="", "", DATEDIF(F2027, TODAY(), "Y"))</f>
        <v/>
      </c>
      <c r="H2027" s="28"/>
      <c r="I2027" s="28"/>
      <c r="J2027" s="24" t="str">
        <f aca="true">IF(ISBLANK(H2027), "", I2027-TODAY())</f>
        <v/>
      </c>
      <c r="K2027" s="24" t="str">
        <f aca="false" t="array" ref="K2027:K2027">IF(A2027&lt;&gt;"",IF(COUNTIF(A$996:A2028,"&lt;&gt;")=0,COUNTA(B$996:B2027),IFERROR(MATCH(TRUE(),INDEX((A$996:A2028&lt;&gt;""),0),0),COUNTA(B$996:B2027))),"")</f>
        <v/>
      </c>
      <c r="L2027" s="27"/>
    </row>
    <row r="2028" customFormat="false" ht="13.8" hidden="false" customHeight="false" outlineLevel="0" collapsed="false">
      <c r="A2028" s="16"/>
      <c r="B2028" s="16"/>
      <c r="C2028" s="26"/>
      <c r="D2028" s="26"/>
      <c r="E2028" s="16"/>
      <c r="F2028" s="18"/>
      <c r="G2028" s="19" t="str">
        <f aca="true">IF(F2028="", "", DATEDIF(F2028, TODAY(), "Y"))</f>
        <v/>
      </c>
      <c r="H2028" s="28"/>
      <c r="I2028" s="28"/>
      <c r="J2028" s="24" t="str">
        <f aca="true">IF(ISBLANK(H2028), "", I2028-TODAY())</f>
        <v/>
      </c>
      <c r="K2028" s="24" t="str">
        <f aca="false" t="array" ref="K2028:K2028">IF(A2028&lt;&gt;"",IF(COUNTIF(A$996:A2029,"&lt;&gt;")=0,COUNTA(B$996:B2028),IFERROR(MATCH(TRUE(),INDEX((A$996:A2029&lt;&gt;""),0),0),COUNTA(B$996:B2028))),"")</f>
        <v/>
      </c>
      <c r="L2028" s="27"/>
    </row>
    <row r="2029" customFormat="false" ht="13.8" hidden="false" customHeight="false" outlineLevel="0" collapsed="false">
      <c r="A2029" s="16"/>
      <c r="B2029" s="16"/>
      <c r="C2029" s="26"/>
      <c r="D2029" s="26"/>
      <c r="E2029" s="16"/>
      <c r="F2029" s="18"/>
      <c r="G2029" s="19" t="str">
        <f aca="true">IF(F2029="", "", DATEDIF(F2029, TODAY(), "Y"))</f>
        <v/>
      </c>
      <c r="H2029" s="28"/>
      <c r="I2029" s="28"/>
      <c r="J2029" s="24" t="str">
        <f aca="true">IF(ISBLANK(H2029), "", I2029-TODAY())</f>
        <v/>
      </c>
      <c r="K2029" s="24" t="str">
        <f aca="false" t="array" ref="K2029:K2029">IF(A2029&lt;&gt;"",IF(COUNTIF(A$996:A2030,"&lt;&gt;")=0,COUNTA(B$996:B2029),IFERROR(MATCH(TRUE(),INDEX((A$996:A2030&lt;&gt;""),0),0),COUNTA(B$996:B2029))),"")</f>
        <v/>
      </c>
      <c r="L2029" s="27"/>
    </row>
    <row r="2030" customFormat="false" ht="13.8" hidden="false" customHeight="false" outlineLevel="0" collapsed="false">
      <c r="A2030" s="16"/>
      <c r="B2030" s="16"/>
      <c r="C2030" s="26"/>
      <c r="D2030" s="26"/>
      <c r="E2030" s="16"/>
      <c r="F2030" s="18"/>
      <c r="G2030" s="19" t="str">
        <f aca="true">IF(F2030="", "", DATEDIF(F2030, TODAY(), "Y"))</f>
        <v/>
      </c>
      <c r="H2030" s="28"/>
      <c r="I2030" s="28"/>
      <c r="J2030" s="24" t="str">
        <f aca="true">IF(ISBLANK(H2030), "", I2030-TODAY())</f>
        <v/>
      </c>
      <c r="K2030" s="24" t="str">
        <f aca="false" t="array" ref="K2030:K2030">IF(A2030&lt;&gt;"",IF(COUNTIF(A$996:A2031,"&lt;&gt;")=0,COUNTA(B$996:B2030),IFERROR(MATCH(TRUE(),INDEX((A$996:A2031&lt;&gt;""),0),0),COUNTA(B$996:B2030))),"")</f>
        <v/>
      </c>
      <c r="L2030" s="27"/>
    </row>
    <row r="2031" customFormat="false" ht="13.8" hidden="false" customHeight="false" outlineLevel="0" collapsed="false">
      <c r="A2031" s="16"/>
      <c r="B2031" s="16"/>
      <c r="C2031" s="26"/>
      <c r="D2031" s="26"/>
      <c r="E2031" s="16"/>
      <c r="F2031" s="18"/>
      <c r="G2031" s="19" t="str">
        <f aca="true">IF(F2031="", "", DATEDIF(F2031, TODAY(), "Y"))</f>
        <v/>
      </c>
      <c r="H2031" s="28"/>
      <c r="I2031" s="28"/>
      <c r="J2031" s="24" t="str">
        <f aca="true">IF(ISBLANK(H2031), "", I2031-TODAY())</f>
        <v/>
      </c>
      <c r="K2031" s="24" t="str">
        <f aca="false" t="array" ref="K2031:K2031">IF(A2031&lt;&gt;"",IF(COUNTIF(A$996:A2032,"&lt;&gt;")=0,COUNTA(B$996:B2031),IFERROR(MATCH(TRUE(),INDEX((A$996:A2032&lt;&gt;""),0),0),COUNTA(B$996:B2031))),"")</f>
        <v/>
      </c>
      <c r="L2031" s="27"/>
    </row>
    <row r="2032" customFormat="false" ht="13.8" hidden="false" customHeight="false" outlineLevel="0" collapsed="false">
      <c r="A2032" s="16"/>
      <c r="B2032" s="16"/>
      <c r="C2032" s="26"/>
      <c r="D2032" s="26"/>
      <c r="E2032" s="16"/>
      <c r="F2032" s="18"/>
      <c r="G2032" s="19" t="str">
        <f aca="true">IF(F2032="", "", DATEDIF(F2032, TODAY(), "Y"))</f>
        <v/>
      </c>
      <c r="H2032" s="28"/>
      <c r="I2032" s="28"/>
      <c r="J2032" s="24" t="str">
        <f aca="true">IF(ISBLANK(H2032), "", I2032-TODAY())</f>
        <v/>
      </c>
      <c r="K2032" s="24" t="str">
        <f aca="false" t="array" ref="K2032:K2032">IF(A2032&lt;&gt;"",IF(COUNTIF(A$996:A2033,"&lt;&gt;")=0,COUNTA(B$996:B2032),IFERROR(MATCH(TRUE(),INDEX((A$996:A2033&lt;&gt;""),0),0),COUNTA(B$996:B2032))),"")</f>
        <v/>
      </c>
      <c r="L2032" s="27"/>
    </row>
    <row r="2033" customFormat="false" ht="13.8" hidden="false" customHeight="false" outlineLevel="0" collapsed="false">
      <c r="A2033" s="16"/>
      <c r="B2033" s="16"/>
      <c r="C2033" s="26"/>
      <c r="D2033" s="26"/>
      <c r="E2033" s="16"/>
      <c r="F2033" s="18"/>
      <c r="G2033" s="19" t="str">
        <f aca="true">IF(F2033="", "", DATEDIF(F2033, TODAY(), "Y"))</f>
        <v/>
      </c>
      <c r="H2033" s="28"/>
      <c r="I2033" s="28"/>
      <c r="J2033" s="24" t="str">
        <f aca="true">IF(ISBLANK(H2033), "", I2033-TODAY())</f>
        <v/>
      </c>
      <c r="K2033" s="24" t="str">
        <f aca="false" t="array" ref="K2033:K2033">IF(A2033&lt;&gt;"",IF(COUNTIF(A$996:A2034,"&lt;&gt;")=0,COUNTA(B$996:B2033),IFERROR(MATCH(TRUE(),INDEX((A$996:A2034&lt;&gt;""),0),0),COUNTA(B$996:B2033))),"")</f>
        <v/>
      </c>
      <c r="L2033" s="27"/>
    </row>
    <row r="2034" customFormat="false" ht="13.8" hidden="false" customHeight="false" outlineLevel="0" collapsed="false">
      <c r="A2034" s="16"/>
      <c r="B2034" s="16"/>
      <c r="C2034" s="26"/>
      <c r="D2034" s="26"/>
      <c r="E2034" s="16"/>
      <c r="F2034" s="18"/>
      <c r="G2034" s="19" t="str">
        <f aca="true">IF(F2034="", "", DATEDIF(F2034, TODAY(), "Y"))</f>
        <v/>
      </c>
      <c r="H2034" s="28"/>
      <c r="I2034" s="28"/>
      <c r="J2034" s="24" t="str">
        <f aca="true">IF(ISBLANK(H2034), "", I2034-TODAY())</f>
        <v/>
      </c>
      <c r="K2034" s="24" t="str">
        <f aca="false" t="array" ref="K2034:K2034">IF(A2034&lt;&gt;"",IF(COUNTIF(A$996:A2035,"&lt;&gt;")=0,COUNTA(B$996:B2034),IFERROR(MATCH(TRUE(),INDEX((A$996:A2035&lt;&gt;""),0),0),COUNTA(B$996:B2034))),"")</f>
        <v/>
      </c>
      <c r="L2034" s="27"/>
    </row>
    <row r="2035" customFormat="false" ht="13.8" hidden="false" customHeight="false" outlineLevel="0" collapsed="false">
      <c r="A2035" s="16"/>
      <c r="B2035" s="16"/>
      <c r="C2035" s="26"/>
      <c r="D2035" s="26"/>
      <c r="E2035" s="16"/>
      <c r="F2035" s="18"/>
      <c r="G2035" s="19" t="str">
        <f aca="true">IF(F2035="", "", DATEDIF(F2035, TODAY(), "Y"))</f>
        <v/>
      </c>
      <c r="H2035" s="28"/>
      <c r="I2035" s="28"/>
      <c r="J2035" s="24" t="str">
        <f aca="true">IF(ISBLANK(H2035), "", I2035-TODAY())</f>
        <v/>
      </c>
      <c r="K2035" s="24" t="str">
        <f aca="false" t="array" ref="K2035:K2035">IF(A2035&lt;&gt;"",IF(COUNTIF(A$996:A2036,"&lt;&gt;")=0,COUNTA(B$996:B2035),IFERROR(MATCH(TRUE(),INDEX((A$996:A2036&lt;&gt;""),0),0),COUNTA(B$996:B2035))),"")</f>
        <v/>
      </c>
      <c r="L2035" s="27"/>
    </row>
    <row r="2036" customFormat="false" ht="13.8" hidden="false" customHeight="false" outlineLevel="0" collapsed="false">
      <c r="A2036" s="16"/>
      <c r="B2036" s="16"/>
      <c r="C2036" s="26"/>
      <c r="D2036" s="26"/>
      <c r="E2036" s="16"/>
      <c r="F2036" s="18"/>
      <c r="G2036" s="19" t="str">
        <f aca="true">IF(F2036="", "", DATEDIF(F2036, TODAY(), "Y"))</f>
        <v/>
      </c>
      <c r="H2036" s="28"/>
      <c r="I2036" s="28"/>
      <c r="J2036" s="24" t="str">
        <f aca="true">IF(ISBLANK(H2036), "", I2036-TODAY())</f>
        <v/>
      </c>
      <c r="K2036" s="24" t="str">
        <f aca="false" t="array" ref="K2036:K2036">IF(A2036&lt;&gt;"",IF(COUNTIF(A$996:A2037,"&lt;&gt;")=0,COUNTA(B$996:B2036),IFERROR(MATCH(TRUE(),INDEX((A$996:A2037&lt;&gt;""),0),0),COUNTA(B$996:B2036))),"")</f>
        <v/>
      </c>
      <c r="L2036" s="27"/>
    </row>
    <row r="2037" customFormat="false" ht="13.8" hidden="false" customHeight="false" outlineLevel="0" collapsed="false">
      <c r="A2037" s="16"/>
      <c r="B2037" s="16"/>
      <c r="C2037" s="26"/>
      <c r="D2037" s="26"/>
      <c r="E2037" s="16"/>
      <c r="F2037" s="18"/>
      <c r="G2037" s="19" t="str">
        <f aca="true">IF(F2037="", "", DATEDIF(F2037, TODAY(), "Y"))</f>
        <v/>
      </c>
      <c r="H2037" s="28"/>
      <c r="I2037" s="28"/>
      <c r="J2037" s="24" t="str">
        <f aca="true">IF(ISBLANK(H2037), "", I2037-TODAY())</f>
        <v/>
      </c>
      <c r="K2037" s="24" t="str">
        <f aca="false" t="array" ref="K2037:K2037">IF(A2037&lt;&gt;"",IF(COUNTIF(A$996:A2038,"&lt;&gt;")=0,COUNTA(B$996:B2037),IFERROR(MATCH(TRUE(),INDEX((A$996:A2038&lt;&gt;""),0),0),COUNTA(B$996:B2037))),"")</f>
        <v/>
      </c>
      <c r="L2037" s="27"/>
    </row>
    <row r="2038" customFormat="false" ht="13.8" hidden="false" customHeight="false" outlineLevel="0" collapsed="false">
      <c r="A2038" s="16"/>
      <c r="B2038" s="16"/>
      <c r="C2038" s="26"/>
      <c r="D2038" s="26"/>
      <c r="E2038" s="16"/>
      <c r="F2038" s="18"/>
      <c r="G2038" s="19" t="str">
        <f aca="true">IF(F2038="", "", DATEDIF(F2038, TODAY(), "Y"))</f>
        <v/>
      </c>
      <c r="H2038" s="28"/>
      <c r="I2038" s="28"/>
      <c r="J2038" s="24" t="str">
        <f aca="true">IF(ISBLANK(H2038), "", I2038-TODAY())</f>
        <v/>
      </c>
      <c r="K2038" s="24" t="str">
        <f aca="false" t="array" ref="K2038:K2038">IF(A2038&lt;&gt;"",IF(COUNTIF(A$996:A2039,"&lt;&gt;")=0,COUNTA(B$996:B2038),IFERROR(MATCH(TRUE(),INDEX((A$996:A2039&lt;&gt;""),0),0),COUNTA(B$996:B2038))),"")</f>
        <v/>
      </c>
      <c r="L2038" s="27"/>
    </row>
    <row r="2039" customFormat="false" ht="13.8" hidden="false" customHeight="false" outlineLevel="0" collapsed="false">
      <c r="A2039" s="16"/>
      <c r="B2039" s="16"/>
      <c r="C2039" s="26"/>
      <c r="D2039" s="26"/>
      <c r="E2039" s="16"/>
      <c r="F2039" s="18"/>
      <c r="G2039" s="19" t="str">
        <f aca="true">IF(F2039="", "", DATEDIF(F2039, TODAY(), "Y"))</f>
        <v/>
      </c>
      <c r="H2039" s="28"/>
      <c r="I2039" s="28"/>
      <c r="J2039" s="24" t="str">
        <f aca="true">IF(ISBLANK(H2039), "", I2039-TODAY())</f>
        <v/>
      </c>
      <c r="K2039" s="24" t="str">
        <f aca="false" t="array" ref="K2039:K2039">IF(A2039&lt;&gt;"",IF(COUNTIF(A$996:A2040,"&lt;&gt;")=0,COUNTA(B$996:B2039),IFERROR(MATCH(TRUE(),INDEX((A$996:A2040&lt;&gt;""),0),0),COUNTA(B$996:B2039))),"")</f>
        <v/>
      </c>
      <c r="L2039" s="27"/>
    </row>
    <row r="2040" customFormat="false" ht="13.8" hidden="false" customHeight="false" outlineLevel="0" collapsed="false">
      <c r="A2040" s="16"/>
      <c r="B2040" s="16"/>
      <c r="C2040" s="26"/>
      <c r="D2040" s="26"/>
      <c r="E2040" s="16"/>
      <c r="F2040" s="18"/>
      <c r="G2040" s="19" t="str">
        <f aca="true">IF(F2040="", "", DATEDIF(F2040, TODAY(), "Y"))</f>
        <v/>
      </c>
      <c r="H2040" s="28"/>
      <c r="I2040" s="28"/>
      <c r="J2040" s="24" t="str">
        <f aca="true">IF(ISBLANK(H2040), "", I2040-TODAY())</f>
        <v/>
      </c>
      <c r="K2040" s="24" t="str">
        <f aca="false" t="array" ref="K2040:K2040">IF(A2040&lt;&gt;"",IF(COUNTIF(A$996:A2041,"&lt;&gt;")=0,COUNTA(B$996:B2040),IFERROR(MATCH(TRUE(),INDEX((A$996:A2041&lt;&gt;""),0),0),COUNTA(B$996:B2040))),"")</f>
        <v/>
      </c>
      <c r="L2040" s="27"/>
    </row>
    <row r="2041" customFormat="false" ht="13.8" hidden="false" customHeight="false" outlineLevel="0" collapsed="false">
      <c r="A2041" s="16"/>
      <c r="B2041" s="16"/>
      <c r="C2041" s="26"/>
      <c r="D2041" s="26"/>
      <c r="E2041" s="16"/>
      <c r="F2041" s="18"/>
      <c r="G2041" s="19" t="str">
        <f aca="true">IF(F2041="", "", DATEDIF(F2041, TODAY(), "Y"))</f>
        <v/>
      </c>
      <c r="H2041" s="28"/>
      <c r="I2041" s="28"/>
      <c r="J2041" s="24" t="str">
        <f aca="true">IF(ISBLANK(H2041), "", I2041-TODAY())</f>
        <v/>
      </c>
      <c r="K2041" s="24" t="str">
        <f aca="false" t="array" ref="K2041:K2041">IF(A2041&lt;&gt;"",IF(COUNTIF(A$996:A2042,"&lt;&gt;")=0,COUNTA(B$996:B2041),IFERROR(MATCH(TRUE(),INDEX((A$996:A2042&lt;&gt;""),0),0),COUNTA(B$996:B2041))),"")</f>
        <v/>
      </c>
      <c r="L2041" s="27"/>
    </row>
    <row r="2042" customFormat="false" ht="13.8" hidden="false" customHeight="false" outlineLevel="0" collapsed="false">
      <c r="A2042" s="16"/>
      <c r="B2042" s="16"/>
      <c r="C2042" s="26"/>
      <c r="D2042" s="26"/>
      <c r="E2042" s="16"/>
      <c r="F2042" s="18"/>
      <c r="G2042" s="19" t="str">
        <f aca="true">IF(F2042="", "", DATEDIF(F2042, TODAY(), "Y"))</f>
        <v/>
      </c>
      <c r="H2042" s="28"/>
      <c r="I2042" s="28"/>
      <c r="J2042" s="24" t="str">
        <f aca="true">IF(ISBLANK(H2042), "", I2042-TODAY())</f>
        <v/>
      </c>
      <c r="K2042" s="24" t="str">
        <f aca="false" t="array" ref="K2042:K2042">IF(A2042&lt;&gt;"",IF(COUNTIF(A$996:A2043,"&lt;&gt;")=0,COUNTA(B$996:B2042),IFERROR(MATCH(TRUE(),INDEX((A$996:A2043&lt;&gt;""),0),0),COUNTA(B$996:B2042))),"")</f>
        <v/>
      </c>
      <c r="L2042" s="27"/>
    </row>
    <row r="2043" customFormat="false" ht="13.8" hidden="false" customHeight="false" outlineLevel="0" collapsed="false">
      <c r="A2043" s="16"/>
      <c r="B2043" s="16"/>
      <c r="C2043" s="26"/>
      <c r="D2043" s="26"/>
      <c r="E2043" s="16"/>
      <c r="F2043" s="18"/>
      <c r="G2043" s="19" t="str">
        <f aca="true">IF(F2043="", "", DATEDIF(F2043, TODAY(), "Y"))</f>
        <v/>
      </c>
      <c r="H2043" s="28"/>
      <c r="I2043" s="28"/>
      <c r="J2043" s="24" t="str">
        <f aca="true">IF(ISBLANK(H2043), "", I2043-TODAY())</f>
        <v/>
      </c>
      <c r="K2043" s="24" t="str">
        <f aca="false" t="array" ref="K2043:K2043">IF(A2043&lt;&gt;"",IF(COUNTIF(A$996:A2044,"&lt;&gt;")=0,COUNTA(B$996:B2043),IFERROR(MATCH(TRUE(),INDEX((A$996:A2044&lt;&gt;""),0),0),COUNTA(B$996:B2043))),"")</f>
        <v/>
      </c>
      <c r="L2043" s="27"/>
    </row>
    <row r="2044" customFormat="false" ht="13.8" hidden="false" customHeight="false" outlineLevel="0" collapsed="false">
      <c r="A2044" s="16"/>
      <c r="B2044" s="16"/>
      <c r="C2044" s="26"/>
      <c r="D2044" s="26"/>
      <c r="E2044" s="16"/>
      <c r="F2044" s="18"/>
      <c r="G2044" s="19" t="str">
        <f aca="true">IF(F2044="", "", DATEDIF(F2044, TODAY(), "Y"))</f>
        <v/>
      </c>
      <c r="H2044" s="28"/>
      <c r="I2044" s="28"/>
      <c r="J2044" s="24" t="str">
        <f aca="true">IF(ISBLANK(H2044), "", I2044-TODAY())</f>
        <v/>
      </c>
      <c r="K2044" s="24" t="str">
        <f aca="false" t="array" ref="K2044:K2044">IF(A2044&lt;&gt;"",IF(COUNTIF(A$996:A2045,"&lt;&gt;")=0,COUNTA(B$996:B2044),IFERROR(MATCH(TRUE(),INDEX((A$996:A2045&lt;&gt;""),0),0),COUNTA(B$996:B2044))),"")</f>
        <v/>
      </c>
      <c r="L2044" s="27"/>
    </row>
    <row r="2045" customFormat="false" ht="13.8" hidden="false" customHeight="false" outlineLevel="0" collapsed="false">
      <c r="A2045" s="16"/>
      <c r="B2045" s="16"/>
      <c r="C2045" s="26"/>
      <c r="D2045" s="26"/>
      <c r="E2045" s="16"/>
      <c r="F2045" s="18"/>
      <c r="G2045" s="19" t="str">
        <f aca="true">IF(F2045="", "", DATEDIF(F2045, TODAY(), "Y"))</f>
        <v/>
      </c>
      <c r="H2045" s="28"/>
      <c r="I2045" s="28"/>
      <c r="J2045" s="24" t="str">
        <f aca="true">IF(ISBLANK(H2045), "", I2045-TODAY())</f>
        <v/>
      </c>
      <c r="K2045" s="24" t="str">
        <f aca="false" t="array" ref="K2045:K2045">IF(A2045&lt;&gt;"",IF(COUNTIF(A$996:A2046,"&lt;&gt;")=0,COUNTA(B$996:B2045),IFERROR(MATCH(TRUE(),INDEX((A$996:A2046&lt;&gt;""),0),0),COUNTA(B$996:B2045))),"")</f>
        <v/>
      </c>
      <c r="L2045" s="27"/>
    </row>
    <row r="2046" customFormat="false" ht="13.8" hidden="false" customHeight="false" outlineLevel="0" collapsed="false">
      <c r="A2046" s="16"/>
      <c r="B2046" s="16"/>
      <c r="C2046" s="26"/>
      <c r="D2046" s="26"/>
      <c r="E2046" s="16"/>
      <c r="F2046" s="18"/>
      <c r="G2046" s="19" t="str">
        <f aca="true">IF(F2046="", "", DATEDIF(F2046, TODAY(), "Y"))</f>
        <v/>
      </c>
      <c r="H2046" s="28"/>
      <c r="I2046" s="28"/>
      <c r="J2046" s="24" t="str">
        <f aca="true">IF(ISBLANK(H2046), "", I2046-TODAY())</f>
        <v/>
      </c>
      <c r="K2046" s="24" t="str">
        <f aca="false" t="array" ref="K2046:K2046">IF(A2046&lt;&gt;"",IF(COUNTIF(A$996:A2047,"&lt;&gt;")=0,COUNTA(B$996:B2046),IFERROR(MATCH(TRUE(),INDEX((A$996:A2047&lt;&gt;""),0),0),COUNTA(B$996:B2046))),"")</f>
        <v/>
      </c>
      <c r="L2046" s="27"/>
    </row>
    <row r="2047" customFormat="false" ht="13.8" hidden="false" customHeight="false" outlineLevel="0" collapsed="false">
      <c r="A2047" s="16"/>
      <c r="B2047" s="16"/>
      <c r="C2047" s="26"/>
      <c r="D2047" s="26"/>
      <c r="E2047" s="16"/>
      <c r="F2047" s="18"/>
      <c r="G2047" s="19" t="str">
        <f aca="true">IF(F2047="", "", DATEDIF(F2047, TODAY(), "Y"))</f>
        <v/>
      </c>
      <c r="H2047" s="28"/>
      <c r="I2047" s="28"/>
      <c r="J2047" s="24" t="str">
        <f aca="true">IF(ISBLANK(H2047), "", I2047-TODAY())</f>
        <v/>
      </c>
      <c r="K2047" s="24" t="str">
        <f aca="false" t="array" ref="K2047:K2047">IF(A2047&lt;&gt;"",IF(COUNTIF(A$996:A2048,"&lt;&gt;")=0,COUNTA(B$996:B2047),IFERROR(MATCH(TRUE(),INDEX((A$996:A2048&lt;&gt;""),0),0),COUNTA(B$996:B2047))),"")</f>
        <v/>
      </c>
      <c r="L2047" s="27"/>
    </row>
    <row r="2048" customFormat="false" ht="13.8" hidden="false" customHeight="false" outlineLevel="0" collapsed="false">
      <c r="A2048" s="16"/>
      <c r="B2048" s="16"/>
      <c r="C2048" s="26"/>
      <c r="D2048" s="26"/>
      <c r="E2048" s="16"/>
      <c r="F2048" s="18"/>
      <c r="G2048" s="19" t="str">
        <f aca="true">IF(F2048="", "", DATEDIF(F2048, TODAY(), "Y"))</f>
        <v/>
      </c>
      <c r="H2048" s="28"/>
      <c r="I2048" s="28"/>
      <c r="J2048" s="24" t="str">
        <f aca="true">IF(ISBLANK(H2048), "", I2048-TODAY())</f>
        <v/>
      </c>
      <c r="K2048" s="24" t="str">
        <f aca="false" t="array" ref="K2048:K2048">IF(A2048&lt;&gt;"",IF(COUNTIF(A$996:A2049,"&lt;&gt;")=0,COUNTA(B$996:B2048),IFERROR(MATCH(TRUE(),INDEX((A$996:A2049&lt;&gt;""),0),0),COUNTA(B$996:B2048))),"")</f>
        <v/>
      </c>
      <c r="L2048" s="27"/>
    </row>
    <row r="2049" customFormat="false" ht="13.8" hidden="false" customHeight="false" outlineLevel="0" collapsed="false">
      <c r="A2049" s="16"/>
      <c r="B2049" s="16"/>
      <c r="C2049" s="26"/>
      <c r="D2049" s="26"/>
      <c r="E2049" s="16"/>
      <c r="F2049" s="18"/>
      <c r="G2049" s="19" t="str">
        <f aca="true">IF(F2049="", "", DATEDIF(F2049, TODAY(), "Y"))</f>
        <v/>
      </c>
      <c r="H2049" s="28"/>
      <c r="I2049" s="28"/>
      <c r="J2049" s="24" t="str">
        <f aca="true">IF(ISBLANK(H2049), "", I2049-TODAY())</f>
        <v/>
      </c>
      <c r="K2049" s="24" t="str">
        <f aca="false" t="array" ref="K2049:K2049">IF(A2049&lt;&gt;"",IF(COUNTIF(A$996:A2050,"&lt;&gt;")=0,COUNTA(B$996:B2049),IFERROR(MATCH(TRUE(),INDEX((A$996:A2050&lt;&gt;""),0),0),COUNTA(B$996:B2049))),"")</f>
        <v/>
      </c>
      <c r="L2049" s="27"/>
    </row>
    <row r="2050" customFormat="false" ht="13.8" hidden="false" customHeight="false" outlineLevel="0" collapsed="false">
      <c r="A2050" s="16"/>
      <c r="B2050" s="16"/>
      <c r="C2050" s="26"/>
      <c r="D2050" s="26"/>
      <c r="E2050" s="16"/>
      <c r="F2050" s="18"/>
      <c r="G2050" s="19" t="str">
        <f aca="true">IF(F2050="", "", DATEDIF(F2050, TODAY(), "Y"))</f>
        <v/>
      </c>
      <c r="H2050" s="28"/>
      <c r="I2050" s="28"/>
      <c r="J2050" s="24" t="str">
        <f aca="true">IF(ISBLANK(H2050), "", I2050-TODAY())</f>
        <v/>
      </c>
      <c r="K2050" s="24" t="str">
        <f aca="false" t="array" ref="K2050:K2050">IF(A2050&lt;&gt;"",IF(COUNTIF(A$996:A2051,"&lt;&gt;")=0,COUNTA(B$996:B2050),IFERROR(MATCH(TRUE(),INDEX((A$996:A2051&lt;&gt;""),0),0),COUNTA(B$996:B2050))),"")</f>
        <v/>
      </c>
      <c r="L2050" s="27"/>
    </row>
    <row r="2051" customFormat="false" ht="13.8" hidden="false" customHeight="false" outlineLevel="0" collapsed="false">
      <c r="A2051" s="16"/>
      <c r="B2051" s="16"/>
      <c r="C2051" s="26"/>
      <c r="D2051" s="26"/>
      <c r="E2051" s="16"/>
      <c r="F2051" s="18"/>
      <c r="G2051" s="19" t="str">
        <f aca="true">IF(F2051="", "", DATEDIF(F2051, TODAY(), "Y"))</f>
        <v/>
      </c>
      <c r="H2051" s="28"/>
      <c r="I2051" s="28"/>
      <c r="J2051" s="24" t="str">
        <f aca="true">IF(ISBLANK(H2051), "", I2051-TODAY())</f>
        <v/>
      </c>
      <c r="K2051" s="24" t="str">
        <f aca="false" t="array" ref="K2051:K2051">IF(A2051&lt;&gt;"",IF(COUNTIF(A$996:A2052,"&lt;&gt;")=0,COUNTA(B$996:B2051),IFERROR(MATCH(TRUE(),INDEX((A$996:A2052&lt;&gt;""),0),0),COUNTA(B$996:B2051))),"")</f>
        <v/>
      </c>
      <c r="L2051" s="27"/>
    </row>
    <row r="2052" customFormat="false" ht="13.8" hidden="false" customHeight="false" outlineLevel="0" collapsed="false">
      <c r="A2052" s="16"/>
      <c r="B2052" s="16"/>
      <c r="C2052" s="26"/>
      <c r="D2052" s="26"/>
      <c r="E2052" s="16"/>
      <c r="F2052" s="18"/>
      <c r="G2052" s="19" t="str">
        <f aca="true">IF(F2052="", "", DATEDIF(F2052, TODAY(), "Y"))</f>
        <v/>
      </c>
      <c r="H2052" s="28"/>
      <c r="I2052" s="28"/>
      <c r="J2052" s="24" t="str">
        <f aca="true">IF(ISBLANK(H2052), "", I2052-TODAY())</f>
        <v/>
      </c>
      <c r="K2052" s="24" t="str">
        <f aca="false" t="array" ref="K2052:K2052">IF(A2052&lt;&gt;"",IF(COUNTIF(A$996:A2053,"&lt;&gt;")=0,COUNTA(B$996:B2052),IFERROR(MATCH(TRUE(),INDEX((A$996:A2053&lt;&gt;""),0),0),COUNTA(B$996:B2052))),"")</f>
        <v/>
      </c>
      <c r="L2052" s="27"/>
    </row>
    <row r="2053" customFormat="false" ht="13.8" hidden="false" customHeight="false" outlineLevel="0" collapsed="false">
      <c r="A2053" s="16"/>
      <c r="B2053" s="16"/>
      <c r="C2053" s="26"/>
      <c r="D2053" s="26"/>
      <c r="E2053" s="16"/>
      <c r="F2053" s="18"/>
      <c r="G2053" s="19" t="str">
        <f aca="true">IF(F2053="", "", DATEDIF(F2053, TODAY(), "Y"))</f>
        <v/>
      </c>
      <c r="H2053" s="28"/>
      <c r="I2053" s="28"/>
      <c r="J2053" s="24" t="str">
        <f aca="true">IF(ISBLANK(H2053), "", I2053-TODAY())</f>
        <v/>
      </c>
      <c r="K2053" s="24" t="str">
        <f aca="false" t="array" ref="K2053:K2053">IF(A2053&lt;&gt;"",IF(COUNTIF(A$996:A2054,"&lt;&gt;")=0,COUNTA(B$996:B2053),IFERROR(MATCH(TRUE(),INDEX((A$996:A2054&lt;&gt;""),0),0),COUNTA(B$996:B2053))),"")</f>
        <v/>
      </c>
      <c r="L2053" s="27"/>
    </row>
    <row r="2054" customFormat="false" ht="13.8" hidden="false" customHeight="false" outlineLevel="0" collapsed="false">
      <c r="A2054" s="16"/>
      <c r="B2054" s="16"/>
      <c r="C2054" s="26"/>
      <c r="D2054" s="26"/>
      <c r="E2054" s="16"/>
      <c r="F2054" s="18"/>
      <c r="G2054" s="19" t="str">
        <f aca="true">IF(F2054="", "", DATEDIF(F2054, TODAY(), "Y"))</f>
        <v/>
      </c>
      <c r="H2054" s="28"/>
      <c r="I2054" s="28"/>
      <c r="J2054" s="24" t="str">
        <f aca="true">IF(ISBLANK(H2054), "", I2054-TODAY())</f>
        <v/>
      </c>
      <c r="K2054" s="24" t="str">
        <f aca="false" t="array" ref="K2054:K2054">IF(A2054&lt;&gt;"",IF(COUNTIF(A$996:A2055,"&lt;&gt;")=0,COUNTA(B$996:B2054),IFERROR(MATCH(TRUE(),INDEX((A$996:A2055&lt;&gt;""),0),0),COUNTA(B$996:B2054))),"")</f>
        <v/>
      </c>
      <c r="L2054" s="27"/>
    </row>
    <row r="2055" customFormat="false" ht="13.8" hidden="false" customHeight="false" outlineLevel="0" collapsed="false">
      <c r="A2055" s="16"/>
      <c r="B2055" s="16"/>
      <c r="C2055" s="26"/>
      <c r="D2055" s="26"/>
      <c r="E2055" s="16"/>
      <c r="F2055" s="18"/>
      <c r="G2055" s="19" t="str">
        <f aca="true">IF(F2055="", "", DATEDIF(F2055, TODAY(), "Y"))</f>
        <v/>
      </c>
      <c r="H2055" s="28"/>
      <c r="I2055" s="28"/>
      <c r="J2055" s="24" t="str">
        <f aca="true">IF(ISBLANK(H2055), "", I2055-TODAY())</f>
        <v/>
      </c>
      <c r="K2055" s="24" t="str">
        <f aca="false" t="array" ref="K2055:K2055">IF(A2055&lt;&gt;"",IF(COUNTIF(A$996:A2056,"&lt;&gt;")=0,COUNTA(B$996:B2055),IFERROR(MATCH(TRUE(),INDEX((A$996:A2056&lt;&gt;""),0),0),COUNTA(B$996:B2055))),"")</f>
        <v/>
      </c>
      <c r="L2055" s="27"/>
    </row>
    <row r="2056" customFormat="false" ht="13.8" hidden="false" customHeight="false" outlineLevel="0" collapsed="false">
      <c r="A2056" s="16"/>
      <c r="B2056" s="16"/>
      <c r="C2056" s="26"/>
      <c r="D2056" s="26"/>
      <c r="E2056" s="16"/>
      <c r="F2056" s="18"/>
      <c r="G2056" s="19" t="str">
        <f aca="true">IF(F2056="", "", DATEDIF(F2056, TODAY(), "Y"))</f>
        <v/>
      </c>
      <c r="H2056" s="28"/>
      <c r="I2056" s="28"/>
      <c r="J2056" s="24" t="str">
        <f aca="true">IF(ISBLANK(H2056), "", I2056-TODAY())</f>
        <v/>
      </c>
      <c r="K2056" s="24" t="str">
        <f aca="false" t="array" ref="K2056:K2056">IF(A2056&lt;&gt;"",IF(COUNTIF(A$996:A2057,"&lt;&gt;")=0,COUNTA(B$996:B2056),IFERROR(MATCH(TRUE(),INDEX((A$996:A2057&lt;&gt;""),0),0),COUNTA(B$996:B2056))),"")</f>
        <v/>
      </c>
      <c r="L2056" s="27"/>
    </row>
    <row r="2057" customFormat="false" ht="13.8" hidden="false" customHeight="false" outlineLevel="0" collapsed="false">
      <c r="A2057" s="16"/>
      <c r="B2057" s="16"/>
      <c r="C2057" s="26"/>
      <c r="D2057" s="26"/>
      <c r="E2057" s="16"/>
      <c r="F2057" s="18"/>
      <c r="G2057" s="19" t="str">
        <f aca="true">IF(F2057="", "", DATEDIF(F2057, TODAY(), "Y"))</f>
        <v/>
      </c>
      <c r="H2057" s="28"/>
      <c r="I2057" s="28"/>
      <c r="J2057" s="24" t="str">
        <f aca="true">IF(ISBLANK(H2057), "", I2057-TODAY())</f>
        <v/>
      </c>
      <c r="K2057" s="24" t="str">
        <f aca="false" t="array" ref="K2057:K2057">IF(A2057&lt;&gt;"",IF(COUNTIF(A$996:A2058,"&lt;&gt;")=0,COUNTA(B$996:B2057),IFERROR(MATCH(TRUE(),INDEX((A$996:A2058&lt;&gt;""),0),0),COUNTA(B$996:B2057))),"")</f>
        <v/>
      </c>
      <c r="L2057" s="27"/>
    </row>
    <row r="2058" customFormat="false" ht="13.8" hidden="false" customHeight="false" outlineLevel="0" collapsed="false">
      <c r="A2058" s="16"/>
      <c r="B2058" s="16"/>
      <c r="C2058" s="26"/>
      <c r="D2058" s="26"/>
      <c r="E2058" s="16"/>
      <c r="F2058" s="18"/>
      <c r="G2058" s="19" t="str">
        <f aca="true">IF(F2058="", "", DATEDIF(F2058, TODAY(), "Y"))</f>
        <v/>
      </c>
      <c r="H2058" s="28"/>
      <c r="I2058" s="28"/>
      <c r="J2058" s="24" t="str">
        <f aca="true">IF(ISBLANK(H2058), "", I2058-TODAY())</f>
        <v/>
      </c>
      <c r="K2058" s="24" t="str">
        <f aca="false" t="array" ref="K2058:K2058">IF(A2058&lt;&gt;"",IF(COUNTIF(A$996:A2059,"&lt;&gt;")=0,COUNTA(B$996:B2058),IFERROR(MATCH(TRUE(),INDEX((A$996:A2059&lt;&gt;""),0),0),COUNTA(B$996:B2058))),"")</f>
        <v/>
      </c>
      <c r="L2058" s="27"/>
    </row>
    <row r="2059" customFormat="false" ht="13.8" hidden="false" customHeight="false" outlineLevel="0" collapsed="false">
      <c r="A2059" s="16"/>
      <c r="B2059" s="16"/>
      <c r="C2059" s="26"/>
      <c r="D2059" s="26"/>
      <c r="E2059" s="16"/>
      <c r="F2059" s="18"/>
      <c r="G2059" s="19" t="str">
        <f aca="true">IF(F2059="", "", DATEDIF(F2059, TODAY(), "Y"))</f>
        <v/>
      </c>
      <c r="H2059" s="28"/>
      <c r="I2059" s="28"/>
      <c r="J2059" s="24" t="str">
        <f aca="true">IF(ISBLANK(H2059), "", I2059-TODAY())</f>
        <v/>
      </c>
      <c r="K2059" s="24" t="str">
        <f aca="false" t="array" ref="K2059:K2059">IF(A2059&lt;&gt;"",IF(COUNTIF(A$996:A2060,"&lt;&gt;")=0,COUNTA(B$996:B2059),IFERROR(MATCH(TRUE(),INDEX((A$996:A2060&lt;&gt;""),0),0),COUNTA(B$996:B2059))),"")</f>
        <v/>
      </c>
      <c r="L2059" s="27"/>
    </row>
    <row r="2060" customFormat="false" ht="13.8" hidden="false" customHeight="false" outlineLevel="0" collapsed="false">
      <c r="A2060" s="16"/>
      <c r="B2060" s="16"/>
      <c r="C2060" s="26"/>
      <c r="D2060" s="26"/>
      <c r="E2060" s="16"/>
      <c r="F2060" s="18"/>
      <c r="G2060" s="19" t="str">
        <f aca="true">IF(F2060="", "", DATEDIF(F2060, TODAY(), "Y"))</f>
        <v/>
      </c>
      <c r="H2060" s="28"/>
      <c r="I2060" s="28"/>
      <c r="J2060" s="24" t="str">
        <f aca="true">IF(ISBLANK(H2060), "", I2060-TODAY())</f>
        <v/>
      </c>
      <c r="K2060" s="24" t="str">
        <f aca="false" t="array" ref="K2060:K2060">IF(A2060&lt;&gt;"",IF(COUNTIF(A$996:A2061,"&lt;&gt;")=0,COUNTA(B$996:B2060),IFERROR(MATCH(TRUE(),INDEX((A$996:A2061&lt;&gt;""),0),0),COUNTA(B$996:B2060))),"")</f>
        <v/>
      </c>
      <c r="L2060" s="27"/>
    </row>
    <row r="2061" customFormat="false" ht="13.8" hidden="false" customHeight="false" outlineLevel="0" collapsed="false">
      <c r="A2061" s="16"/>
      <c r="B2061" s="16"/>
      <c r="C2061" s="26"/>
      <c r="D2061" s="26"/>
      <c r="E2061" s="16"/>
      <c r="F2061" s="18"/>
      <c r="G2061" s="19" t="str">
        <f aca="true">IF(F2061="", "", DATEDIF(F2061, TODAY(), "Y"))</f>
        <v/>
      </c>
      <c r="H2061" s="28"/>
      <c r="I2061" s="28"/>
      <c r="J2061" s="24" t="str">
        <f aca="true">IF(ISBLANK(H2061), "", I2061-TODAY())</f>
        <v/>
      </c>
      <c r="K2061" s="24" t="str">
        <f aca="false" t="array" ref="K2061:K2061">IF(A2061&lt;&gt;"",IF(COUNTIF(A$996:A2062,"&lt;&gt;")=0,COUNTA(B$996:B2061),IFERROR(MATCH(TRUE(),INDEX((A$996:A2062&lt;&gt;""),0),0),COUNTA(B$996:B2061))),"")</f>
        <v/>
      </c>
      <c r="L2061" s="27"/>
    </row>
    <row r="2062" customFormat="false" ht="13.8" hidden="false" customHeight="false" outlineLevel="0" collapsed="false">
      <c r="A2062" s="16"/>
      <c r="B2062" s="16"/>
      <c r="C2062" s="26"/>
      <c r="D2062" s="26"/>
      <c r="E2062" s="16"/>
      <c r="F2062" s="18"/>
      <c r="G2062" s="19" t="str">
        <f aca="true">IF(F2062="", "", DATEDIF(F2062, TODAY(), "Y"))</f>
        <v/>
      </c>
      <c r="H2062" s="28"/>
      <c r="I2062" s="28"/>
      <c r="J2062" s="24" t="str">
        <f aca="true">IF(ISBLANK(H2062), "", I2062-TODAY())</f>
        <v/>
      </c>
      <c r="K2062" s="24" t="str">
        <f aca="false" t="array" ref="K2062:K2062">IF(A2062&lt;&gt;"",IF(COUNTIF(A$996:A2063,"&lt;&gt;")=0,COUNTA(B$996:B2062),IFERROR(MATCH(TRUE(),INDEX((A$996:A2063&lt;&gt;""),0),0),COUNTA(B$996:B2062))),"")</f>
        <v/>
      </c>
      <c r="L2062" s="27"/>
    </row>
    <row r="2063" customFormat="false" ht="13.8" hidden="false" customHeight="false" outlineLevel="0" collapsed="false">
      <c r="A2063" s="16"/>
      <c r="B2063" s="16"/>
      <c r="C2063" s="26"/>
      <c r="D2063" s="26"/>
      <c r="E2063" s="16"/>
      <c r="F2063" s="18"/>
      <c r="G2063" s="19" t="str">
        <f aca="true">IF(F2063="", "", DATEDIF(F2063, TODAY(), "Y"))</f>
        <v/>
      </c>
      <c r="H2063" s="28"/>
      <c r="I2063" s="28"/>
      <c r="J2063" s="24" t="str">
        <f aca="true">IF(ISBLANK(H2063), "", I2063-TODAY())</f>
        <v/>
      </c>
      <c r="K2063" s="24" t="str">
        <f aca="false" t="array" ref="K2063:K2063">IF(A2063&lt;&gt;"",IF(COUNTIF(A$996:A2064,"&lt;&gt;")=0,COUNTA(B$996:B2063),IFERROR(MATCH(TRUE(),INDEX((A$996:A2064&lt;&gt;""),0),0),COUNTA(B$996:B2063))),"")</f>
        <v/>
      </c>
      <c r="L2063" s="27"/>
    </row>
    <row r="2064" customFormat="false" ht="13.8" hidden="false" customHeight="false" outlineLevel="0" collapsed="false">
      <c r="A2064" s="16"/>
      <c r="B2064" s="16"/>
      <c r="C2064" s="26"/>
      <c r="D2064" s="26"/>
      <c r="E2064" s="16"/>
      <c r="F2064" s="18"/>
      <c r="G2064" s="19" t="str">
        <f aca="true">IF(F2064="", "", DATEDIF(F2064, TODAY(), "Y"))</f>
        <v/>
      </c>
      <c r="H2064" s="28"/>
      <c r="I2064" s="28"/>
      <c r="J2064" s="24" t="str">
        <f aca="true">IF(ISBLANK(H2064), "", I2064-TODAY())</f>
        <v/>
      </c>
      <c r="K2064" s="24" t="str">
        <f aca="false" t="array" ref="K2064:K2064">IF(A2064&lt;&gt;"",IF(COUNTIF(A$996:A2065,"&lt;&gt;")=0,COUNTA(B$996:B2064),IFERROR(MATCH(TRUE(),INDEX((A$996:A2065&lt;&gt;""),0),0),COUNTA(B$996:B2064))),"")</f>
        <v/>
      </c>
      <c r="L2064" s="27"/>
    </row>
    <row r="2065" customFormat="false" ht="13.8" hidden="false" customHeight="false" outlineLevel="0" collapsed="false">
      <c r="A2065" s="16"/>
      <c r="B2065" s="16"/>
      <c r="C2065" s="26"/>
      <c r="D2065" s="26"/>
      <c r="E2065" s="16"/>
      <c r="F2065" s="18"/>
      <c r="G2065" s="19" t="str">
        <f aca="true">IF(F2065="", "", DATEDIF(F2065, TODAY(), "Y"))</f>
        <v/>
      </c>
      <c r="H2065" s="28"/>
      <c r="I2065" s="28"/>
      <c r="J2065" s="24" t="str">
        <f aca="true">IF(ISBLANK(H2065), "", I2065-TODAY())</f>
        <v/>
      </c>
      <c r="K2065" s="24" t="str">
        <f aca="false" t="array" ref="K2065:K2065">IF(A2065&lt;&gt;"",IF(COUNTIF(A$996:A2066,"&lt;&gt;")=0,COUNTA(B$996:B2065),IFERROR(MATCH(TRUE(),INDEX((A$996:A2066&lt;&gt;""),0),0),COUNTA(B$996:B2065))),"")</f>
        <v/>
      </c>
      <c r="L2065" s="27"/>
    </row>
    <row r="2066" customFormat="false" ht="13.8" hidden="false" customHeight="false" outlineLevel="0" collapsed="false">
      <c r="A2066" s="16"/>
      <c r="B2066" s="16"/>
      <c r="C2066" s="26"/>
      <c r="D2066" s="26"/>
      <c r="E2066" s="16"/>
      <c r="F2066" s="18"/>
      <c r="G2066" s="19" t="str">
        <f aca="true">IF(F2066="", "", DATEDIF(F2066, TODAY(), "Y"))</f>
        <v/>
      </c>
      <c r="H2066" s="28"/>
      <c r="I2066" s="28"/>
      <c r="J2066" s="24" t="str">
        <f aca="true">IF(ISBLANK(H2066), "", I2066-TODAY())</f>
        <v/>
      </c>
      <c r="K2066" s="24" t="str">
        <f aca="false" t="array" ref="K2066:K2066">IF(A2066&lt;&gt;"",IF(COUNTIF(A$996:A2067,"&lt;&gt;")=0,COUNTA(B$996:B2066),IFERROR(MATCH(TRUE(),INDEX((A$996:A2067&lt;&gt;""),0),0),COUNTA(B$996:B2066))),"")</f>
        <v/>
      </c>
      <c r="L2066" s="27"/>
    </row>
    <row r="2067" customFormat="false" ht="13.8" hidden="false" customHeight="false" outlineLevel="0" collapsed="false">
      <c r="A2067" s="16"/>
      <c r="B2067" s="16"/>
      <c r="C2067" s="26"/>
      <c r="D2067" s="26"/>
      <c r="E2067" s="16"/>
      <c r="F2067" s="18"/>
      <c r="G2067" s="19" t="str">
        <f aca="true">IF(F2067="", "", DATEDIF(F2067, TODAY(), "Y"))</f>
        <v/>
      </c>
      <c r="H2067" s="28"/>
      <c r="I2067" s="28"/>
      <c r="J2067" s="24" t="str">
        <f aca="true">IF(ISBLANK(H2067), "", I2067-TODAY())</f>
        <v/>
      </c>
      <c r="K2067" s="24" t="str">
        <f aca="false" t="array" ref="K2067:K2067">IF(A2067&lt;&gt;"",IF(COUNTIF(A$996:A2068,"&lt;&gt;")=0,COUNTA(B$996:B2067),IFERROR(MATCH(TRUE(),INDEX((A$996:A2068&lt;&gt;""),0),0),COUNTA(B$996:B2067))),"")</f>
        <v/>
      </c>
      <c r="L2067" s="27"/>
    </row>
    <row r="2068" customFormat="false" ht="13.8" hidden="false" customHeight="false" outlineLevel="0" collapsed="false">
      <c r="A2068" s="16"/>
      <c r="B2068" s="16"/>
      <c r="C2068" s="26"/>
      <c r="D2068" s="26"/>
      <c r="E2068" s="16"/>
      <c r="F2068" s="18"/>
      <c r="G2068" s="19" t="str">
        <f aca="true">IF(F2068="", "", DATEDIF(F2068, TODAY(), "Y"))</f>
        <v/>
      </c>
      <c r="H2068" s="28"/>
      <c r="I2068" s="28"/>
      <c r="J2068" s="24" t="str">
        <f aca="true">IF(ISBLANK(H2068), "", I2068-TODAY())</f>
        <v/>
      </c>
      <c r="K2068" s="24" t="str">
        <f aca="false" t="array" ref="K2068:K2068">IF(A2068&lt;&gt;"",IF(COUNTIF(A$996:A2069,"&lt;&gt;")=0,COUNTA(B$996:B2068),IFERROR(MATCH(TRUE(),INDEX((A$996:A2069&lt;&gt;""),0),0),COUNTA(B$996:B2068))),"")</f>
        <v/>
      </c>
      <c r="L2068" s="27"/>
    </row>
    <row r="2069" customFormat="false" ht="13.8" hidden="false" customHeight="false" outlineLevel="0" collapsed="false">
      <c r="A2069" s="16"/>
      <c r="B2069" s="16"/>
      <c r="C2069" s="26"/>
      <c r="D2069" s="26"/>
      <c r="E2069" s="16"/>
      <c r="F2069" s="18"/>
      <c r="G2069" s="19" t="str">
        <f aca="true">IF(F2069="", "", DATEDIF(F2069, TODAY(), "Y"))</f>
        <v/>
      </c>
      <c r="H2069" s="28"/>
      <c r="I2069" s="28"/>
      <c r="J2069" s="24" t="str">
        <f aca="true">IF(ISBLANK(H2069), "", I2069-TODAY())</f>
        <v/>
      </c>
      <c r="K2069" s="24" t="str">
        <f aca="false" t="array" ref="K2069:K2069">IF(A2069&lt;&gt;"",IF(COUNTIF(A$996:A2070,"&lt;&gt;")=0,COUNTA(B$996:B2069),IFERROR(MATCH(TRUE(),INDEX((A$996:A2070&lt;&gt;""),0),0),COUNTA(B$996:B2069))),"")</f>
        <v/>
      </c>
      <c r="L2069" s="27"/>
    </row>
    <row r="2070" customFormat="false" ht="13.8" hidden="false" customHeight="false" outlineLevel="0" collapsed="false">
      <c r="A2070" s="16"/>
      <c r="B2070" s="16"/>
      <c r="C2070" s="26"/>
      <c r="D2070" s="26"/>
      <c r="E2070" s="16"/>
      <c r="F2070" s="18"/>
      <c r="G2070" s="19" t="str">
        <f aca="true">IF(F2070="", "", DATEDIF(F2070, TODAY(), "Y"))</f>
        <v/>
      </c>
      <c r="H2070" s="28"/>
      <c r="I2070" s="28"/>
      <c r="J2070" s="24" t="str">
        <f aca="true">IF(ISBLANK(H2070), "", I2070-TODAY())</f>
        <v/>
      </c>
      <c r="K2070" s="24" t="str">
        <f aca="false" t="array" ref="K2070:K2070">IF(A2070&lt;&gt;"",IF(COUNTIF(A$996:A2071,"&lt;&gt;")=0,COUNTA(B$996:B2070),IFERROR(MATCH(TRUE(),INDEX((A$996:A2071&lt;&gt;""),0),0),COUNTA(B$996:B2070))),"")</f>
        <v/>
      </c>
      <c r="L2070" s="27"/>
    </row>
    <row r="2071" customFormat="false" ht="13.8" hidden="false" customHeight="false" outlineLevel="0" collapsed="false">
      <c r="A2071" s="16"/>
      <c r="B2071" s="16"/>
      <c r="C2071" s="26"/>
      <c r="D2071" s="26"/>
      <c r="E2071" s="16"/>
      <c r="F2071" s="18"/>
      <c r="G2071" s="19" t="str">
        <f aca="true">IF(F2071="", "", DATEDIF(F2071, TODAY(), "Y"))</f>
        <v/>
      </c>
      <c r="H2071" s="28"/>
      <c r="I2071" s="28"/>
      <c r="J2071" s="24" t="str">
        <f aca="true">IF(ISBLANK(H2071), "", I2071-TODAY())</f>
        <v/>
      </c>
      <c r="K2071" s="24" t="str">
        <f aca="false" t="array" ref="K2071:K2071">IF(A2071&lt;&gt;"",IF(COUNTIF(A$996:A2072,"&lt;&gt;")=0,COUNTA(B$996:B2071),IFERROR(MATCH(TRUE(),INDEX((A$996:A2072&lt;&gt;""),0),0),COUNTA(B$996:B2071))),"")</f>
        <v/>
      </c>
      <c r="L2071" s="27"/>
    </row>
    <row r="2072" customFormat="false" ht="13.8" hidden="false" customHeight="false" outlineLevel="0" collapsed="false">
      <c r="A2072" s="16"/>
      <c r="B2072" s="16"/>
      <c r="C2072" s="26"/>
      <c r="D2072" s="26"/>
      <c r="E2072" s="16"/>
      <c r="F2072" s="18"/>
      <c r="G2072" s="19" t="str">
        <f aca="true">IF(F2072="", "", DATEDIF(F2072, TODAY(), "Y"))</f>
        <v/>
      </c>
      <c r="H2072" s="28"/>
      <c r="I2072" s="28"/>
      <c r="J2072" s="24" t="str">
        <f aca="true">IF(ISBLANK(H2072), "", I2072-TODAY())</f>
        <v/>
      </c>
      <c r="K2072" s="24" t="str">
        <f aca="false" t="array" ref="K2072:K2072">IF(A2072&lt;&gt;"",IF(COUNTIF(A$996:A2073,"&lt;&gt;")=0,COUNTA(B$996:B2072),IFERROR(MATCH(TRUE(),INDEX((A$996:A2073&lt;&gt;""),0),0),COUNTA(B$996:B2072))),"")</f>
        <v/>
      </c>
      <c r="L2072" s="27"/>
    </row>
    <row r="2073" customFormat="false" ht="13.8" hidden="false" customHeight="false" outlineLevel="0" collapsed="false">
      <c r="A2073" s="16"/>
      <c r="B2073" s="16"/>
      <c r="C2073" s="26"/>
      <c r="D2073" s="26"/>
      <c r="E2073" s="16"/>
      <c r="F2073" s="18"/>
      <c r="G2073" s="19" t="str">
        <f aca="true">IF(F2073="", "", DATEDIF(F2073, TODAY(), "Y"))</f>
        <v/>
      </c>
      <c r="H2073" s="28"/>
      <c r="I2073" s="28"/>
      <c r="J2073" s="24" t="str">
        <f aca="true">IF(ISBLANK(H2073), "", I2073-TODAY())</f>
        <v/>
      </c>
      <c r="K2073" s="24" t="str">
        <f aca="false" t="array" ref="K2073:K2073">IF(A2073&lt;&gt;"",IF(COUNTIF(A$996:A2074,"&lt;&gt;")=0,COUNTA(B$996:B2073),IFERROR(MATCH(TRUE(),INDEX((A$996:A2074&lt;&gt;""),0),0),COUNTA(B$996:B2073))),"")</f>
        <v/>
      </c>
      <c r="L2073" s="27"/>
    </row>
    <row r="2074" customFormat="false" ht="13.8" hidden="false" customHeight="false" outlineLevel="0" collapsed="false">
      <c r="A2074" s="16"/>
      <c r="B2074" s="16"/>
      <c r="C2074" s="26"/>
      <c r="D2074" s="26"/>
      <c r="E2074" s="16"/>
      <c r="F2074" s="18"/>
      <c r="G2074" s="19" t="str">
        <f aca="true">IF(F2074="", "", DATEDIF(F2074, TODAY(), "Y"))</f>
        <v/>
      </c>
      <c r="H2074" s="28"/>
      <c r="I2074" s="28"/>
      <c r="J2074" s="24" t="str">
        <f aca="true">IF(ISBLANK(H2074), "", I2074-TODAY())</f>
        <v/>
      </c>
      <c r="K2074" s="24" t="str">
        <f aca="false" t="array" ref="K2074:K2074">IF(A2074&lt;&gt;"",IF(COUNTIF(A$996:A2075,"&lt;&gt;")=0,COUNTA(B$996:B2074),IFERROR(MATCH(TRUE(),INDEX((A$996:A2075&lt;&gt;""),0),0),COUNTA(B$996:B2074))),"")</f>
        <v/>
      </c>
      <c r="L2074" s="27"/>
    </row>
    <row r="2075" customFormat="false" ht="13.8" hidden="false" customHeight="false" outlineLevel="0" collapsed="false">
      <c r="A2075" s="16"/>
      <c r="B2075" s="16"/>
      <c r="C2075" s="26"/>
      <c r="D2075" s="26"/>
      <c r="E2075" s="16"/>
      <c r="F2075" s="18"/>
      <c r="G2075" s="19" t="str">
        <f aca="true">IF(F2075="", "", DATEDIF(F2075, TODAY(), "Y"))</f>
        <v/>
      </c>
      <c r="H2075" s="28"/>
      <c r="I2075" s="28"/>
      <c r="J2075" s="24" t="str">
        <f aca="true">IF(ISBLANK(H2075), "", I2075-TODAY())</f>
        <v/>
      </c>
      <c r="K2075" s="24" t="str">
        <f aca="false" t="array" ref="K2075:K2075">IF(A2075&lt;&gt;"",IF(COUNTIF(A$996:A2076,"&lt;&gt;")=0,COUNTA(B$996:B2075),IFERROR(MATCH(TRUE(),INDEX((A$996:A2076&lt;&gt;""),0),0),COUNTA(B$996:B2075))),"")</f>
        <v/>
      </c>
      <c r="L2075" s="27"/>
    </row>
    <row r="2076" customFormat="false" ht="13.8" hidden="false" customHeight="false" outlineLevel="0" collapsed="false">
      <c r="A2076" s="16"/>
      <c r="B2076" s="16"/>
      <c r="C2076" s="26"/>
      <c r="D2076" s="26"/>
      <c r="E2076" s="16"/>
      <c r="F2076" s="18"/>
      <c r="G2076" s="19" t="str">
        <f aca="true">IF(F2076="", "", DATEDIF(F2076, TODAY(), "Y"))</f>
        <v/>
      </c>
      <c r="H2076" s="28"/>
      <c r="I2076" s="28"/>
      <c r="J2076" s="24" t="str">
        <f aca="true">IF(ISBLANK(H2076), "", I2076-TODAY())</f>
        <v/>
      </c>
      <c r="K2076" s="24" t="str">
        <f aca="false" t="array" ref="K2076:K2076">IF(A2076&lt;&gt;"",IF(COUNTIF(A$996:A2077,"&lt;&gt;")=0,COUNTA(B$996:B2076),IFERROR(MATCH(TRUE(),INDEX((A$996:A2077&lt;&gt;""),0),0),COUNTA(B$996:B2076))),"")</f>
        <v/>
      </c>
      <c r="L2076" s="27"/>
    </row>
    <row r="2077" customFormat="false" ht="13.8" hidden="false" customHeight="false" outlineLevel="0" collapsed="false">
      <c r="A2077" s="16"/>
      <c r="B2077" s="16"/>
      <c r="C2077" s="26"/>
      <c r="D2077" s="26"/>
      <c r="E2077" s="16"/>
      <c r="F2077" s="18"/>
      <c r="G2077" s="19" t="str">
        <f aca="true">IF(F2077="", "", DATEDIF(F2077, TODAY(), "Y"))</f>
        <v/>
      </c>
      <c r="H2077" s="28"/>
      <c r="I2077" s="28"/>
      <c r="J2077" s="24" t="str">
        <f aca="true">IF(ISBLANK(H2077), "", I2077-TODAY())</f>
        <v/>
      </c>
      <c r="K2077" s="24" t="str">
        <f aca="false" t="array" ref="K2077:K2077">IF(A2077&lt;&gt;"",IF(COUNTIF(A$996:A2078,"&lt;&gt;")=0,COUNTA(B$996:B2077),IFERROR(MATCH(TRUE(),INDEX((A$996:A2078&lt;&gt;""),0),0),COUNTA(B$996:B2077))),"")</f>
        <v/>
      </c>
      <c r="L2077" s="27"/>
    </row>
    <row r="2078" customFormat="false" ht="13.8" hidden="false" customHeight="false" outlineLevel="0" collapsed="false">
      <c r="A2078" s="16"/>
      <c r="B2078" s="16"/>
      <c r="C2078" s="26"/>
      <c r="D2078" s="26"/>
      <c r="E2078" s="16"/>
      <c r="F2078" s="18"/>
      <c r="G2078" s="19" t="str">
        <f aca="true">IF(F2078="", "", DATEDIF(F2078, TODAY(), "Y"))</f>
        <v/>
      </c>
      <c r="H2078" s="28"/>
      <c r="I2078" s="28"/>
      <c r="J2078" s="24" t="str">
        <f aca="true">IF(ISBLANK(H2078), "", I2078-TODAY())</f>
        <v/>
      </c>
      <c r="K2078" s="24" t="str">
        <f aca="false" t="array" ref="K2078:K2078">IF(A2078&lt;&gt;"",IF(COUNTIF(A$996:A2079,"&lt;&gt;")=0,COUNTA(B$996:B2078),IFERROR(MATCH(TRUE(),INDEX((A$996:A2079&lt;&gt;""),0),0),COUNTA(B$996:B2078))),"")</f>
        <v/>
      </c>
      <c r="L2078" s="27"/>
    </row>
    <row r="2079" customFormat="false" ht="13.8" hidden="false" customHeight="false" outlineLevel="0" collapsed="false">
      <c r="A2079" s="16"/>
      <c r="B2079" s="16"/>
      <c r="C2079" s="26"/>
      <c r="D2079" s="26"/>
      <c r="E2079" s="16"/>
      <c r="F2079" s="18"/>
      <c r="G2079" s="19" t="str">
        <f aca="true">IF(F2079="", "", DATEDIF(F2079, TODAY(), "Y"))</f>
        <v/>
      </c>
      <c r="H2079" s="28"/>
      <c r="I2079" s="28"/>
      <c r="J2079" s="24" t="str">
        <f aca="true">IF(ISBLANK(H2079), "", I2079-TODAY())</f>
        <v/>
      </c>
      <c r="K2079" s="24" t="str">
        <f aca="false" t="array" ref="K2079:K2079">IF(A2079&lt;&gt;"",IF(COUNTIF(A$996:A2080,"&lt;&gt;")=0,COUNTA(B$996:B2079),IFERROR(MATCH(TRUE(),INDEX((A$996:A2080&lt;&gt;""),0),0),COUNTA(B$996:B2079))),"")</f>
        <v/>
      </c>
      <c r="L2079" s="27"/>
    </row>
    <row r="2080" customFormat="false" ht="13.8" hidden="false" customHeight="false" outlineLevel="0" collapsed="false">
      <c r="A2080" s="16"/>
      <c r="B2080" s="16"/>
      <c r="C2080" s="26"/>
      <c r="D2080" s="26"/>
      <c r="E2080" s="16"/>
      <c r="F2080" s="18"/>
      <c r="G2080" s="19" t="str">
        <f aca="true">IF(F2080="", "", DATEDIF(F2080, TODAY(), "Y"))</f>
        <v/>
      </c>
      <c r="H2080" s="28"/>
      <c r="I2080" s="28"/>
      <c r="J2080" s="24" t="str">
        <f aca="true">IF(ISBLANK(H2080), "", I2080-TODAY())</f>
        <v/>
      </c>
      <c r="K2080" s="24" t="str">
        <f aca="false" t="array" ref="K2080:K2080">IF(A2080&lt;&gt;"",IF(COUNTIF(A$996:A2081,"&lt;&gt;")=0,COUNTA(B$996:B2080),IFERROR(MATCH(TRUE(),INDEX((A$996:A2081&lt;&gt;""),0),0),COUNTA(B$996:B2080))),"")</f>
        <v/>
      </c>
      <c r="L2080" s="27"/>
    </row>
    <row r="2081" customFormat="false" ht="13.8" hidden="false" customHeight="false" outlineLevel="0" collapsed="false">
      <c r="A2081" s="16"/>
      <c r="B2081" s="16"/>
      <c r="C2081" s="26"/>
      <c r="D2081" s="26"/>
      <c r="E2081" s="16"/>
      <c r="F2081" s="18"/>
      <c r="G2081" s="19" t="str">
        <f aca="true">IF(F2081="", "", DATEDIF(F2081, TODAY(), "Y"))</f>
        <v/>
      </c>
      <c r="H2081" s="28"/>
      <c r="I2081" s="28"/>
      <c r="J2081" s="24" t="str">
        <f aca="true">IF(ISBLANK(H2081), "", I2081-TODAY())</f>
        <v/>
      </c>
      <c r="K2081" s="24" t="str">
        <f aca="false" t="array" ref="K2081:K2081">IF(A2081&lt;&gt;"",IF(COUNTIF(A$996:A2082,"&lt;&gt;")=0,COUNTA(B$996:B2081),IFERROR(MATCH(TRUE(),INDEX((A$996:A2082&lt;&gt;""),0),0),COUNTA(B$996:B2081))),"")</f>
        <v/>
      </c>
      <c r="L2081" s="27"/>
    </row>
    <row r="2082" customFormat="false" ht="13.8" hidden="false" customHeight="false" outlineLevel="0" collapsed="false">
      <c r="A2082" s="16"/>
      <c r="B2082" s="16"/>
      <c r="C2082" s="26"/>
      <c r="D2082" s="26"/>
      <c r="E2082" s="16"/>
      <c r="F2082" s="18"/>
      <c r="G2082" s="19" t="str">
        <f aca="true">IF(F2082="", "", DATEDIF(F2082, TODAY(), "Y"))</f>
        <v/>
      </c>
      <c r="H2082" s="28"/>
      <c r="I2082" s="28"/>
      <c r="J2082" s="24" t="str">
        <f aca="true">IF(ISBLANK(H2082), "", I2082-TODAY())</f>
        <v/>
      </c>
      <c r="K2082" s="24" t="str">
        <f aca="false" t="array" ref="K2082:K2082">IF(A2082&lt;&gt;"",IF(COUNTIF(A$996:A2083,"&lt;&gt;")=0,COUNTA(B$996:B2082),IFERROR(MATCH(TRUE(),INDEX((A$996:A2083&lt;&gt;""),0),0),COUNTA(B$996:B2082))),"")</f>
        <v/>
      </c>
      <c r="L2082" s="27"/>
    </row>
    <row r="2083" customFormat="false" ht="13.8" hidden="false" customHeight="false" outlineLevel="0" collapsed="false">
      <c r="A2083" s="16"/>
      <c r="B2083" s="16"/>
      <c r="C2083" s="26"/>
      <c r="D2083" s="26"/>
      <c r="E2083" s="16"/>
      <c r="F2083" s="18"/>
      <c r="G2083" s="19" t="str">
        <f aca="true">IF(F2083="", "", DATEDIF(F2083, TODAY(), "Y"))</f>
        <v/>
      </c>
      <c r="H2083" s="28"/>
      <c r="I2083" s="28"/>
      <c r="J2083" s="24" t="str">
        <f aca="true">IF(ISBLANK(H2083), "", I2083-TODAY())</f>
        <v/>
      </c>
      <c r="K2083" s="24" t="str">
        <f aca="false" t="array" ref="K2083:K2083">IF(A2083&lt;&gt;"",IF(COUNTIF(A$996:A2084,"&lt;&gt;")=0,COUNTA(B$996:B2083),IFERROR(MATCH(TRUE(),INDEX((A$996:A2084&lt;&gt;""),0),0),COUNTA(B$996:B2083))),"")</f>
        <v/>
      </c>
      <c r="L2083" s="27"/>
    </row>
    <row r="2084" customFormat="false" ht="13.8" hidden="false" customHeight="false" outlineLevel="0" collapsed="false">
      <c r="A2084" s="16"/>
      <c r="B2084" s="16"/>
      <c r="C2084" s="26"/>
      <c r="D2084" s="26"/>
      <c r="E2084" s="16"/>
      <c r="F2084" s="18"/>
      <c r="G2084" s="19" t="str">
        <f aca="true">IF(F2084="", "", DATEDIF(F2084, TODAY(), "Y"))</f>
        <v/>
      </c>
      <c r="H2084" s="28"/>
      <c r="I2084" s="28"/>
      <c r="J2084" s="24" t="str">
        <f aca="true">IF(ISBLANK(H2084), "", I2084-TODAY())</f>
        <v/>
      </c>
      <c r="K2084" s="24" t="str">
        <f aca="false" t="array" ref="K2084:K2084">IF(A2084&lt;&gt;"",IF(COUNTIF(A$996:A2085,"&lt;&gt;")=0,COUNTA(B$996:B2084),IFERROR(MATCH(TRUE(),INDEX((A$996:A2085&lt;&gt;""),0),0),COUNTA(B$996:B2084))),"")</f>
        <v/>
      </c>
      <c r="L2084" s="27"/>
    </row>
    <row r="2085" customFormat="false" ht="13.8" hidden="false" customHeight="false" outlineLevel="0" collapsed="false">
      <c r="A2085" s="16"/>
      <c r="B2085" s="16"/>
      <c r="C2085" s="26"/>
      <c r="D2085" s="26"/>
      <c r="E2085" s="16"/>
      <c r="F2085" s="18"/>
      <c r="G2085" s="19" t="str">
        <f aca="true">IF(F2085="", "", DATEDIF(F2085, TODAY(), "Y"))</f>
        <v/>
      </c>
      <c r="H2085" s="28"/>
      <c r="I2085" s="28"/>
      <c r="J2085" s="24" t="str">
        <f aca="true">IF(ISBLANK(H2085), "", I2085-TODAY())</f>
        <v/>
      </c>
      <c r="K2085" s="24" t="str">
        <f aca="false" t="array" ref="K2085:K2085">IF(A2085&lt;&gt;"",IF(COUNTIF(A$996:A2086,"&lt;&gt;")=0,COUNTA(B$996:B2085),IFERROR(MATCH(TRUE(),INDEX((A$996:A2086&lt;&gt;""),0),0),COUNTA(B$996:B2085))),"")</f>
        <v/>
      </c>
      <c r="L2085" s="27"/>
    </row>
    <row r="2086" customFormat="false" ht="13.8" hidden="false" customHeight="false" outlineLevel="0" collapsed="false">
      <c r="A2086" s="16"/>
      <c r="B2086" s="16"/>
      <c r="C2086" s="26"/>
      <c r="D2086" s="26"/>
      <c r="E2086" s="16"/>
      <c r="F2086" s="18"/>
      <c r="G2086" s="19" t="str">
        <f aca="true">IF(F2086="", "", DATEDIF(F2086, TODAY(), "Y"))</f>
        <v/>
      </c>
      <c r="H2086" s="28"/>
      <c r="I2086" s="28"/>
      <c r="J2086" s="24" t="str">
        <f aca="true">IF(ISBLANK(H2086), "", I2086-TODAY())</f>
        <v/>
      </c>
      <c r="K2086" s="24" t="str">
        <f aca="false" t="array" ref="K2086:K2086">IF(A2086&lt;&gt;"",IF(COUNTIF(A$996:A2087,"&lt;&gt;")=0,COUNTA(B$996:B2086),IFERROR(MATCH(TRUE(),INDEX((A$996:A2087&lt;&gt;""),0),0),COUNTA(B$996:B2086))),"")</f>
        <v/>
      </c>
      <c r="L2086" s="27"/>
    </row>
    <row r="2087" customFormat="false" ht="13.8" hidden="false" customHeight="false" outlineLevel="0" collapsed="false">
      <c r="A2087" s="16"/>
      <c r="B2087" s="16"/>
      <c r="C2087" s="26"/>
      <c r="D2087" s="26"/>
      <c r="E2087" s="16"/>
      <c r="F2087" s="18"/>
      <c r="G2087" s="19" t="str">
        <f aca="true">IF(F2087="", "", DATEDIF(F2087, TODAY(), "Y"))</f>
        <v/>
      </c>
      <c r="H2087" s="28"/>
      <c r="I2087" s="28"/>
      <c r="J2087" s="24" t="str">
        <f aca="true">IF(ISBLANK(H2087), "", I2087-TODAY())</f>
        <v/>
      </c>
      <c r="K2087" s="24" t="str">
        <f aca="false" t="array" ref="K2087:K2087">IF(A2087&lt;&gt;"",IF(COUNTIF(A$996:A2088,"&lt;&gt;")=0,COUNTA(B$996:B2087),IFERROR(MATCH(TRUE(),INDEX((A$996:A2088&lt;&gt;""),0),0),COUNTA(B$996:B2087))),"")</f>
        <v/>
      </c>
      <c r="L2087" s="27"/>
    </row>
    <row r="2088" customFormat="false" ht="13.8" hidden="false" customHeight="false" outlineLevel="0" collapsed="false">
      <c r="A2088" s="16"/>
      <c r="B2088" s="16"/>
      <c r="C2088" s="26"/>
      <c r="D2088" s="26"/>
      <c r="E2088" s="16"/>
      <c r="F2088" s="18"/>
      <c r="G2088" s="19" t="str">
        <f aca="true">IF(F2088="", "", DATEDIF(F2088, TODAY(), "Y"))</f>
        <v/>
      </c>
      <c r="H2088" s="28"/>
      <c r="I2088" s="28"/>
      <c r="J2088" s="24" t="str">
        <f aca="true">IF(ISBLANK(H2088), "", I2088-TODAY())</f>
        <v/>
      </c>
      <c r="K2088" s="24" t="str">
        <f aca="false" t="array" ref="K2088:K2088">IF(A2088&lt;&gt;"",IF(COUNTIF(A$996:A2089,"&lt;&gt;")=0,COUNTA(B$996:B2088),IFERROR(MATCH(TRUE(),INDEX((A$996:A2089&lt;&gt;""),0),0),COUNTA(B$996:B2088))),"")</f>
        <v/>
      </c>
      <c r="L2088" s="27"/>
    </row>
    <row r="2089" customFormat="false" ht="13.8" hidden="false" customHeight="false" outlineLevel="0" collapsed="false">
      <c r="A2089" s="16"/>
      <c r="B2089" s="16"/>
      <c r="C2089" s="26"/>
      <c r="D2089" s="26"/>
      <c r="E2089" s="16"/>
      <c r="F2089" s="18"/>
      <c r="G2089" s="19" t="str">
        <f aca="true">IF(F2089="", "", DATEDIF(F2089, TODAY(), "Y"))</f>
        <v/>
      </c>
      <c r="H2089" s="28"/>
      <c r="I2089" s="28"/>
      <c r="J2089" s="24" t="str">
        <f aca="true">IF(ISBLANK(H2089), "", I2089-TODAY())</f>
        <v/>
      </c>
      <c r="K2089" s="24" t="str">
        <f aca="false" t="array" ref="K2089:K2089">IF(A2089&lt;&gt;"",IF(COUNTIF(A$996:A2090,"&lt;&gt;")=0,COUNTA(B$996:B2089),IFERROR(MATCH(TRUE(),INDEX((A$996:A2090&lt;&gt;""),0),0),COUNTA(B$996:B2089))),"")</f>
        <v/>
      </c>
      <c r="L2089" s="27"/>
    </row>
    <row r="2090" customFormat="false" ht="13.8" hidden="false" customHeight="false" outlineLevel="0" collapsed="false">
      <c r="A2090" s="16"/>
      <c r="B2090" s="16"/>
      <c r="C2090" s="26"/>
      <c r="D2090" s="26"/>
      <c r="E2090" s="16"/>
      <c r="F2090" s="18"/>
      <c r="G2090" s="19" t="str">
        <f aca="true">IF(F2090="", "", DATEDIF(F2090, TODAY(), "Y"))</f>
        <v/>
      </c>
      <c r="H2090" s="28"/>
      <c r="I2090" s="28"/>
      <c r="J2090" s="24" t="str">
        <f aca="true">IF(ISBLANK(H2090), "", I2090-TODAY())</f>
        <v/>
      </c>
      <c r="K2090" s="24" t="str">
        <f aca="false" t="array" ref="K2090:K2090">IF(A2090&lt;&gt;"",IF(COUNTIF(A$996:A2091,"&lt;&gt;")=0,COUNTA(B$996:B2090),IFERROR(MATCH(TRUE(),INDEX((A$996:A2091&lt;&gt;""),0),0),COUNTA(B$996:B2090))),"")</f>
        <v/>
      </c>
      <c r="L2090" s="27"/>
    </row>
    <row r="2091" customFormat="false" ht="13.8" hidden="false" customHeight="false" outlineLevel="0" collapsed="false">
      <c r="A2091" s="16"/>
      <c r="B2091" s="16"/>
      <c r="C2091" s="26"/>
      <c r="D2091" s="26"/>
      <c r="E2091" s="16"/>
      <c r="F2091" s="18"/>
      <c r="G2091" s="19" t="str">
        <f aca="true">IF(F2091="", "", DATEDIF(F2091, TODAY(), "Y"))</f>
        <v/>
      </c>
      <c r="H2091" s="28"/>
      <c r="I2091" s="28"/>
      <c r="J2091" s="24" t="str">
        <f aca="true">IF(ISBLANK(H2091), "", I2091-TODAY())</f>
        <v/>
      </c>
      <c r="K2091" s="24" t="str">
        <f aca="false" t="array" ref="K2091:K2091">IF(A2091&lt;&gt;"",IF(COUNTIF(A$996:A2092,"&lt;&gt;")=0,COUNTA(B$996:B2091),IFERROR(MATCH(TRUE(),INDEX((A$996:A2092&lt;&gt;""),0),0),COUNTA(B$996:B2091))),"")</f>
        <v/>
      </c>
      <c r="L2091" s="27"/>
    </row>
    <row r="2092" customFormat="false" ht="13.8" hidden="false" customHeight="false" outlineLevel="0" collapsed="false">
      <c r="A2092" s="16"/>
      <c r="B2092" s="16"/>
      <c r="C2092" s="26"/>
      <c r="D2092" s="26"/>
      <c r="E2092" s="16"/>
      <c r="F2092" s="18"/>
      <c r="G2092" s="19" t="str">
        <f aca="true">IF(F2092="", "", DATEDIF(F2092, TODAY(), "Y"))</f>
        <v/>
      </c>
      <c r="H2092" s="28"/>
      <c r="I2092" s="28"/>
      <c r="J2092" s="24" t="str">
        <f aca="true">IF(ISBLANK(H2092), "", I2092-TODAY())</f>
        <v/>
      </c>
      <c r="K2092" s="24" t="str">
        <f aca="false" t="array" ref="K2092:K2092">IF(A2092&lt;&gt;"",IF(COUNTIF(A$996:A2093,"&lt;&gt;")=0,COUNTA(B$996:B2092),IFERROR(MATCH(TRUE(),INDEX((A$996:A2093&lt;&gt;""),0),0),COUNTA(B$996:B2092))),"")</f>
        <v/>
      </c>
      <c r="L2092" s="27"/>
    </row>
    <row r="2093" customFormat="false" ht="13.8" hidden="false" customHeight="false" outlineLevel="0" collapsed="false">
      <c r="A2093" s="16"/>
      <c r="B2093" s="16"/>
      <c r="C2093" s="26"/>
      <c r="D2093" s="26"/>
      <c r="E2093" s="16"/>
      <c r="F2093" s="18"/>
      <c r="G2093" s="19" t="str">
        <f aca="true">IF(F2093="", "", DATEDIF(F2093, TODAY(), "Y"))</f>
        <v/>
      </c>
      <c r="H2093" s="28"/>
      <c r="I2093" s="28"/>
      <c r="J2093" s="24" t="str">
        <f aca="true">IF(ISBLANK(H2093), "", I2093-TODAY())</f>
        <v/>
      </c>
      <c r="K2093" s="24" t="str">
        <f aca="false" t="array" ref="K2093:K2093">IF(A2093&lt;&gt;"",IF(COUNTIF(A$996:A2094,"&lt;&gt;")=0,COUNTA(B$996:B2093),IFERROR(MATCH(TRUE(),INDEX((A$996:A2094&lt;&gt;""),0),0),COUNTA(B$996:B2093))),"")</f>
        <v/>
      </c>
      <c r="L2093" s="27"/>
    </row>
    <row r="2094" customFormat="false" ht="13.8" hidden="false" customHeight="false" outlineLevel="0" collapsed="false">
      <c r="A2094" s="16"/>
      <c r="B2094" s="16"/>
      <c r="C2094" s="26"/>
      <c r="D2094" s="26"/>
      <c r="E2094" s="16"/>
      <c r="F2094" s="18"/>
      <c r="G2094" s="19" t="str">
        <f aca="true">IF(F2094="", "", DATEDIF(F2094, TODAY(), "Y"))</f>
        <v/>
      </c>
      <c r="H2094" s="28"/>
      <c r="I2094" s="28"/>
      <c r="J2094" s="24" t="str">
        <f aca="true">IF(ISBLANK(H2094), "", I2094-TODAY())</f>
        <v/>
      </c>
      <c r="K2094" s="24" t="str">
        <f aca="false" t="array" ref="K2094:K2094">IF(A2094&lt;&gt;"",IF(COUNTIF(A$996:A2095,"&lt;&gt;")=0,COUNTA(B$996:B2094),IFERROR(MATCH(TRUE(),INDEX((A$996:A2095&lt;&gt;""),0),0),COUNTA(B$996:B2094))),"")</f>
        <v/>
      </c>
      <c r="L2094" s="27"/>
    </row>
    <row r="2095" customFormat="false" ht="13.8" hidden="false" customHeight="false" outlineLevel="0" collapsed="false">
      <c r="A2095" s="16"/>
      <c r="B2095" s="16"/>
      <c r="C2095" s="26"/>
      <c r="D2095" s="26"/>
      <c r="E2095" s="16"/>
      <c r="F2095" s="18"/>
      <c r="G2095" s="19" t="str">
        <f aca="true">IF(F2095="", "", DATEDIF(F2095, TODAY(), "Y"))</f>
        <v/>
      </c>
      <c r="H2095" s="28"/>
      <c r="I2095" s="28"/>
      <c r="J2095" s="24" t="str">
        <f aca="true">IF(ISBLANK(H2095), "", I2095-TODAY())</f>
        <v/>
      </c>
      <c r="K2095" s="24" t="str">
        <f aca="false" t="array" ref="K2095:K2095">IF(A2095&lt;&gt;"",IF(COUNTIF(A$996:A2096,"&lt;&gt;")=0,COUNTA(B$996:B2095),IFERROR(MATCH(TRUE(),INDEX((A$996:A2096&lt;&gt;""),0),0),COUNTA(B$996:B2095))),"")</f>
        <v/>
      </c>
      <c r="L2095" s="27"/>
    </row>
    <row r="2096" customFormat="false" ht="13.8" hidden="false" customHeight="false" outlineLevel="0" collapsed="false">
      <c r="A2096" s="16"/>
      <c r="B2096" s="16"/>
      <c r="C2096" s="26"/>
      <c r="D2096" s="26"/>
      <c r="E2096" s="16"/>
      <c r="F2096" s="18"/>
      <c r="G2096" s="19" t="str">
        <f aca="true">IF(F2096="", "", DATEDIF(F2096, TODAY(), "Y"))</f>
        <v/>
      </c>
      <c r="H2096" s="28"/>
      <c r="I2096" s="28"/>
      <c r="J2096" s="24" t="str">
        <f aca="true">IF(ISBLANK(H2096), "", I2096-TODAY())</f>
        <v/>
      </c>
      <c r="K2096" s="24" t="str">
        <f aca="false" t="array" ref="K2096:K2096">IF(A2096&lt;&gt;"",IF(COUNTIF(A$996:A2097,"&lt;&gt;")=0,COUNTA(B$996:B2096),IFERROR(MATCH(TRUE(),INDEX((A$996:A2097&lt;&gt;""),0),0),COUNTA(B$996:B2096))),"")</f>
        <v/>
      </c>
      <c r="L2096" s="27"/>
    </row>
    <row r="2097" customFormat="false" ht="13.8" hidden="false" customHeight="false" outlineLevel="0" collapsed="false">
      <c r="A2097" s="16"/>
      <c r="B2097" s="16"/>
      <c r="C2097" s="26"/>
      <c r="D2097" s="26"/>
      <c r="E2097" s="16"/>
      <c r="F2097" s="18"/>
      <c r="G2097" s="19" t="str">
        <f aca="true">IF(F2097="", "", DATEDIF(F2097, TODAY(), "Y"))</f>
        <v/>
      </c>
      <c r="H2097" s="28"/>
      <c r="I2097" s="28"/>
      <c r="J2097" s="24" t="str">
        <f aca="true">IF(ISBLANK(H2097), "", I2097-TODAY())</f>
        <v/>
      </c>
      <c r="K2097" s="24" t="str">
        <f aca="false" t="array" ref="K2097:K2097">IF(A2097&lt;&gt;"",IF(COUNTIF(A$996:A2098,"&lt;&gt;")=0,COUNTA(B$996:B2097),IFERROR(MATCH(TRUE(),INDEX((A$996:A2098&lt;&gt;""),0),0),COUNTA(B$996:B2097))),"")</f>
        <v/>
      </c>
      <c r="L2097" s="27"/>
    </row>
    <row r="2098" customFormat="false" ht="13.8" hidden="false" customHeight="false" outlineLevel="0" collapsed="false">
      <c r="A2098" s="16"/>
      <c r="B2098" s="16"/>
      <c r="C2098" s="26"/>
      <c r="D2098" s="26"/>
      <c r="E2098" s="16"/>
      <c r="F2098" s="18"/>
      <c r="G2098" s="19" t="str">
        <f aca="true">IF(F2098="", "", DATEDIF(F2098, TODAY(), "Y"))</f>
        <v/>
      </c>
      <c r="H2098" s="28"/>
      <c r="I2098" s="28"/>
      <c r="J2098" s="24" t="str">
        <f aca="true">IF(ISBLANK(H2098), "", I2098-TODAY())</f>
        <v/>
      </c>
      <c r="K2098" s="24" t="str">
        <f aca="false" t="array" ref="K2098:K2098">IF(A2098&lt;&gt;"",IF(COUNTIF(A$996:A2099,"&lt;&gt;")=0,COUNTA(B$996:B2098),IFERROR(MATCH(TRUE(),INDEX((A$996:A2099&lt;&gt;""),0),0),COUNTA(B$996:B2098))),"")</f>
        <v/>
      </c>
      <c r="L2098" s="27"/>
    </row>
    <row r="2099" customFormat="false" ht="13.8" hidden="false" customHeight="false" outlineLevel="0" collapsed="false">
      <c r="A2099" s="16"/>
      <c r="B2099" s="16"/>
      <c r="C2099" s="26"/>
      <c r="D2099" s="26"/>
      <c r="E2099" s="16"/>
      <c r="F2099" s="18"/>
      <c r="G2099" s="19" t="str">
        <f aca="true">IF(F2099="", "", DATEDIF(F2099, TODAY(), "Y"))</f>
        <v/>
      </c>
      <c r="H2099" s="28"/>
      <c r="I2099" s="28"/>
      <c r="J2099" s="24" t="str">
        <f aca="true">IF(ISBLANK(H2099), "", I2099-TODAY())</f>
        <v/>
      </c>
      <c r="K2099" s="24" t="str">
        <f aca="false" t="array" ref="K2099:K2099">IF(A2099&lt;&gt;"",IF(COUNTIF(A$996:A2100,"&lt;&gt;")=0,COUNTA(B$996:B2099),IFERROR(MATCH(TRUE(),INDEX((A$996:A2100&lt;&gt;""),0),0),COUNTA(B$996:B2099))),"")</f>
        <v/>
      </c>
      <c r="L2099" s="27"/>
    </row>
    <row r="2100" customFormat="false" ht="13.8" hidden="false" customHeight="false" outlineLevel="0" collapsed="false">
      <c r="A2100" s="16"/>
      <c r="B2100" s="16"/>
      <c r="C2100" s="26"/>
      <c r="D2100" s="26"/>
      <c r="E2100" s="16"/>
      <c r="F2100" s="18"/>
      <c r="G2100" s="19" t="str">
        <f aca="true">IF(F2100="", "", DATEDIF(F2100, TODAY(), "Y"))</f>
        <v/>
      </c>
      <c r="H2100" s="28"/>
      <c r="I2100" s="28"/>
      <c r="J2100" s="24" t="str">
        <f aca="true">IF(ISBLANK(H2100), "", I2100-TODAY())</f>
        <v/>
      </c>
      <c r="K2100" s="24" t="str">
        <f aca="false" t="array" ref="K2100:K2100">IF(A2100&lt;&gt;"",IF(COUNTIF(A$996:A2101,"&lt;&gt;")=0,COUNTA(B$996:B2100),IFERROR(MATCH(TRUE(),INDEX((A$996:A2101&lt;&gt;""),0),0),COUNTA(B$996:B2100))),"")</f>
        <v/>
      </c>
      <c r="L2100" s="27"/>
    </row>
    <row r="2101" customFormat="false" ht="13.8" hidden="false" customHeight="false" outlineLevel="0" collapsed="false">
      <c r="A2101" s="16"/>
      <c r="B2101" s="16"/>
      <c r="C2101" s="26"/>
      <c r="D2101" s="26"/>
      <c r="E2101" s="16"/>
      <c r="F2101" s="18"/>
      <c r="G2101" s="19" t="str">
        <f aca="true">IF(F2101="", "", DATEDIF(F2101, TODAY(), "Y"))</f>
        <v/>
      </c>
      <c r="H2101" s="28"/>
      <c r="I2101" s="28"/>
      <c r="J2101" s="24" t="str">
        <f aca="true">IF(ISBLANK(H2101), "", I2101-TODAY())</f>
        <v/>
      </c>
      <c r="K2101" s="24" t="str">
        <f aca="false" t="array" ref="K2101:K2101">IF(A2101&lt;&gt;"",IF(COUNTIF(A$996:A2102,"&lt;&gt;")=0,COUNTA(B$996:B2101),IFERROR(MATCH(TRUE(),INDEX((A$996:A2102&lt;&gt;""),0),0),COUNTA(B$996:B2101))),"")</f>
        <v/>
      </c>
      <c r="L2101" s="27"/>
    </row>
    <row r="2102" customFormat="false" ht="13.8" hidden="false" customHeight="false" outlineLevel="0" collapsed="false">
      <c r="A2102" s="16"/>
      <c r="B2102" s="16"/>
      <c r="C2102" s="26"/>
      <c r="D2102" s="26"/>
      <c r="E2102" s="16"/>
      <c r="F2102" s="18"/>
      <c r="G2102" s="19" t="str">
        <f aca="true">IF(F2102="", "", DATEDIF(F2102, TODAY(), "Y"))</f>
        <v/>
      </c>
      <c r="H2102" s="28"/>
      <c r="I2102" s="28"/>
      <c r="J2102" s="24" t="str">
        <f aca="true">IF(ISBLANK(H2102), "", I2102-TODAY())</f>
        <v/>
      </c>
      <c r="K2102" s="24" t="str">
        <f aca="false" t="array" ref="K2102:K2102">IF(A2102&lt;&gt;"",IF(COUNTIF(A$996:A2103,"&lt;&gt;")=0,COUNTA(B$996:B2102),IFERROR(MATCH(TRUE(),INDEX((A$996:A2103&lt;&gt;""),0),0),COUNTA(B$996:B2102))),"")</f>
        <v/>
      </c>
      <c r="L2102" s="27"/>
    </row>
    <row r="2103" customFormat="false" ht="13.8" hidden="false" customHeight="false" outlineLevel="0" collapsed="false">
      <c r="A2103" s="16"/>
      <c r="B2103" s="16"/>
      <c r="C2103" s="26"/>
      <c r="D2103" s="26"/>
      <c r="E2103" s="16"/>
      <c r="F2103" s="18"/>
      <c r="G2103" s="19" t="str">
        <f aca="true">IF(F2103="", "", DATEDIF(F2103, TODAY(), "Y"))</f>
        <v/>
      </c>
      <c r="H2103" s="28"/>
      <c r="I2103" s="28"/>
      <c r="J2103" s="24" t="str">
        <f aca="true">IF(ISBLANK(H2103), "", I2103-TODAY())</f>
        <v/>
      </c>
      <c r="K2103" s="24" t="str">
        <f aca="false" t="array" ref="K2103:K2103">IF(A2103&lt;&gt;"",IF(COUNTIF(A$996:A2104,"&lt;&gt;")=0,COUNTA(B$996:B2103),IFERROR(MATCH(TRUE(),INDEX((A$996:A2104&lt;&gt;""),0),0),COUNTA(B$996:B2103))),"")</f>
        <v/>
      </c>
      <c r="L2103" s="27"/>
    </row>
    <row r="2104" customFormat="false" ht="13.8" hidden="false" customHeight="false" outlineLevel="0" collapsed="false">
      <c r="A2104" s="16"/>
      <c r="B2104" s="16"/>
      <c r="C2104" s="26"/>
      <c r="D2104" s="26"/>
      <c r="E2104" s="16"/>
      <c r="F2104" s="18"/>
      <c r="G2104" s="19" t="str">
        <f aca="true">IF(F2104="", "", DATEDIF(F2104, TODAY(), "Y"))</f>
        <v/>
      </c>
      <c r="H2104" s="28"/>
      <c r="I2104" s="28"/>
      <c r="J2104" s="24" t="str">
        <f aca="true">IF(ISBLANK(H2104), "", I2104-TODAY())</f>
        <v/>
      </c>
      <c r="K2104" s="24" t="str">
        <f aca="false" t="array" ref="K2104:K2104">IF(A2104&lt;&gt;"",IF(COUNTIF(A$996:A2105,"&lt;&gt;")=0,COUNTA(B$996:B2104),IFERROR(MATCH(TRUE(),INDEX((A$996:A2105&lt;&gt;""),0),0),COUNTA(B$996:B2104))),"")</f>
        <v/>
      </c>
      <c r="L2104" s="27"/>
    </row>
    <row r="2105" customFormat="false" ht="13.8" hidden="false" customHeight="false" outlineLevel="0" collapsed="false">
      <c r="A2105" s="16"/>
      <c r="B2105" s="16"/>
      <c r="C2105" s="26"/>
      <c r="D2105" s="26"/>
      <c r="E2105" s="16"/>
      <c r="F2105" s="18"/>
      <c r="G2105" s="19" t="str">
        <f aca="true">IF(F2105="", "", DATEDIF(F2105, TODAY(), "Y"))</f>
        <v/>
      </c>
      <c r="H2105" s="28"/>
      <c r="I2105" s="28"/>
      <c r="J2105" s="24" t="str">
        <f aca="true">IF(ISBLANK(H2105), "", I2105-TODAY())</f>
        <v/>
      </c>
      <c r="K2105" s="24" t="str">
        <f aca="false" t="array" ref="K2105:K2105">IF(A2105&lt;&gt;"",IF(COUNTIF(A$996:A2106,"&lt;&gt;")=0,COUNTA(B$996:B2105),IFERROR(MATCH(TRUE(),INDEX((A$996:A2106&lt;&gt;""),0),0),COUNTA(B$996:B2105))),"")</f>
        <v/>
      </c>
      <c r="L2105" s="27"/>
    </row>
    <row r="2106" customFormat="false" ht="13.8" hidden="false" customHeight="false" outlineLevel="0" collapsed="false">
      <c r="A2106" s="16"/>
      <c r="B2106" s="16"/>
      <c r="C2106" s="26"/>
      <c r="D2106" s="26"/>
      <c r="E2106" s="16"/>
      <c r="F2106" s="18"/>
      <c r="G2106" s="19" t="str">
        <f aca="true">IF(F2106="", "", DATEDIF(F2106, TODAY(), "Y"))</f>
        <v/>
      </c>
      <c r="H2106" s="28"/>
      <c r="I2106" s="28"/>
      <c r="J2106" s="24" t="str">
        <f aca="true">IF(ISBLANK(H2106), "", I2106-TODAY())</f>
        <v/>
      </c>
      <c r="K2106" s="24" t="str">
        <f aca="false" t="array" ref="K2106:K2106">IF(A2106&lt;&gt;"",IF(COUNTIF(A$996:A2107,"&lt;&gt;")=0,COUNTA(B$996:B2106),IFERROR(MATCH(TRUE(),INDEX((A$996:A2107&lt;&gt;""),0),0),COUNTA(B$996:B2106))),"")</f>
        <v/>
      </c>
      <c r="L2106" s="27"/>
    </row>
    <row r="2107" customFormat="false" ht="13.8" hidden="false" customHeight="false" outlineLevel="0" collapsed="false">
      <c r="A2107" s="16"/>
      <c r="B2107" s="16"/>
      <c r="C2107" s="26"/>
      <c r="D2107" s="26"/>
      <c r="E2107" s="16"/>
      <c r="F2107" s="18"/>
      <c r="G2107" s="19" t="str">
        <f aca="true">IF(F2107="", "", DATEDIF(F2107, TODAY(), "Y"))</f>
        <v/>
      </c>
      <c r="H2107" s="28"/>
      <c r="I2107" s="28"/>
      <c r="J2107" s="24" t="str">
        <f aca="true">IF(ISBLANK(H2107), "", I2107-TODAY())</f>
        <v/>
      </c>
      <c r="K2107" s="24" t="str">
        <f aca="false" t="array" ref="K2107:K2107">IF(A2107&lt;&gt;"",IF(COUNTIF(A$996:A2108,"&lt;&gt;")=0,COUNTA(B$996:B2107),IFERROR(MATCH(TRUE(),INDEX((A$996:A2108&lt;&gt;""),0),0),COUNTA(B$996:B2107))),"")</f>
        <v/>
      </c>
      <c r="L2107" s="27"/>
    </row>
    <row r="2108" customFormat="false" ht="13.8" hidden="false" customHeight="false" outlineLevel="0" collapsed="false">
      <c r="A2108" s="16"/>
      <c r="B2108" s="16"/>
      <c r="C2108" s="26"/>
      <c r="D2108" s="26"/>
      <c r="E2108" s="16"/>
      <c r="F2108" s="18"/>
      <c r="G2108" s="19" t="str">
        <f aca="true">IF(F2108="", "", DATEDIF(F2108, TODAY(), "Y"))</f>
        <v/>
      </c>
      <c r="H2108" s="28"/>
      <c r="I2108" s="28"/>
      <c r="J2108" s="24" t="str">
        <f aca="true">IF(ISBLANK(H2108), "", I2108-TODAY())</f>
        <v/>
      </c>
      <c r="K2108" s="24" t="str">
        <f aca="false" t="array" ref="K2108:K2108">IF(A2108&lt;&gt;"",IF(COUNTIF(A$996:A2109,"&lt;&gt;")=0,COUNTA(B$996:B2108),IFERROR(MATCH(TRUE(),INDEX((A$996:A2109&lt;&gt;""),0),0),COUNTA(B$996:B2108))),"")</f>
        <v/>
      </c>
      <c r="L2108" s="27"/>
    </row>
    <row r="2109" customFormat="false" ht="13.8" hidden="false" customHeight="false" outlineLevel="0" collapsed="false">
      <c r="A2109" s="16"/>
      <c r="B2109" s="16"/>
      <c r="C2109" s="26"/>
      <c r="D2109" s="26"/>
      <c r="E2109" s="16"/>
      <c r="F2109" s="18"/>
      <c r="G2109" s="19" t="str">
        <f aca="true">IF(F2109="", "", DATEDIF(F2109, TODAY(), "Y"))</f>
        <v/>
      </c>
      <c r="H2109" s="28"/>
      <c r="I2109" s="28"/>
      <c r="J2109" s="24" t="str">
        <f aca="true">IF(ISBLANK(H2109), "", I2109-TODAY())</f>
        <v/>
      </c>
      <c r="K2109" s="24" t="str">
        <f aca="false" t="array" ref="K2109:K2109">IF(A2109&lt;&gt;"",IF(COUNTIF(A$996:A2110,"&lt;&gt;")=0,COUNTA(B$996:B2109),IFERROR(MATCH(TRUE(),INDEX((A$996:A2110&lt;&gt;""),0),0),COUNTA(B$996:B2109))),"")</f>
        <v/>
      </c>
      <c r="L2109" s="27"/>
    </row>
    <row r="2110" customFormat="false" ht="13.8" hidden="false" customHeight="false" outlineLevel="0" collapsed="false">
      <c r="A2110" s="16"/>
      <c r="B2110" s="16"/>
      <c r="C2110" s="26"/>
      <c r="D2110" s="26"/>
      <c r="E2110" s="16"/>
      <c r="F2110" s="18"/>
      <c r="G2110" s="19" t="str">
        <f aca="true">IF(F2110="", "", DATEDIF(F2110, TODAY(), "Y"))</f>
        <v/>
      </c>
      <c r="H2110" s="28"/>
      <c r="I2110" s="28"/>
      <c r="J2110" s="24" t="str">
        <f aca="true">IF(ISBLANK(H2110), "", I2110-TODAY())</f>
        <v/>
      </c>
      <c r="K2110" s="24" t="str">
        <f aca="false" t="array" ref="K2110:K2110">IF(A2110&lt;&gt;"",IF(COUNTIF(A$996:A2111,"&lt;&gt;")=0,COUNTA(B$996:B2110),IFERROR(MATCH(TRUE(),INDEX((A$996:A2111&lt;&gt;""),0),0),COUNTA(B$996:B2110))),"")</f>
        <v/>
      </c>
      <c r="L2110" s="27"/>
    </row>
    <row r="2111" customFormat="false" ht="13.8" hidden="false" customHeight="false" outlineLevel="0" collapsed="false">
      <c r="A2111" s="16"/>
      <c r="B2111" s="16"/>
      <c r="C2111" s="26"/>
      <c r="D2111" s="26"/>
      <c r="E2111" s="16"/>
      <c r="F2111" s="18"/>
      <c r="G2111" s="19" t="str">
        <f aca="true">IF(F2111="", "", DATEDIF(F2111, TODAY(), "Y"))</f>
        <v/>
      </c>
      <c r="H2111" s="28"/>
      <c r="I2111" s="28"/>
      <c r="J2111" s="24" t="str">
        <f aca="true">IF(ISBLANK(H2111), "", I2111-TODAY())</f>
        <v/>
      </c>
      <c r="K2111" s="24" t="str">
        <f aca="false" t="array" ref="K2111:K2111">IF(A2111&lt;&gt;"",IF(COUNTIF(A$996:A2112,"&lt;&gt;")=0,COUNTA(B$996:B2111),IFERROR(MATCH(TRUE(),INDEX((A$996:A2112&lt;&gt;""),0),0),COUNTA(B$996:B2111))),"")</f>
        <v/>
      </c>
      <c r="L2111" s="27"/>
    </row>
    <row r="2112" customFormat="false" ht="13.8" hidden="false" customHeight="false" outlineLevel="0" collapsed="false">
      <c r="A2112" s="16"/>
      <c r="B2112" s="16"/>
      <c r="C2112" s="26"/>
      <c r="D2112" s="26"/>
      <c r="E2112" s="16"/>
      <c r="F2112" s="18"/>
      <c r="G2112" s="19" t="str">
        <f aca="true">IF(F2112="", "", DATEDIF(F2112, TODAY(), "Y"))</f>
        <v/>
      </c>
      <c r="H2112" s="28"/>
      <c r="I2112" s="28"/>
      <c r="J2112" s="24" t="str">
        <f aca="true">IF(ISBLANK(H2112), "", I2112-TODAY())</f>
        <v/>
      </c>
      <c r="K2112" s="24" t="str">
        <f aca="false" t="array" ref="K2112:K2112">IF(A2112&lt;&gt;"",IF(COUNTIF(A$996:A2113,"&lt;&gt;")=0,COUNTA(B$996:B2112),IFERROR(MATCH(TRUE(),INDEX((A$996:A2113&lt;&gt;""),0),0),COUNTA(B$996:B2112))),"")</f>
        <v/>
      </c>
      <c r="L2112" s="27"/>
    </row>
    <row r="2113" customFormat="false" ht="13.8" hidden="false" customHeight="false" outlineLevel="0" collapsed="false">
      <c r="A2113" s="16"/>
      <c r="B2113" s="16"/>
      <c r="C2113" s="26"/>
      <c r="D2113" s="26"/>
      <c r="E2113" s="16"/>
      <c r="F2113" s="18"/>
      <c r="G2113" s="19" t="str">
        <f aca="true">IF(F2113="", "", DATEDIF(F2113, TODAY(), "Y"))</f>
        <v/>
      </c>
      <c r="H2113" s="28"/>
      <c r="I2113" s="28"/>
      <c r="J2113" s="24" t="str">
        <f aca="true">IF(ISBLANK(H2113), "", I2113-TODAY())</f>
        <v/>
      </c>
      <c r="K2113" s="24" t="str">
        <f aca="false" t="array" ref="K2113:K2113">IF(A2113&lt;&gt;"",IF(COUNTIF(A$996:A2114,"&lt;&gt;")=0,COUNTA(B$996:B2113),IFERROR(MATCH(TRUE(),INDEX((A$996:A2114&lt;&gt;""),0),0),COUNTA(B$996:B2113))),"")</f>
        <v/>
      </c>
      <c r="L2113" s="27"/>
    </row>
    <row r="2114" customFormat="false" ht="13.8" hidden="false" customHeight="false" outlineLevel="0" collapsed="false">
      <c r="A2114" s="16"/>
      <c r="B2114" s="16"/>
      <c r="C2114" s="26"/>
      <c r="D2114" s="26"/>
      <c r="E2114" s="16"/>
      <c r="F2114" s="18"/>
      <c r="G2114" s="19" t="str">
        <f aca="true">IF(F2114="", "", DATEDIF(F2114, TODAY(), "Y"))</f>
        <v/>
      </c>
      <c r="H2114" s="28"/>
      <c r="I2114" s="28"/>
      <c r="J2114" s="24" t="str">
        <f aca="true">IF(ISBLANK(H2114), "", I2114-TODAY())</f>
        <v/>
      </c>
      <c r="K2114" s="24" t="str">
        <f aca="false" t="array" ref="K2114:K2114">IF(A2114&lt;&gt;"",IF(COUNTIF(A$996:A2115,"&lt;&gt;")=0,COUNTA(B$996:B2114),IFERROR(MATCH(TRUE(),INDEX((A$996:A2115&lt;&gt;""),0),0),COUNTA(B$996:B2114))),"")</f>
        <v/>
      </c>
      <c r="L2114" s="27"/>
    </row>
    <row r="2115" customFormat="false" ht="13.8" hidden="false" customHeight="false" outlineLevel="0" collapsed="false">
      <c r="A2115" s="16"/>
      <c r="B2115" s="16"/>
      <c r="C2115" s="26"/>
      <c r="D2115" s="26"/>
      <c r="E2115" s="16"/>
      <c r="F2115" s="18"/>
      <c r="G2115" s="19" t="str">
        <f aca="true">IF(F2115="", "", DATEDIF(F2115, TODAY(), "Y"))</f>
        <v/>
      </c>
      <c r="H2115" s="28"/>
      <c r="I2115" s="28"/>
      <c r="J2115" s="24" t="str">
        <f aca="true">IF(ISBLANK(H2115), "", I2115-TODAY())</f>
        <v/>
      </c>
      <c r="K2115" s="24" t="str">
        <f aca="false" t="array" ref="K2115:K2115">IF(A2115&lt;&gt;"",IF(COUNTIF(A$996:A2116,"&lt;&gt;")=0,COUNTA(B$996:B2115),IFERROR(MATCH(TRUE(),INDEX((A$996:A2116&lt;&gt;""),0),0),COUNTA(B$996:B2115))),"")</f>
        <v/>
      </c>
      <c r="L2115" s="27"/>
    </row>
    <row r="2116" customFormat="false" ht="13.8" hidden="false" customHeight="false" outlineLevel="0" collapsed="false">
      <c r="A2116" s="16"/>
      <c r="B2116" s="16"/>
      <c r="C2116" s="26"/>
      <c r="D2116" s="26"/>
      <c r="E2116" s="16"/>
      <c r="F2116" s="18"/>
      <c r="G2116" s="19" t="str">
        <f aca="true">IF(F2116="", "", DATEDIF(F2116, TODAY(), "Y"))</f>
        <v/>
      </c>
      <c r="H2116" s="28"/>
      <c r="I2116" s="28"/>
      <c r="J2116" s="24" t="str">
        <f aca="true">IF(ISBLANK(H2116), "", I2116-TODAY())</f>
        <v/>
      </c>
      <c r="K2116" s="24" t="str">
        <f aca="false" t="array" ref="K2116:K2116">IF(A2116&lt;&gt;"",IF(COUNTIF(A$996:A2117,"&lt;&gt;")=0,COUNTA(B$996:B2116),IFERROR(MATCH(TRUE(),INDEX((A$996:A2117&lt;&gt;""),0),0),COUNTA(B$996:B2116))),"")</f>
        <v/>
      </c>
      <c r="L2116" s="27"/>
    </row>
    <row r="2117" customFormat="false" ht="13.8" hidden="false" customHeight="false" outlineLevel="0" collapsed="false">
      <c r="A2117" s="16"/>
      <c r="B2117" s="16"/>
      <c r="C2117" s="26"/>
      <c r="D2117" s="26"/>
      <c r="E2117" s="16"/>
      <c r="F2117" s="18"/>
      <c r="G2117" s="19" t="str">
        <f aca="true">IF(F2117="", "", DATEDIF(F2117, TODAY(), "Y"))</f>
        <v/>
      </c>
      <c r="H2117" s="28"/>
      <c r="I2117" s="28"/>
      <c r="J2117" s="24" t="str">
        <f aca="true">IF(ISBLANK(H2117), "", I2117-TODAY())</f>
        <v/>
      </c>
      <c r="K2117" s="24" t="str">
        <f aca="false" t="array" ref="K2117:K2117">IF(A2117&lt;&gt;"",IF(COUNTIF(A$996:A2118,"&lt;&gt;")=0,COUNTA(B$996:B2117),IFERROR(MATCH(TRUE(),INDEX((A$996:A2118&lt;&gt;""),0),0),COUNTA(B$996:B2117))),"")</f>
        <v/>
      </c>
      <c r="L2117" s="27"/>
    </row>
    <row r="2118" customFormat="false" ht="13.8" hidden="false" customHeight="false" outlineLevel="0" collapsed="false">
      <c r="A2118" s="16"/>
      <c r="B2118" s="16"/>
      <c r="C2118" s="26"/>
      <c r="D2118" s="26"/>
      <c r="E2118" s="16"/>
      <c r="F2118" s="18"/>
      <c r="G2118" s="19" t="str">
        <f aca="true">IF(F2118="", "", DATEDIF(F2118, TODAY(), "Y"))</f>
        <v/>
      </c>
      <c r="H2118" s="28"/>
      <c r="I2118" s="28"/>
      <c r="J2118" s="24" t="str">
        <f aca="true">IF(ISBLANK(H2118), "", I2118-TODAY())</f>
        <v/>
      </c>
      <c r="K2118" s="24" t="str">
        <f aca="false" t="array" ref="K2118:K2118">IF(A2118&lt;&gt;"",IF(COUNTIF(A$996:A2119,"&lt;&gt;")=0,COUNTA(B$996:B2118),IFERROR(MATCH(TRUE(),INDEX((A$996:A2119&lt;&gt;""),0),0),COUNTA(B$996:B2118))),"")</f>
        <v/>
      </c>
      <c r="L2118" s="27"/>
    </row>
    <row r="2119" customFormat="false" ht="13.8" hidden="false" customHeight="false" outlineLevel="0" collapsed="false">
      <c r="A2119" s="16"/>
      <c r="B2119" s="16"/>
      <c r="C2119" s="26"/>
      <c r="D2119" s="26"/>
      <c r="E2119" s="16"/>
      <c r="F2119" s="18"/>
      <c r="G2119" s="19" t="str">
        <f aca="true">IF(F2119="", "", DATEDIF(F2119, TODAY(), "Y"))</f>
        <v/>
      </c>
      <c r="H2119" s="28"/>
      <c r="I2119" s="28"/>
      <c r="J2119" s="24" t="str">
        <f aca="true">IF(ISBLANK(H2119), "", I2119-TODAY())</f>
        <v/>
      </c>
      <c r="K2119" s="24" t="str">
        <f aca="false" t="array" ref="K2119:K2119">IF(A2119&lt;&gt;"",IF(COUNTIF(A$996:A2120,"&lt;&gt;")=0,COUNTA(B$996:B2119),IFERROR(MATCH(TRUE(),INDEX((A$996:A2120&lt;&gt;""),0),0),COUNTA(B$996:B2119))),"")</f>
        <v/>
      </c>
      <c r="L2119" s="27"/>
    </row>
    <row r="2120" customFormat="false" ht="13.8" hidden="false" customHeight="false" outlineLevel="0" collapsed="false">
      <c r="A2120" s="16"/>
      <c r="B2120" s="16"/>
      <c r="C2120" s="26"/>
      <c r="D2120" s="26"/>
      <c r="E2120" s="16"/>
      <c r="F2120" s="18"/>
      <c r="G2120" s="19" t="str">
        <f aca="true">IF(F2120="", "", DATEDIF(F2120, TODAY(), "Y"))</f>
        <v/>
      </c>
      <c r="H2120" s="28"/>
      <c r="I2120" s="28"/>
      <c r="J2120" s="24" t="str">
        <f aca="true">IF(ISBLANK(H2120), "", I2120-TODAY())</f>
        <v/>
      </c>
      <c r="K2120" s="24" t="str">
        <f aca="false" t="array" ref="K2120:K2120">IF(A2120&lt;&gt;"",IF(COUNTIF(A$996:A2121,"&lt;&gt;")=0,COUNTA(B$996:B2120),IFERROR(MATCH(TRUE(),INDEX((A$996:A2121&lt;&gt;""),0),0),COUNTA(B$996:B2120))),"")</f>
        <v/>
      </c>
      <c r="L2120" s="27"/>
    </row>
    <row r="2121" customFormat="false" ht="13.8" hidden="false" customHeight="false" outlineLevel="0" collapsed="false">
      <c r="A2121" s="16"/>
      <c r="B2121" s="16"/>
      <c r="C2121" s="26"/>
      <c r="D2121" s="26"/>
      <c r="E2121" s="16"/>
      <c r="F2121" s="18"/>
      <c r="G2121" s="19" t="str">
        <f aca="true">IF(F2121="", "", DATEDIF(F2121, TODAY(), "Y"))</f>
        <v/>
      </c>
      <c r="H2121" s="28"/>
      <c r="I2121" s="28"/>
      <c r="J2121" s="24" t="str">
        <f aca="true">IF(ISBLANK(H2121), "", I2121-TODAY())</f>
        <v/>
      </c>
      <c r="K2121" s="24" t="str">
        <f aca="false" t="array" ref="K2121:K2121">IF(A2121&lt;&gt;"",IF(COUNTIF(A$996:A2122,"&lt;&gt;")=0,COUNTA(B$996:B2121),IFERROR(MATCH(TRUE(),INDEX((A$996:A2122&lt;&gt;""),0),0),COUNTA(B$996:B2121))),"")</f>
        <v/>
      </c>
      <c r="L2121" s="27"/>
    </row>
    <row r="2122" customFormat="false" ht="13.8" hidden="false" customHeight="false" outlineLevel="0" collapsed="false">
      <c r="A2122" s="16"/>
      <c r="B2122" s="16"/>
      <c r="C2122" s="26"/>
      <c r="D2122" s="26"/>
      <c r="E2122" s="16"/>
      <c r="F2122" s="18"/>
      <c r="G2122" s="19" t="str">
        <f aca="true">IF(F2122="", "", DATEDIF(F2122, TODAY(), "Y"))</f>
        <v/>
      </c>
      <c r="H2122" s="28"/>
      <c r="I2122" s="28"/>
      <c r="J2122" s="24" t="str">
        <f aca="true">IF(ISBLANK(H2122), "", I2122-TODAY())</f>
        <v/>
      </c>
      <c r="K2122" s="24" t="str">
        <f aca="false" t="array" ref="K2122:K2122">IF(A2122&lt;&gt;"",IF(COUNTIF(A$996:A2123,"&lt;&gt;")=0,COUNTA(B$996:B2122),IFERROR(MATCH(TRUE(),INDEX((A$996:A2123&lt;&gt;""),0),0),COUNTA(B$996:B2122))),"")</f>
        <v/>
      </c>
      <c r="L2122" s="27"/>
    </row>
    <row r="2123" customFormat="false" ht="13.8" hidden="false" customHeight="false" outlineLevel="0" collapsed="false">
      <c r="A2123" s="16"/>
      <c r="B2123" s="16"/>
      <c r="C2123" s="26"/>
      <c r="D2123" s="26"/>
      <c r="E2123" s="16"/>
      <c r="F2123" s="18"/>
      <c r="G2123" s="19" t="str">
        <f aca="true">IF(F2123="", "", DATEDIF(F2123, TODAY(), "Y"))</f>
        <v/>
      </c>
      <c r="H2123" s="28"/>
      <c r="I2123" s="28"/>
      <c r="J2123" s="24" t="str">
        <f aca="true">IF(ISBLANK(H2123), "", I2123-TODAY())</f>
        <v/>
      </c>
      <c r="K2123" s="24" t="str">
        <f aca="false" t="array" ref="K2123:K2123">IF(A2123&lt;&gt;"",IF(COUNTIF(A$996:A2124,"&lt;&gt;")=0,COUNTA(B$996:B2123),IFERROR(MATCH(TRUE(),INDEX((A$996:A2124&lt;&gt;""),0),0),COUNTA(B$996:B2123))),"")</f>
        <v/>
      </c>
      <c r="L2123" s="27"/>
    </row>
    <row r="2124" customFormat="false" ht="13.8" hidden="false" customHeight="false" outlineLevel="0" collapsed="false">
      <c r="A2124" s="16"/>
      <c r="B2124" s="16"/>
      <c r="C2124" s="26"/>
      <c r="D2124" s="26"/>
      <c r="E2124" s="16"/>
      <c r="F2124" s="18"/>
      <c r="G2124" s="19" t="str">
        <f aca="true">IF(F2124="", "", DATEDIF(F2124, TODAY(), "Y"))</f>
        <v/>
      </c>
      <c r="H2124" s="28"/>
      <c r="I2124" s="28"/>
      <c r="J2124" s="24" t="str">
        <f aca="true">IF(ISBLANK(H2124), "", I2124-TODAY())</f>
        <v/>
      </c>
      <c r="K2124" s="24" t="str">
        <f aca="false" t="array" ref="K2124:K2124">IF(A2124&lt;&gt;"",IF(COUNTIF(A$996:A2125,"&lt;&gt;")=0,COUNTA(B$996:B2124),IFERROR(MATCH(TRUE(),INDEX((A$996:A2125&lt;&gt;""),0),0),COUNTA(B$996:B2124))),"")</f>
        <v/>
      </c>
      <c r="L2124" s="27"/>
    </row>
    <row r="2125" customFormat="false" ht="13.8" hidden="false" customHeight="false" outlineLevel="0" collapsed="false">
      <c r="A2125" s="16"/>
      <c r="B2125" s="16"/>
      <c r="C2125" s="26"/>
      <c r="D2125" s="26"/>
      <c r="E2125" s="16"/>
      <c r="F2125" s="18"/>
      <c r="G2125" s="19" t="str">
        <f aca="true">IF(F2125="", "", DATEDIF(F2125, TODAY(), "Y"))</f>
        <v/>
      </c>
      <c r="H2125" s="28"/>
      <c r="I2125" s="28"/>
      <c r="J2125" s="24" t="str">
        <f aca="true">IF(ISBLANK(H2125), "", I2125-TODAY())</f>
        <v/>
      </c>
      <c r="K2125" s="24" t="str">
        <f aca="false" t="array" ref="K2125:K2125">IF(A2125&lt;&gt;"",IF(COUNTIF(A$996:A2126,"&lt;&gt;")=0,COUNTA(B$996:B2125),IFERROR(MATCH(TRUE(),INDEX((A$996:A2126&lt;&gt;""),0),0),COUNTA(B$996:B2125))),"")</f>
        <v/>
      </c>
      <c r="L2125" s="27"/>
    </row>
    <row r="2126" customFormat="false" ht="13.8" hidden="false" customHeight="false" outlineLevel="0" collapsed="false">
      <c r="A2126" s="16"/>
      <c r="B2126" s="16"/>
      <c r="C2126" s="26"/>
      <c r="D2126" s="26"/>
      <c r="E2126" s="16"/>
      <c r="F2126" s="18"/>
      <c r="G2126" s="19" t="str">
        <f aca="true">IF(F2126="", "", DATEDIF(F2126, TODAY(), "Y"))</f>
        <v/>
      </c>
      <c r="H2126" s="28"/>
      <c r="I2126" s="28"/>
      <c r="J2126" s="24" t="str">
        <f aca="true">IF(ISBLANK(H2126), "", I2126-TODAY())</f>
        <v/>
      </c>
      <c r="K2126" s="24" t="str">
        <f aca="false" t="array" ref="K2126:K2126">IF(A2126&lt;&gt;"",IF(COUNTIF(A$996:A2127,"&lt;&gt;")=0,COUNTA(B$996:B2126),IFERROR(MATCH(TRUE(),INDEX((A$996:A2127&lt;&gt;""),0),0),COUNTA(B$996:B2126))),"")</f>
        <v/>
      </c>
      <c r="L2126" s="27"/>
    </row>
    <row r="2127" customFormat="false" ht="13.8" hidden="false" customHeight="false" outlineLevel="0" collapsed="false">
      <c r="A2127" s="16"/>
      <c r="B2127" s="16"/>
      <c r="C2127" s="26"/>
      <c r="D2127" s="26"/>
      <c r="E2127" s="16"/>
      <c r="F2127" s="18"/>
      <c r="G2127" s="19" t="str">
        <f aca="true">IF(F2127="", "", DATEDIF(F2127, TODAY(), "Y"))</f>
        <v/>
      </c>
      <c r="H2127" s="28"/>
      <c r="I2127" s="28"/>
      <c r="J2127" s="24" t="str">
        <f aca="true">IF(ISBLANK(H2127), "", I2127-TODAY())</f>
        <v/>
      </c>
      <c r="K2127" s="24" t="str">
        <f aca="false" t="array" ref="K2127:K2127">IF(A2127&lt;&gt;"",IF(COUNTIF(A$996:A2128,"&lt;&gt;")=0,COUNTA(B$996:B2127),IFERROR(MATCH(TRUE(),INDEX((A$996:A2128&lt;&gt;""),0),0),COUNTA(B$996:B2127))),"")</f>
        <v/>
      </c>
      <c r="L2127" s="27"/>
    </row>
    <row r="2128" customFormat="false" ht="13.8" hidden="false" customHeight="false" outlineLevel="0" collapsed="false">
      <c r="A2128" s="16"/>
      <c r="B2128" s="16"/>
      <c r="C2128" s="26"/>
      <c r="D2128" s="26"/>
      <c r="E2128" s="16"/>
      <c r="F2128" s="18"/>
      <c r="G2128" s="19" t="str">
        <f aca="true">IF(F2128="", "", DATEDIF(F2128, TODAY(), "Y"))</f>
        <v/>
      </c>
      <c r="H2128" s="28"/>
      <c r="I2128" s="28"/>
      <c r="J2128" s="24" t="str">
        <f aca="true">IF(ISBLANK(H2128), "", I2128-TODAY())</f>
        <v/>
      </c>
      <c r="K2128" s="24" t="str">
        <f aca="false" t="array" ref="K2128:K2128">IF(A2128&lt;&gt;"",IF(COUNTIF(A$996:A2129,"&lt;&gt;")=0,COUNTA(B$996:B2128),IFERROR(MATCH(TRUE(),INDEX((A$996:A2129&lt;&gt;""),0),0),COUNTA(B$996:B2128))),"")</f>
        <v/>
      </c>
      <c r="L2128" s="27"/>
    </row>
    <row r="2129" customFormat="false" ht="13.8" hidden="false" customHeight="false" outlineLevel="0" collapsed="false">
      <c r="A2129" s="16"/>
      <c r="B2129" s="16"/>
      <c r="C2129" s="26"/>
      <c r="D2129" s="26"/>
      <c r="E2129" s="16"/>
      <c r="F2129" s="18"/>
      <c r="G2129" s="19" t="str">
        <f aca="true">IF(F2129="", "", DATEDIF(F2129, TODAY(), "Y"))</f>
        <v/>
      </c>
      <c r="H2129" s="28"/>
      <c r="I2129" s="28"/>
      <c r="J2129" s="24" t="str">
        <f aca="true">IF(ISBLANK(H2129), "", I2129-TODAY())</f>
        <v/>
      </c>
      <c r="K2129" s="24" t="str">
        <f aca="false" t="array" ref="K2129:K2129">IF(A2129&lt;&gt;"",IF(COUNTIF(A$996:A2130,"&lt;&gt;")=0,COUNTA(B$996:B2129),IFERROR(MATCH(TRUE(),INDEX((A$996:A2130&lt;&gt;""),0),0),COUNTA(B$996:B2129))),"")</f>
        <v/>
      </c>
      <c r="L2129" s="27"/>
    </row>
    <row r="2130" customFormat="false" ht="13.8" hidden="false" customHeight="false" outlineLevel="0" collapsed="false">
      <c r="A2130" s="16"/>
      <c r="B2130" s="16"/>
      <c r="C2130" s="26"/>
      <c r="D2130" s="26"/>
      <c r="E2130" s="16"/>
      <c r="F2130" s="18"/>
      <c r="G2130" s="19" t="str">
        <f aca="true">IF(F2130="", "", DATEDIF(F2130, TODAY(), "Y"))</f>
        <v/>
      </c>
      <c r="H2130" s="28"/>
      <c r="I2130" s="28"/>
      <c r="J2130" s="24" t="str">
        <f aca="true">IF(ISBLANK(H2130), "", I2130-TODAY())</f>
        <v/>
      </c>
      <c r="K2130" s="24" t="str">
        <f aca="false" t="array" ref="K2130:K2130">IF(A2130&lt;&gt;"",IF(COUNTIF(A$996:A2131,"&lt;&gt;")=0,COUNTA(B$996:B2130),IFERROR(MATCH(TRUE(),INDEX((A$996:A2131&lt;&gt;""),0),0),COUNTA(B$996:B2130))),"")</f>
        <v/>
      </c>
      <c r="L2130" s="27"/>
    </row>
    <row r="2131" customFormat="false" ht="13.8" hidden="false" customHeight="false" outlineLevel="0" collapsed="false">
      <c r="A2131" s="16"/>
      <c r="B2131" s="16"/>
      <c r="C2131" s="26"/>
      <c r="D2131" s="26"/>
      <c r="E2131" s="16"/>
      <c r="F2131" s="18"/>
      <c r="G2131" s="19" t="str">
        <f aca="true">IF(F2131="", "", DATEDIF(F2131, TODAY(), "Y"))</f>
        <v/>
      </c>
      <c r="H2131" s="28"/>
      <c r="I2131" s="28"/>
      <c r="J2131" s="24" t="str">
        <f aca="true">IF(ISBLANK(H2131), "", I2131-TODAY())</f>
        <v/>
      </c>
      <c r="K2131" s="24" t="str">
        <f aca="false" t="array" ref="K2131:K2131">IF(A2131&lt;&gt;"",IF(COUNTIF(A$996:A2132,"&lt;&gt;")=0,COUNTA(B$996:B2131),IFERROR(MATCH(TRUE(),INDEX((A$996:A2132&lt;&gt;""),0),0),COUNTA(B$996:B2131))),"")</f>
        <v/>
      </c>
      <c r="L2131" s="27"/>
    </row>
    <row r="2132" customFormat="false" ht="13.8" hidden="false" customHeight="false" outlineLevel="0" collapsed="false">
      <c r="A2132" s="16"/>
      <c r="B2132" s="16"/>
      <c r="C2132" s="26"/>
      <c r="D2132" s="26"/>
      <c r="E2132" s="16"/>
      <c r="F2132" s="18"/>
      <c r="G2132" s="19" t="str">
        <f aca="true">IF(F2132="", "", DATEDIF(F2132, TODAY(), "Y"))</f>
        <v/>
      </c>
      <c r="H2132" s="28"/>
      <c r="I2132" s="28"/>
      <c r="J2132" s="24" t="str">
        <f aca="true">IF(ISBLANK(H2132), "", I2132-TODAY())</f>
        <v/>
      </c>
      <c r="K2132" s="24" t="str">
        <f aca="false" t="array" ref="K2132:K2132">IF(A2132&lt;&gt;"",IF(COUNTIF(A$996:A2133,"&lt;&gt;")=0,COUNTA(B$996:B2132),IFERROR(MATCH(TRUE(),INDEX((A$996:A2133&lt;&gt;""),0),0),COUNTA(B$996:B2132))),"")</f>
        <v/>
      </c>
      <c r="L2132" s="27"/>
    </row>
    <row r="2133" customFormat="false" ht="13.8" hidden="false" customHeight="false" outlineLevel="0" collapsed="false">
      <c r="A2133" s="16"/>
      <c r="B2133" s="16"/>
      <c r="C2133" s="26"/>
      <c r="D2133" s="26"/>
      <c r="E2133" s="16"/>
      <c r="F2133" s="18"/>
      <c r="G2133" s="19" t="str">
        <f aca="true">IF(F2133="", "", DATEDIF(F2133, TODAY(), "Y"))</f>
        <v/>
      </c>
      <c r="H2133" s="28"/>
      <c r="I2133" s="28"/>
      <c r="J2133" s="24" t="str">
        <f aca="true">IF(ISBLANK(H2133), "", I2133-TODAY())</f>
        <v/>
      </c>
      <c r="K2133" s="24" t="str">
        <f aca="false" t="array" ref="K2133:K2133">IF(A2133&lt;&gt;"",IF(COUNTIF(A$996:A2134,"&lt;&gt;")=0,COUNTA(B$996:B2133),IFERROR(MATCH(TRUE(),INDEX((A$996:A2134&lt;&gt;""),0),0),COUNTA(B$996:B2133))),"")</f>
        <v/>
      </c>
      <c r="L2133" s="27"/>
    </row>
    <row r="2134" customFormat="false" ht="13.8" hidden="false" customHeight="false" outlineLevel="0" collapsed="false">
      <c r="A2134" s="16"/>
      <c r="B2134" s="16"/>
      <c r="C2134" s="26"/>
      <c r="D2134" s="26"/>
      <c r="E2134" s="16"/>
      <c r="F2134" s="18"/>
      <c r="G2134" s="19" t="str">
        <f aca="true">IF(F2134="", "", DATEDIF(F2134, TODAY(), "Y"))</f>
        <v/>
      </c>
      <c r="H2134" s="28"/>
      <c r="I2134" s="28"/>
      <c r="J2134" s="24" t="str">
        <f aca="true">IF(ISBLANK(H2134), "", I2134-TODAY())</f>
        <v/>
      </c>
      <c r="K2134" s="24" t="str">
        <f aca="false" t="array" ref="K2134:K2134">IF(A2134&lt;&gt;"",IF(COUNTIF(A$996:A2135,"&lt;&gt;")=0,COUNTA(B$996:B2134),IFERROR(MATCH(TRUE(),INDEX((A$996:A2135&lt;&gt;""),0),0),COUNTA(B$996:B2134))),"")</f>
        <v/>
      </c>
      <c r="L2134" s="27"/>
    </row>
    <row r="2135" customFormat="false" ht="13.8" hidden="false" customHeight="false" outlineLevel="0" collapsed="false">
      <c r="A2135" s="16"/>
      <c r="B2135" s="16"/>
      <c r="C2135" s="26"/>
      <c r="D2135" s="26"/>
      <c r="E2135" s="16"/>
      <c r="F2135" s="18"/>
      <c r="G2135" s="19" t="str">
        <f aca="true">IF(F2135="", "", DATEDIF(F2135, TODAY(), "Y"))</f>
        <v/>
      </c>
      <c r="H2135" s="28"/>
      <c r="I2135" s="28"/>
      <c r="J2135" s="24" t="str">
        <f aca="true">IF(ISBLANK(H2135), "", I2135-TODAY())</f>
        <v/>
      </c>
      <c r="K2135" s="24" t="str">
        <f aca="false" t="array" ref="K2135:K2135">IF(A2135&lt;&gt;"",IF(COUNTIF(A$996:A2136,"&lt;&gt;")=0,COUNTA(B$996:B2135),IFERROR(MATCH(TRUE(),INDEX((A$996:A2136&lt;&gt;""),0),0),COUNTA(B$996:B2135))),"")</f>
        <v/>
      </c>
      <c r="L2135" s="27"/>
    </row>
    <row r="2136" customFormat="false" ht="13.8" hidden="false" customHeight="false" outlineLevel="0" collapsed="false">
      <c r="A2136" s="16"/>
      <c r="B2136" s="16"/>
      <c r="C2136" s="26"/>
      <c r="D2136" s="26"/>
      <c r="E2136" s="16"/>
      <c r="F2136" s="18"/>
      <c r="G2136" s="19" t="str">
        <f aca="true">IF(F2136="", "", DATEDIF(F2136, TODAY(), "Y"))</f>
        <v/>
      </c>
      <c r="H2136" s="28"/>
      <c r="I2136" s="28"/>
      <c r="J2136" s="24" t="str">
        <f aca="true">IF(ISBLANK(H2136), "", I2136-TODAY())</f>
        <v/>
      </c>
      <c r="K2136" s="24" t="str">
        <f aca="false" t="array" ref="K2136:K2136">IF(A2136&lt;&gt;"",IF(COUNTIF(A$996:A2137,"&lt;&gt;")=0,COUNTA(B$996:B2136),IFERROR(MATCH(TRUE(),INDEX((A$996:A2137&lt;&gt;""),0),0),COUNTA(B$996:B2136))),"")</f>
        <v/>
      </c>
      <c r="L2136" s="27"/>
    </row>
    <row r="2137" customFormat="false" ht="13.8" hidden="false" customHeight="false" outlineLevel="0" collapsed="false">
      <c r="A2137" s="16"/>
      <c r="B2137" s="16"/>
      <c r="C2137" s="26"/>
      <c r="D2137" s="26"/>
      <c r="E2137" s="16"/>
      <c r="F2137" s="18"/>
      <c r="G2137" s="19" t="str">
        <f aca="true">IF(F2137="", "", DATEDIF(F2137, TODAY(), "Y"))</f>
        <v/>
      </c>
      <c r="H2137" s="28"/>
      <c r="I2137" s="28"/>
      <c r="J2137" s="24" t="str">
        <f aca="true">IF(ISBLANK(H2137), "", I2137-TODAY())</f>
        <v/>
      </c>
      <c r="K2137" s="24" t="str">
        <f aca="false" t="array" ref="K2137:K2137">IF(A2137&lt;&gt;"",IF(COUNTIF(A$996:A2138,"&lt;&gt;")=0,COUNTA(B$996:B2137),IFERROR(MATCH(TRUE(),INDEX((A$996:A2138&lt;&gt;""),0),0),COUNTA(B$996:B2137))),"")</f>
        <v/>
      </c>
      <c r="L2137" s="27"/>
    </row>
    <row r="2138" customFormat="false" ht="13.8" hidden="false" customHeight="false" outlineLevel="0" collapsed="false">
      <c r="A2138" s="16"/>
      <c r="B2138" s="16"/>
      <c r="C2138" s="26"/>
      <c r="D2138" s="26"/>
      <c r="E2138" s="16"/>
      <c r="F2138" s="18"/>
      <c r="G2138" s="19" t="str">
        <f aca="true">IF(F2138="", "", DATEDIF(F2138, TODAY(), "Y"))</f>
        <v/>
      </c>
      <c r="H2138" s="28"/>
      <c r="I2138" s="28"/>
      <c r="J2138" s="24" t="str">
        <f aca="true">IF(ISBLANK(H2138), "", I2138-TODAY())</f>
        <v/>
      </c>
      <c r="K2138" s="24" t="str">
        <f aca="false" t="array" ref="K2138:K2138">IF(A2138&lt;&gt;"",IF(COUNTIF(A$996:A2139,"&lt;&gt;")=0,COUNTA(B$996:B2138),IFERROR(MATCH(TRUE(),INDEX((A$996:A2139&lt;&gt;""),0),0),COUNTA(B$996:B2138))),"")</f>
        <v/>
      </c>
      <c r="L2138" s="27"/>
    </row>
    <row r="2139" customFormat="false" ht="13.8" hidden="false" customHeight="false" outlineLevel="0" collapsed="false">
      <c r="A2139" s="16"/>
      <c r="B2139" s="16"/>
      <c r="C2139" s="26"/>
      <c r="D2139" s="26"/>
      <c r="E2139" s="16"/>
      <c r="F2139" s="18"/>
      <c r="G2139" s="19" t="str">
        <f aca="true">IF(F2139="", "", DATEDIF(F2139, TODAY(), "Y"))</f>
        <v/>
      </c>
      <c r="H2139" s="28"/>
      <c r="I2139" s="28"/>
      <c r="J2139" s="24" t="str">
        <f aca="true">IF(ISBLANK(H2139), "", I2139-TODAY())</f>
        <v/>
      </c>
      <c r="K2139" s="24" t="str">
        <f aca="false" t="array" ref="K2139:K2139">IF(A2139&lt;&gt;"",IF(COUNTIF(A$996:A2140,"&lt;&gt;")=0,COUNTA(B$996:B2139),IFERROR(MATCH(TRUE(),INDEX((A$996:A2140&lt;&gt;""),0),0),COUNTA(B$996:B2139))),"")</f>
        <v/>
      </c>
      <c r="L2139" s="27"/>
    </row>
    <row r="2140" customFormat="false" ht="13.8" hidden="false" customHeight="false" outlineLevel="0" collapsed="false">
      <c r="A2140" s="16"/>
      <c r="B2140" s="16"/>
      <c r="C2140" s="26"/>
      <c r="D2140" s="26"/>
      <c r="E2140" s="16"/>
      <c r="F2140" s="18"/>
      <c r="G2140" s="19" t="str">
        <f aca="true">IF(F2140="", "", DATEDIF(F2140, TODAY(), "Y"))</f>
        <v/>
      </c>
      <c r="H2140" s="28"/>
      <c r="I2140" s="28"/>
      <c r="J2140" s="24" t="str">
        <f aca="true">IF(ISBLANK(H2140), "", I2140-TODAY())</f>
        <v/>
      </c>
      <c r="K2140" s="24" t="str">
        <f aca="false" t="array" ref="K2140:K2140">IF(A2140&lt;&gt;"",IF(COUNTIF(A$996:A2141,"&lt;&gt;")=0,COUNTA(B$996:B2140),IFERROR(MATCH(TRUE(),INDEX((A$996:A2141&lt;&gt;""),0),0),COUNTA(B$996:B2140))),"")</f>
        <v/>
      </c>
      <c r="L2140" s="27"/>
    </row>
    <row r="2141" customFormat="false" ht="13.8" hidden="false" customHeight="false" outlineLevel="0" collapsed="false">
      <c r="A2141" s="16"/>
      <c r="B2141" s="16"/>
      <c r="C2141" s="26"/>
      <c r="D2141" s="26"/>
      <c r="E2141" s="16"/>
      <c r="F2141" s="18"/>
      <c r="G2141" s="19" t="str">
        <f aca="true">IF(F2141="", "", DATEDIF(F2141, TODAY(), "Y"))</f>
        <v/>
      </c>
      <c r="H2141" s="28"/>
      <c r="I2141" s="28"/>
      <c r="J2141" s="24" t="str">
        <f aca="true">IF(ISBLANK(H2141), "", I2141-TODAY())</f>
        <v/>
      </c>
      <c r="K2141" s="24" t="str">
        <f aca="false" t="array" ref="K2141:K2141">IF(A2141&lt;&gt;"",IF(COUNTIF(A$996:A2142,"&lt;&gt;")=0,COUNTA(B$996:B2141),IFERROR(MATCH(TRUE(),INDEX((A$996:A2142&lt;&gt;""),0),0),COUNTA(B$996:B2141))),"")</f>
        <v/>
      </c>
      <c r="L2141" s="27"/>
    </row>
    <row r="2142" customFormat="false" ht="13.8" hidden="false" customHeight="false" outlineLevel="0" collapsed="false">
      <c r="A2142" s="16"/>
      <c r="B2142" s="16"/>
      <c r="C2142" s="26"/>
      <c r="D2142" s="26"/>
      <c r="E2142" s="16"/>
      <c r="F2142" s="18"/>
      <c r="G2142" s="19" t="str">
        <f aca="true">IF(F2142="", "", DATEDIF(F2142, TODAY(), "Y"))</f>
        <v/>
      </c>
      <c r="H2142" s="28"/>
      <c r="I2142" s="28"/>
      <c r="J2142" s="24" t="str">
        <f aca="true">IF(ISBLANK(H2142), "", I2142-TODAY())</f>
        <v/>
      </c>
      <c r="K2142" s="24" t="str">
        <f aca="false" t="array" ref="K2142:K2142">IF(A2142&lt;&gt;"",IF(COUNTIF(A$996:A2143,"&lt;&gt;")=0,COUNTA(B$996:B2142),IFERROR(MATCH(TRUE(),INDEX((A$996:A2143&lt;&gt;""),0),0),COUNTA(B$996:B2142))),"")</f>
        <v/>
      </c>
      <c r="L2142" s="27"/>
    </row>
    <row r="2143" customFormat="false" ht="13.8" hidden="false" customHeight="false" outlineLevel="0" collapsed="false">
      <c r="A2143" s="16"/>
      <c r="B2143" s="16"/>
      <c r="C2143" s="26"/>
      <c r="D2143" s="26"/>
      <c r="E2143" s="16"/>
      <c r="F2143" s="18"/>
      <c r="G2143" s="19" t="str">
        <f aca="true">IF(F2143="", "", DATEDIF(F2143, TODAY(), "Y"))</f>
        <v/>
      </c>
      <c r="H2143" s="28"/>
      <c r="I2143" s="28"/>
      <c r="J2143" s="24" t="str">
        <f aca="true">IF(ISBLANK(H2143), "", I2143-TODAY())</f>
        <v/>
      </c>
      <c r="K2143" s="24" t="str">
        <f aca="false" t="array" ref="K2143:K2143">IF(A2143&lt;&gt;"",IF(COUNTIF(A$996:A2144,"&lt;&gt;")=0,COUNTA(B$996:B2143),IFERROR(MATCH(TRUE(),INDEX((A$996:A2144&lt;&gt;""),0),0),COUNTA(B$996:B2143))),"")</f>
        <v/>
      </c>
      <c r="L2143" s="27"/>
    </row>
    <row r="2144" customFormat="false" ht="13.8" hidden="false" customHeight="false" outlineLevel="0" collapsed="false">
      <c r="A2144" s="16"/>
      <c r="B2144" s="16"/>
      <c r="C2144" s="26"/>
      <c r="D2144" s="26"/>
      <c r="E2144" s="16"/>
      <c r="F2144" s="18"/>
      <c r="G2144" s="19" t="str">
        <f aca="true">IF(F2144="", "", DATEDIF(F2144, TODAY(), "Y"))</f>
        <v/>
      </c>
      <c r="H2144" s="28"/>
      <c r="I2144" s="28"/>
      <c r="J2144" s="24" t="str">
        <f aca="true">IF(ISBLANK(H2144), "", I2144-TODAY())</f>
        <v/>
      </c>
      <c r="K2144" s="24" t="str">
        <f aca="false" t="array" ref="K2144:K2144">IF(A2144&lt;&gt;"",IF(COUNTIF(A$996:A2145,"&lt;&gt;")=0,COUNTA(B$996:B2144),IFERROR(MATCH(TRUE(),INDEX((A$996:A2145&lt;&gt;""),0),0),COUNTA(B$996:B2144))),"")</f>
        <v/>
      </c>
      <c r="L2144" s="27"/>
    </row>
    <row r="2145" customFormat="false" ht="13.8" hidden="false" customHeight="false" outlineLevel="0" collapsed="false">
      <c r="A2145" s="16"/>
      <c r="B2145" s="16"/>
      <c r="C2145" s="26"/>
      <c r="D2145" s="26"/>
      <c r="E2145" s="16"/>
      <c r="F2145" s="18"/>
      <c r="G2145" s="19" t="str">
        <f aca="true">IF(F2145="", "", DATEDIF(F2145, TODAY(), "Y"))</f>
        <v/>
      </c>
      <c r="H2145" s="28"/>
      <c r="I2145" s="28"/>
      <c r="J2145" s="24" t="str">
        <f aca="true">IF(ISBLANK(H2145), "", I2145-TODAY())</f>
        <v/>
      </c>
      <c r="K2145" s="24" t="str">
        <f aca="false" t="array" ref="K2145:K2145">IF(A2145&lt;&gt;"",IF(COUNTIF(A$996:A2146,"&lt;&gt;")=0,COUNTA(B$996:B2145),IFERROR(MATCH(TRUE(),INDEX((A$996:A2146&lt;&gt;""),0),0),COUNTA(B$996:B2145))),"")</f>
        <v/>
      </c>
      <c r="L2145" s="27"/>
    </row>
    <row r="2146" customFormat="false" ht="13.8" hidden="false" customHeight="false" outlineLevel="0" collapsed="false">
      <c r="A2146" s="16"/>
      <c r="B2146" s="16"/>
      <c r="C2146" s="26"/>
      <c r="D2146" s="26"/>
      <c r="E2146" s="16"/>
      <c r="F2146" s="18"/>
      <c r="G2146" s="19" t="str">
        <f aca="true">IF(F2146="", "", DATEDIF(F2146, TODAY(), "Y"))</f>
        <v/>
      </c>
      <c r="H2146" s="28"/>
      <c r="I2146" s="28"/>
      <c r="J2146" s="24" t="str">
        <f aca="true">IF(ISBLANK(H2146), "", I2146-TODAY())</f>
        <v/>
      </c>
      <c r="K2146" s="24" t="str">
        <f aca="false" t="array" ref="K2146:K2146">IF(A2146&lt;&gt;"",IF(COUNTIF(A$996:A2147,"&lt;&gt;")=0,COUNTA(B$996:B2146),IFERROR(MATCH(TRUE(),INDEX((A$996:A2147&lt;&gt;""),0),0),COUNTA(B$996:B2146))),"")</f>
        <v/>
      </c>
      <c r="L2146" s="27"/>
    </row>
    <row r="2147" customFormat="false" ht="13.8" hidden="false" customHeight="false" outlineLevel="0" collapsed="false">
      <c r="A2147" s="16"/>
      <c r="B2147" s="16"/>
      <c r="C2147" s="26"/>
      <c r="D2147" s="26"/>
      <c r="E2147" s="16"/>
      <c r="F2147" s="18"/>
      <c r="G2147" s="19" t="str">
        <f aca="true">IF(F2147="", "", DATEDIF(F2147, TODAY(), "Y"))</f>
        <v/>
      </c>
      <c r="H2147" s="28"/>
      <c r="I2147" s="28"/>
      <c r="J2147" s="24" t="str">
        <f aca="true">IF(ISBLANK(H2147), "", I2147-TODAY())</f>
        <v/>
      </c>
      <c r="K2147" s="24" t="str">
        <f aca="false" t="array" ref="K2147:K2147">IF(A2147&lt;&gt;"",IF(COUNTIF(A$996:A2148,"&lt;&gt;")=0,COUNTA(B$996:B2147),IFERROR(MATCH(TRUE(),INDEX((A$996:A2148&lt;&gt;""),0),0),COUNTA(B$996:B2147))),"")</f>
        <v/>
      </c>
      <c r="L2147" s="27"/>
    </row>
    <row r="2148" customFormat="false" ht="13.8" hidden="false" customHeight="false" outlineLevel="0" collapsed="false">
      <c r="A2148" s="16"/>
      <c r="B2148" s="16"/>
      <c r="C2148" s="26"/>
      <c r="D2148" s="26"/>
      <c r="E2148" s="16"/>
      <c r="F2148" s="18"/>
      <c r="G2148" s="19" t="str">
        <f aca="true">IF(F2148="", "", DATEDIF(F2148, TODAY(), "Y"))</f>
        <v/>
      </c>
      <c r="H2148" s="28"/>
      <c r="I2148" s="28"/>
      <c r="J2148" s="24" t="str">
        <f aca="true">IF(ISBLANK(H2148), "", I2148-TODAY())</f>
        <v/>
      </c>
      <c r="K2148" s="24" t="str">
        <f aca="false" t="array" ref="K2148:K2148">IF(A2148&lt;&gt;"",IF(COUNTIF(A$996:A2149,"&lt;&gt;")=0,COUNTA(B$996:B2148),IFERROR(MATCH(TRUE(),INDEX((A$996:A2149&lt;&gt;""),0),0),COUNTA(B$996:B2148))),"")</f>
        <v/>
      </c>
      <c r="L2148" s="27"/>
    </row>
    <row r="2149" customFormat="false" ht="13.8" hidden="false" customHeight="false" outlineLevel="0" collapsed="false">
      <c r="A2149" s="16"/>
      <c r="B2149" s="16"/>
      <c r="C2149" s="26"/>
      <c r="D2149" s="26"/>
      <c r="E2149" s="16"/>
      <c r="F2149" s="18"/>
      <c r="G2149" s="19" t="str">
        <f aca="true">IF(F2149="", "", DATEDIF(F2149, TODAY(), "Y"))</f>
        <v/>
      </c>
      <c r="H2149" s="28"/>
      <c r="I2149" s="28"/>
      <c r="J2149" s="24" t="str">
        <f aca="true">IF(ISBLANK(H2149), "", I2149-TODAY())</f>
        <v/>
      </c>
      <c r="K2149" s="24" t="str">
        <f aca="false" t="array" ref="K2149:K2149">IF(A2149&lt;&gt;"",IF(COUNTIF(A$996:A2150,"&lt;&gt;")=0,COUNTA(B$996:B2149),IFERROR(MATCH(TRUE(),INDEX((A$996:A2150&lt;&gt;""),0),0),COUNTA(B$996:B2149))),"")</f>
        <v/>
      </c>
      <c r="L2149" s="27"/>
    </row>
    <row r="2150" customFormat="false" ht="13.8" hidden="false" customHeight="false" outlineLevel="0" collapsed="false">
      <c r="A2150" s="16"/>
      <c r="B2150" s="16"/>
      <c r="C2150" s="26"/>
      <c r="D2150" s="26"/>
      <c r="E2150" s="16"/>
      <c r="F2150" s="18"/>
      <c r="G2150" s="19" t="str">
        <f aca="true">IF(F2150="", "", DATEDIF(F2150, TODAY(), "Y"))</f>
        <v/>
      </c>
      <c r="H2150" s="28"/>
      <c r="I2150" s="28"/>
      <c r="J2150" s="24" t="str">
        <f aca="true">IF(ISBLANK(H2150), "", I2150-TODAY())</f>
        <v/>
      </c>
      <c r="K2150" s="24" t="str">
        <f aca="false" t="array" ref="K2150:K2150">IF(A2150&lt;&gt;"",IF(COUNTIF(A$996:A2151,"&lt;&gt;")=0,COUNTA(B$996:B2150),IFERROR(MATCH(TRUE(),INDEX((A$996:A2151&lt;&gt;""),0),0),COUNTA(B$996:B2150))),"")</f>
        <v/>
      </c>
      <c r="L2150" s="27"/>
    </row>
    <row r="2151" customFormat="false" ht="13.8" hidden="false" customHeight="false" outlineLevel="0" collapsed="false">
      <c r="A2151" s="16"/>
      <c r="B2151" s="16"/>
      <c r="C2151" s="26"/>
      <c r="D2151" s="26"/>
      <c r="E2151" s="16"/>
      <c r="F2151" s="18"/>
      <c r="G2151" s="19" t="str">
        <f aca="true">IF(F2151="", "", DATEDIF(F2151, TODAY(), "Y"))</f>
        <v/>
      </c>
      <c r="H2151" s="28"/>
      <c r="I2151" s="28"/>
      <c r="J2151" s="24" t="str">
        <f aca="true">IF(ISBLANK(H2151), "", I2151-TODAY())</f>
        <v/>
      </c>
      <c r="K2151" s="24" t="str">
        <f aca="false" t="array" ref="K2151:K2151">IF(A2151&lt;&gt;"",IF(COUNTIF(A$996:A2152,"&lt;&gt;")=0,COUNTA(B$996:B2151),IFERROR(MATCH(TRUE(),INDEX((A$996:A2152&lt;&gt;""),0),0),COUNTA(B$996:B2151))),"")</f>
        <v/>
      </c>
      <c r="L2151" s="27"/>
    </row>
    <row r="2152" customFormat="false" ht="13.8" hidden="false" customHeight="false" outlineLevel="0" collapsed="false">
      <c r="A2152" s="16"/>
      <c r="B2152" s="16"/>
      <c r="C2152" s="26"/>
      <c r="D2152" s="26"/>
      <c r="E2152" s="16"/>
      <c r="F2152" s="18"/>
      <c r="G2152" s="19" t="str">
        <f aca="true">IF(F2152="", "", DATEDIF(F2152, TODAY(), "Y"))</f>
        <v/>
      </c>
      <c r="H2152" s="28"/>
      <c r="I2152" s="28"/>
      <c r="J2152" s="24" t="str">
        <f aca="true">IF(ISBLANK(H2152), "", I2152-TODAY())</f>
        <v/>
      </c>
      <c r="K2152" s="24" t="str">
        <f aca="false" t="array" ref="K2152:K2152">IF(A2152&lt;&gt;"",IF(COUNTIF(A$996:A2153,"&lt;&gt;")=0,COUNTA(B$996:B2152),IFERROR(MATCH(TRUE(),INDEX((A$996:A2153&lt;&gt;""),0),0),COUNTA(B$996:B2152))),"")</f>
        <v/>
      </c>
      <c r="L2152" s="27"/>
    </row>
    <row r="2153" customFormat="false" ht="13.8" hidden="false" customHeight="false" outlineLevel="0" collapsed="false">
      <c r="A2153" s="16"/>
      <c r="B2153" s="16"/>
      <c r="C2153" s="26"/>
      <c r="D2153" s="26"/>
      <c r="E2153" s="16"/>
      <c r="F2153" s="18"/>
      <c r="G2153" s="19" t="str">
        <f aca="true">IF(F2153="", "", DATEDIF(F2153, TODAY(), "Y"))</f>
        <v/>
      </c>
      <c r="H2153" s="28"/>
      <c r="I2153" s="28"/>
      <c r="J2153" s="24" t="str">
        <f aca="true">IF(ISBLANK(H2153), "", I2153-TODAY())</f>
        <v/>
      </c>
      <c r="K2153" s="24" t="str">
        <f aca="false" t="array" ref="K2153:K2153">IF(A2153&lt;&gt;"",IF(COUNTIF(A$996:A2154,"&lt;&gt;")=0,COUNTA(B$996:B2153),IFERROR(MATCH(TRUE(),INDEX((A$996:A2154&lt;&gt;""),0),0),COUNTA(B$996:B2153))),"")</f>
        <v/>
      </c>
      <c r="L2153" s="27"/>
    </row>
    <row r="2154" customFormat="false" ht="13.8" hidden="false" customHeight="false" outlineLevel="0" collapsed="false">
      <c r="A2154" s="16"/>
      <c r="B2154" s="16"/>
      <c r="C2154" s="26"/>
      <c r="D2154" s="26"/>
      <c r="E2154" s="16"/>
      <c r="F2154" s="18"/>
      <c r="G2154" s="19" t="str">
        <f aca="true">IF(F2154="", "", DATEDIF(F2154, TODAY(), "Y"))</f>
        <v/>
      </c>
      <c r="H2154" s="28"/>
      <c r="I2154" s="28"/>
      <c r="J2154" s="24" t="str">
        <f aca="true">IF(ISBLANK(H2154), "", I2154-TODAY())</f>
        <v/>
      </c>
      <c r="K2154" s="24" t="str">
        <f aca="false" t="array" ref="K2154:K2154">IF(A2154&lt;&gt;"",IF(COUNTIF(A$996:A2155,"&lt;&gt;")=0,COUNTA(B$996:B2154),IFERROR(MATCH(TRUE(),INDEX((A$996:A2155&lt;&gt;""),0),0),COUNTA(B$996:B2154))),"")</f>
        <v/>
      </c>
      <c r="L2154" s="27"/>
    </row>
    <row r="2155" customFormat="false" ht="13.8" hidden="false" customHeight="false" outlineLevel="0" collapsed="false">
      <c r="A2155" s="16"/>
      <c r="B2155" s="16"/>
      <c r="C2155" s="26"/>
      <c r="D2155" s="26"/>
      <c r="E2155" s="16"/>
      <c r="F2155" s="18"/>
      <c r="G2155" s="19" t="str">
        <f aca="true">IF(F2155="", "", DATEDIF(F2155, TODAY(), "Y"))</f>
        <v/>
      </c>
      <c r="H2155" s="28"/>
      <c r="I2155" s="28"/>
      <c r="J2155" s="24" t="str">
        <f aca="true">IF(ISBLANK(H2155), "", I2155-TODAY())</f>
        <v/>
      </c>
      <c r="K2155" s="24" t="str">
        <f aca="false" t="array" ref="K2155:K2155">IF(A2155&lt;&gt;"",IF(COUNTIF(A$996:A2156,"&lt;&gt;")=0,COUNTA(B$996:B2155),IFERROR(MATCH(TRUE(),INDEX((A$996:A2156&lt;&gt;""),0),0),COUNTA(B$996:B2155))),"")</f>
        <v/>
      </c>
      <c r="L2155" s="27"/>
    </row>
    <row r="2156" customFormat="false" ht="13.8" hidden="false" customHeight="false" outlineLevel="0" collapsed="false">
      <c r="A2156" s="16"/>
      <c r="B2156" s="16"/>
      <c r="C2156" s="26"/>
      <c r="D2156" s="26"/>
      <c r="E2156" s="16"/>
      <c r="F2156" s="18"/>
      <c r="G2156" s="19" t="str">
        <f aca="true">IF(F2156="", "", DATEDIF(F2156, TODAY(), "Y"))</f>
        <v/>
      </c>
      <c r="H2156" s="28"/>
      <c r="I2156" s="28"/>
      <c r="J2156" s="24" t="str">
        <f aca="true">IF(ISBLANK(H2156), "", I2156-TODAY())</f>
        <v/>
      </c>
      <c r="K2156" s="24" t="str">
        <f aca="false" t="array" ref="K2156:K2156">IF(A2156&lt;&gt;"",IF(COUNTIF(A$996:A2157,"&lt;&gt;")=0,COUNTA(B$996:B2156),IFERROR(MATCH(TRUE(),INDEX((A$996:A2157&lt;&gt;""),0),0),COUNTA(B$996:B2156))),"")</f>
        <v/>
      </c>
      <c r="L2156" s="27"/>
    </row>
    <row r="2157" customFormat="false" ht="13.8" hidden="false" customHeight="false" outlineLevel="0" collapsed="false">
      <c r="A2157" s="16"/>
      <c r="B2157" s="16"/>
      <c r="C2157" s="26"/>
      <c r="D2157" s="26"/>
      <c r="E2157" s="16"/>
      <c r="F2157" s="18"/>
      <c r="G2157" s="19" t="str">
        <f aca="true">IF(F2157="", "", DATEDIF(F2157, TODAY(), "Y"))</f>
        <v/>
      </c>
      <c r="H2157" s="28"/>
      <c r="I2157" s="28"/>
      <c r="J2157" s="24" t="str">
        <f aca="true">IF(ISBLANK(H2157), "", I2157-TODAY())</f>
        <v/>
      </c>
      <c r="K2157" s="24" t="str">
        <f aca="false" t="array" ref="K2157:K2157">IF(A2157&lt;&gt;"",IF(COUNTIF(A$996:A2158,"&lt;&gt;")=0,COUNTA(B$996:B2157),IFERROR(MATCH(TRUE(),INDEX((A$996:A2158&lt;&gt;""),0),0),COUNTA(B$996:B2157))),"")</f>
        <v/>
      </c>
      <c r="L2157" s="27"/>
    </row>
    <row r="2158" customFormat="false" ht="13.8" hidden="false" customHeight="false" outlineLevel="0" collapsed="false">
      <c r="A2158" s="16"/>
      <c r="B2158" s="16"/>
      <c r="C2158" s="26"/>
      <c r="D2158" s="26"/>
      <c r="E2158" s="16"/>
      <c r="F2158" s="18"/>
      <c r="G2158" s="19" t="str">
        <f aca="true">IF(F2158="", "", DATEDIF(F2158, TODAY(), "Y"))</f>
        <v/>
      </c>
      <c r="H2158" s="28"/>
      <c r="I2158" s="28"/>
      <c r="J2158" s="24" t="str">
        <f aca="true">IF(ISBLANK(H2158), "", I2158-TODAY())</f>
        <v/>
      </c>
      <c r="K2158" s="24" t="str">
        <f aca="false" t="array" ref="K2158:K2158">IF(A2158&lt;&gt;"",IF(COUNTIF(A$996:A2159,"&lt;&gt;")=0,COUNTA(B$996:B2158),IFERROR(MATCH(TRUE(),INDEX((A$996:A2159&lt;&gt;""),0),0),COUNTA(B$996:B2158))),"")</f>
        <v/>
      </c>
      <c r="L2158" s="27"/>
    </row>
    <row r="2159" customFormat="false" ht="13.8" hidden="false" customHeight="false" outlineLevel="0" collapsed="false">
      <c r="A2159" s="16"/>
      <c r="B2159" s="16"/>
      <c r="C2159" s="26"/>
      <c r="D2159" s="26"/>
      <c r="E2159" s="16"/>
      <c r="F2159" s="18"/>
      <c r="G2159" s="19" t="str">
        <f aca="true">IF(F2159="", "", DATEDIF(F2159, TODAY(), "Y"))</f>
        <v/>
      </c>
      <c r="H2159" s="28"/>
      <c r="I2159" s="28"/>
      <c r="J2159" s="24" t="str">
        <f aca="true">IF(ISBLANK(H2159), "", I2159-TODAY())</f>
        <v/>
      </c>
      <c r="K2159" s="24" t="str">
        <f aca="false" t="array" ref="K2159:K2159">IF(A2159&lt;&gt;"",IF(COUNTIF(A$996:A2160,"&lt;&gt;")=0,COUNTA(B$996:B2159),IFERROR(MATCH(TRUE(),INDEX((A$996:A2160&lt;&gt;""),0),0),COUNTA(B$996:B2159))),"")</f>
        <v/>
      </c>
      <c r="L2159" s="27"/>
    </row>
    <row r="2160" customFormat="false" ht="13.8" hidden="false" customHeight="false" outlineLevel="0" collapsed="false">
      <c r="A2160" s="16"/>
      <c r="B2160" s="16"/>
      <c r="C2160" s="26"/>
      <c r="D2160" s="26"/>
      <c r="E2160" s="16"/>
      <c r="F2160" s="18"/>
      <c r="G2160" s="19" t="str">
        <f aca="true">IF(F2160="", "", DATEDIF(F2160, TODAY(), "Y"))</f>
        <v/>
      </c>
      <c r="H2160" s="28"/>
      <c r="I2160" s="28"/>
      <c r="J2160" s="24" t="str">
        <f aca="true">IF(ISBLANK(H2160), "", I2160-TODAY())</f>
        <v/>
      </c>
      <c r="K2160" s="24" t="str">
        <f aca="false" t="array" ref="K2160:K2160">IF(A2160&lt;&gt;"",IF(COUNTIF(A$996:A2161,"&lt;&gt;")=0,COUNTA(B$996:B2160),IFERROR(MATCH(TRUE(),INDEX((A$996:A2161&lt;&gt;""),0),0),COUNTA(B$996:B2160))),"")</f>
        <v/>
      </c>
      <c r="L2160" s="27"/>
    </row>
    <row r="2161" customFormat="false" ht="13.8" hidden="false" customHeight="false" outlineLevel="0" collapsed="false">
      <c r="A2161" s="16"/>
      <c r="B2161" s="16"/>
      <c r="C2161" s="26"/>
      <c r="D2161" s="26"/>
      <c r="E2161" s="16"/>
      <c r="F2161" s="18"/>
      <c r="G2161" s="19" t="str">
        <f aca="true">IF(F2161="", "", DATEDIF(F2161, TODAY(), "Y"))</f>
        <v/>
      </c>
      <c r="H2161" s="28"/>
      <c r="I2161" s="28"/>
      <c r="J2161" s="24" t="str">
        <f aca="true">IF(ISBLANK(H2161), "", I2161-TODAY())</f>
        <v/>
      </c>
      <c r="K2161" s="24" t="str">
        <f aca="false" t="array" ref="K2161:K2161">IF(A2161&lt;&gt;"",IF(COUNTIF(A$996:A2162,"&lt;&gt;")=0,COUNTA(B$996:B2161),IFERROR(MATCH(TRUE(),INDEX((A$996:A2162&lt;&gt;""),0),0),COUNTA(B$996:B2161))),"")</f>
        <v/>
      </c>
      <c r="L2161" s="27"/>
    </row>
    <row r="2162" customFormat="false" ht="13.8" hidden="false" customHeight="false" outlineLevel="0" collapsed="false">
      <c r="A2162" s="16"/>
      <c r="B2162" s="16"/>
      <c r="C2162" s="26"/>
      <c r="D2162" s="26"/>
      <c r="E2162" s="16"/>
      <c r="F2162" s="18"/>
      <c r="G2162" s="19" t="str">
        <f aca="true">IF(F2162="", "", DATEDIF(F2162, TODAY(), "Y"))</f>
        <v/>
      </c>
      <c r="H2162" s="28"/>
      <c r="I2162" s="28"/>
      <c r="J2162" s="24" t="str">
        <f aca="true">IF(ISBLANK(H2162), "", I2162-TODAY())</f>
        <v/>
      </c>
      <c r="K2162" s="24" t="str">
        <f aca="false" t="array" ref="K2162:K2162">IF(A2162&lt;&gt;"",IF(COUNTIF(A$996:A2163,"&lt;&gt;")=0,COUNTA(B$996:B2162),IFERROR(MATCH(TRUE(),INDEX((A$996:A2163&lt;&gt;""),0),0),COUNTA(B$996:B2162))),"")</f>
        <v/>
      </c>
      <c r="L2162" s="27"/>
    </row>
    <row r="2163" customFormat="false" ht="13.8" hidden="false" customHeight="false" outlineLevel="0" collapsed="false">
      <c r="A2163" s="16"/>
      <c r="B2163" s="16"/>
      <c r="C2163" s="26"/>
      <c r="D2163" s="26"/>
      <c r="E2163" s="16"/>
      <c r="F2163" s="18"/>
      <c r="G2163" s="19" t="str">
        <f aca="true">IF(F2163="", "", DATEDIF(F2163, TODAY(), "Y"))</f>
        <v/>
      </c>
      <c r="H2163" s="28"/>
      <c r="I2163" s="28"/>
      <c r="J2163" s="24" t="str">
        <f aca="true">IF(ISBLANK(H2163), "", I2163-TODAY())</f>
        <v/>
      </c>
      <c r="K2163" s="24" t="str">
        <f aca="false" t="array" ref="K2163:K2163">IF(A2163&lt;&gt;"",IF(COUNTIF(A$996:A2164,"&lt;&gt;")=0,COUNTA(B$996:B2163),IFERROR(MATCH(TRUE(),INDEX((A$996:A2164&lt;&gt;""),0),0),COUNTA(B$996:B2163))),"")</f>
        <v/>
      </c>
      <c r="L2163" s="27"/>
    </row>
    <row r="2164" customFormat="false" ht="13.8" hidden="false" customHeight="false" outlineLevel="0" collapsed="false">
      <c r="A2164" s="16"/>
      <c r="B2164" s="16"/>
      <c r="C2164" s="26"/>
      <c r="D2164" s="26"/>
      <c r="E2164" s="16"/>
      <c r="F2164" s="18"/>
      <c r="G2164" s="19" t="str">
        <f aca="true">IF(F2164="", "", DATEDIF(F2164, TODAY(), "Y"))</f>
        <v/>
      </c>
      <c r="H2164" s="28"/>
      <c r="I2164" s="28"/>
      <c r="J2164" s="24" t="str">
        <f aca="true">IF(ISBLANK(H2164), "", I2164-TODAY())</f>
        <v/>
      </c>
      <c r="K2164" s="24" t="str">
        <f aca="false" t="array" ref="K2164:K2164">IF(A2164&lt;&gt;"",IF(COUNTIF(A$996:A2165,"&lt;&gt;")=0,COUNTA(B$996:B2164),IFERROR(MATCH(TRUE(),INDEX((A$996:A2165&lt;&gt;""),0),0),COUNTA(B$996:B2164))),"")</f>
        <v/>
      </c>
      <c r="L2164" s="27"/>
    </row>
    <row r="2165" customFormat="false" ht="13.8" hidden="false" customHeight="false" outlineLevel="0" collapsed="false">
      <c r="A2165" s="16"/>
      <c r="B2165" s="16"/>
      <c r="C2165" s="26"/>
      <c r="D2165" s="26"/>
      <c r="E2165" s="16"/>
      <c r="F2165" s="18"/>
      <c r="G2165" s="19" t="str">
        <f aca="true">IF(F2165="", "", DATEDIF(F2165, TODAY(), "Y"))</f>
        <v/>
      </c>
      <c r="H2165" s="28"/>
      <c r="I2165" s="28"/>
      <c r="J2165" s="24" t="str">
        <f aca="true">IF(ISBLANK(H2165), "", I2165-TODAY())</f>
        <v/>
      </c>
      <c r="K2165" s="24" t="str">
        <f aca="false" t="array" ref="K2165:K2165">IF(A2165&lt;&gt;"",IF(COUNTIF(A$996:A2166,"&lt;&gt;")=0,COUNTA(B$996:B2165),IFERROR(MATCH(TRUE(),INDEX((A$996:A2166&lt;&gt;""),0),0),COUNTA(B$996:B2165))),"")</f>
        <v/>
      </c>
      <c r="L2165" s="27"/>
    </row>
    <row r="2166" customFormat="false" ht="13.8" hidden="false" customHeight="false" outlineLevel="0" collapsed="false">
      <c r="A2166" s="16"/>
      <c r="B2166" s="16"/>
      <c r="C2166" s="26"/>
      <c r="D2166" s="26"/>
      <c r="E2166" s="16"/>
      <c r="F2166" s="18"/>
      <c r="G2166" s="19" t="str">
        <f aca="true">IF(F2166="", "", DATEDIF(F2166, TODAY(), "Y"))</f>
        <v/>
      </c>
      <c r="H2166" s="28"/>
      <c r="I2166" s="28"/>
      <c r="J2166" s="24" t="str">
        <f aca="true">IF(ISBLANK(H2166), "", I2166-TODAY())</f>
        <v/>
      </c>
      <c r="K2166" s="24" t="str">
        <f aca="false" t="array" ref="K2166:K2166">IF(A2166&lt;&gt;"",IF(COUNTIF(A$996:A2167,"&lt;&gt;")=0,COUNTA(B$996:B2166),IFERROR(MATCH(TRUE(),INDEX((A$996:A2167&lt;&gt;""),0),0),COUNTA(B$996:B2166))),"")</f>
        <v/>
      </c>
      <c r="L2166" s="27"/>
    </row>
    <row r="2167" customFormat="false" ht="13.8" hidden="false" customHeight="false" outlineLevel="0" collapsed="false">
      <c r="A2167" s="16"/>
      <c r="B2167" s="16"/>
      <c r="C2167" s="26"/>
      <c r="D2167" s="26"/>
      <c r="E2167" s="16"/>
      <c r="F2167" s="18"/>
      <c r="G2167" s="19" t="str">
        <f aca="true">IF(F2167="", "", DATEDIF(F2167, TODAY(), "Y"))</f>
        <v/>
      </c>
      <c r="H2167" s="28"/>
      <c r="I2167" s="28"/>
      <c r="J2167" s="24" t="str">
        <f aca="true">IF(ISBLANK(H2167), "", I2167-TODAY())</f>
        <v/>
      </c>
      <c r="K2167" s="24" t="str">
        <f aca="false" t="array" ref="K2167:K2167">IF(A2167&lt;&gt;"",IF(COUNTIF(A$996:A2168,"&lt;&gt;")=0,COUNTA(B$996:B2167),IFERROR(MATCH(TRUE(),INDEX((A$996:A2168&lt;&gt;""),0),0),COUNTA(B$996:B2167))),"")</f>
        <v/>
      </c>
      <c r="L2167" s="27"/>
    </row>
    <row r="2168" customFormat="false" ht="13.8" hidden="false" customHeight="false" outlineLevel="0" collapsed="false">
      <c r="A2168" s="16"/>
      <c r="B2168" s="16"/>
      <c r="C2168" s="26"/>
      <c r="D2168" s="26"/>
      <c r="E2168" s="16"/>
      <c r="F2168" s="18"/>
      <c r="G2168" s="19" t="str">
        <f aca="true">IF(F2168="", "", DATEDIF(F2168, TODAY(), "Y"))</f>
        <v/>
      </c>
      <c r="H2168" s="28"/>
      <c r="I2168" s="28"/>
      <c r="J2168" s="24" t="str">
        <f aca="true">IF(ISBLANK(H2168), "", I2168-TODAY())</f>
        <v/>
      </c>
      <c r="K2168" s="24" t="str">
        <f aca="false" t="array" ref="K2168:K2168">IF(A2168&lt;&gt;"",IF(COUNTIF(A$996:A2169,"&lt;&gt;")=0,COUNTA(B$996:B2168),IFERROR(MATCH(TRUE(),INDEX((A$996:A2169&lt;&gt;""),0),0),COUNTA(B$996:B2168))),"")</f>
        <v/>
      </c>
      <c r="L2168" s="27"/>
    </row>
    <row r="2169" customFormat="false" ht="13.8" hidden="false" customHeight="false" outlineLevel="0" collapsed="false">
      <c r="A2169" s="16"/>
      <c r="B2169" s="16"/>
      <c r="C2169" s="26"/>
      <c r="D2169" s="26"/>
      <c r="E2169" s="16"/>
      <c r="F2169" s="18"/>
      <c r="G2169" s="19" t="str">
        <f aca="true">IF(F2169="", "", DATEDIF(F2169, TODAY(), "Y"))</f>
        <v/>
      </c>
      <c r="H2169" s="28"/>
      <c r="I2169" s="28"/>
      <c r="J2169" s="24" t="str">
        <f aca="true">IF(ISBLANK(H2169), "", I2169-TODAY())</f>
        <v/>
      </c>
      <c r="K2169" s="24" t="str">
        <f aca="false" t="array" ref="K2169:K2169">IF(A2169&lt;&gt;"",IF(COUNTIF(A$996:A2170,"&lt;&gt;")=0,COUNTA(B$996:B2169),IFERROR(MATCH(TRUE(),INDEX((A$996:A2170&lt;&gt;""),0),0),COUNTA(B$996:B2169))),"")</f>
        <v/>
      </c>
      <c r="L2169" s="27"/>
    </row>
    <row r="2170" customFormat="false" ht="13.8" hidden="false" customHeight="false" outlineLevel="0" collapsed="false">
      <c r="A2170" s="16"/>
      <c r="B2170" s="16"/>
      <c r="C2170" s="26"/>
      <c r="D2170" s="26"/>
      <c r="E2170" s="16"/>
      <c r="F2170" s="18"/>
      <c r="G2170" s="19" t="str">
        <f aca="true">IF(F2170="", "", DATEDIF(F2170, TODAY(), "Y"))</f>
        <v/>
      </c>
      <c r="H2170" s="28"/>
      <c r="I2170" s="28"/>
      <c r="J2170" s="24" t="str">
        <f aca="true">IF(ISBLANK(H2170), "", I2170-TODAY())</f>
        <v/>
      </c>
      <c r="K2170" s="24" t="str">
        <f aca="false" t="array" ref="K2170:K2170">IF(A2170&lt;&gt;"",IF(COUNTIF(A$996:A2171,"&lt;&gt;")=0,COUNTA(B$996:B2170),IFERROR(MATCH(TRUE(),INDEX((A$996:A2171&lt;&gt;""),0),0),COUNTA(B$996:B2170))),"")</f>
        <v/>
      </c>
      <c r="L2170" s="27"/>
    </row>
    <row r="2171" customFormat="false" ht="13.8" hidden="false" customHeight="false" outlineLevel="0" collapsed="false">
      <c r="A2171" s="16"/>
      <c r="B2171" s="16"/>
      <c r="C2171" s="26"/>
      <c r="D2171" s="26"/>
      <c r="E2171" s="16"/>
      <c r="F2171" s="18"/>
      <c r="G2171" s="19" t="str">
        <f aca="true">IF(F2171="", "", DATEDIF(F2171, TODAY(), "Y"))</f>
        <v/>
      </c>
      <c r="H2171" s="28"/>
      <c r="I2171" s="28"/>
      <c r="J2171" s="24" t="str">
        <f aca="true">IF(ISBLANK(H2171), "", I2171-TODAY())</f>
        <v/>
      </c>
      <c r="K2171" s="24" t="str">
        <f aca="false" t="array" ref="K2171:K2171">IF(A2171&lt;&gt;"",IF(COUNTIF(A$996:A2172,"&lt;&gt;")=0,COUNTA(B$996:B2171),IFERROR(MATCH(TRUE(),INDEX((A$996:A2172&lt;&gt;""),0),0),COUNTA(B$996:B2171))),"")</f>
        <v/>
      </c>
      <c r="L2171" s="27"/>
    </row>
    <row r="2172" customFormat="false" ht="13.8" hidden="false" customHeight="false" outlineLevel="0" collapsed="false">
      <c r="A2172" s="16"/>
      <c r="B2172" s="16"/>
      <c r="C2172" s="26"/>
      <c r="D2172" s="26"/>
      <c r="E2172" s="16"/>
      <c r="F2172" s="18"/>
      <c r="G2172" s="19" t="str">
        <f aca="true">IF(F2172="", "", DATEDIF(F2172, TODAY(), "Y"))</f>
        <v/>
      </c>
      <c r="H2172" s="28"/>
      <c r="I2172" s="28"/>
      <c r="J2172" s="24" t="str">
        <f aca="true">IF(ISBLANK(H2172), "", I2172-TODAY())</f>
        <v/>
      </c>
      <c r="K2172" s="24" t="str">
        <f aca="false" t="array" ref="K2172:K2172">IF(A2172&lt;&gt;"",IF(COUNTIF(A$996:A2173,"&lt;&gt;")=0,COUNTA(B$996:B2172),IFERROR(MATCH(TRUE(),INDEX((A$996:A2173&lt;&gt;""),0),0),COUNTA(B$996:B2172))),"")</f>
        <v/>
      </c>
      <c r="L2172" s="27"/>
    </row>
    <row r="2173" customFormat="false" ht="13.8" hidden="false" customHeight="false" outlineLevel="0" collapsed="false">
      <c r="A2173" s="16"/>
      <c r="B2173" s="16"/>
      <c r="C2173" s="26"/>
      <c r="D2173" s="26"/>
      <c r="E2173" s="16"/>
      <c r="F2173" s="18"/>
      <c r="G2173" s="19" t="str">
        <f aca="true">IF(F2173="", "", DATEDIF(F2173, TODAY(), "Y"))</f>
        <v/>
      </c>
      <c r="H2173" s="28"/>
      <c r="I2173" s="28"/>
      <c r="J2173" s="24" t="str">
        <f aca="true">IF(ISBLANK(H2173), "", I2173-TODAY())</f>
        <v/>
      </c>
      <c r="K2173" s="24" t="str">
        <f aca="false" t="array" ref="K2173:K2173">IF(A2173&lt;&gt;"",IF(COUNTIF(A$996:A2174,"&lt;&gt;")=0,COUNTA(B$996:B2173),IFERROR(MATCH(TRUE(),INDEX((A$996:A2174&lt;&gt;""),0),0),COUNTA(B$996:B2173))),"")</f>
        <v/>
      </c>
      <c r="L2173" s="27"/>
    </row>
    <row r="2174" customFormat="false" ht="13.8" hidden="false" customHeight="false" outlineLevel="0" collapsed="false">
      <c r="A2174" s="16"/>
      <c r="B2174" s="16"/>
      <c r="C2174" s="26"/>
      <c r="D2174" s="26"/>
      <c r="E2174" s="16"/>
      <c r="F2174" s="18"/>
      <c r="G2174" s="19" t="str">
        <f aca="true">IF(F2174="", "", DATEDIF(F2174, TODAY(), "Y"))</f>
        <v/>
      </c>
      <c r="H2174" s="28"/>
      <c r="I2174" s="28"/>
      <c r="J2174" s="24" t="str">
        <f aca="true">IF(ISBLANK(H2174), "", I2174-TODAY())</f>
        <v/>
      </c>
      <c r="K2174" s="24" t="str">
        <f aca="false" t="array" ref="K2174:K2174">IF(A2174&lt;&gt;"",IF(COUNTIF(A$996:A2175,"&lt;&gt;")=0,COUNTA(B$996:B2174),IFERROR(MATCH(TRUE(),INDEX((A$996:A2175&lt;&gt;""),0),0),COUNTA(B$996:B2174))),"")</f>
        <v/>
      </c>
      <c r="L2174" s="27"/>
    </row>
    <row r="2175" customFormat="false" ht="13.8" hidden="false" customHeight="false" outlineLevel="0" collapsed="false">
      <c r="A2175" s="16"/>
      <c r="B2175" s="16"/>
      <c r="C2175" s="26"/>
      <c r="D2175" s="26"/>
      <c r="E2175" s="16"/>
      <c r="F2175" s="18"/>
      <c r="G2175" s="19" t="str">
        <f aca="true">IF(F2175="", "", DATEDIF(F2175, TODAY(), "Y"))</f>
        <v/>
      </c>
      <c r="H2175" s="28"/>
      <c r="I2175" s="28"/>
      <c r="J2175" s="24" t="str">
        <f aca="true">IF(ISBLANK(H2175), "", I2175-TODAY())</f>
        <v/>
      </c>
      <c r="K2175" s="24" t="str">
        <f aca="false" t="array" ref="K2175:K2175">IF(A2175&lt;&gt;"",IF(COUNTIF(A$996:A2176,"&lt;&gt;")=0,COUNTA(B$996:B2175),IFERROR(MATCH(TRUE(),INDEX((A$996:A2176&lt;&gt;""),0),0),COUNTA(B$996:B2175))),"")</f>
        <v/>
      </c>
      <c r="L2175" s="27"/>
    </row>
    <row r="2176" customFormat="false" ht="13.8" hidden="false" customHeight="false" outlineLevel="0" collapsed="false">
      <c r="A2176" s="16"/>
      <c r="B2176" s="16"/>
      <c r="C2176" s="26"/>
      <c r="D2176" s="26"/>
      <c r="E2176" s="16"/>
      <c r="F2176" s="18"/>
      <c r="G2176" s="19" t="str">
        <f aca="true">IF(F2176="", "", DATEDIF(F2176, TODAY(), "Y"))</f>
        <v/>
      </c>
      <c r="H2176" s="28"/>
      <c r="I2176" s="28"/>
      <c r="J2176" s="24" t="str">
        <f aca="true">IF(ISBLANK(H2176), "", I2176-TODAY())</f>
        <v/>
      </c>
      <c r="K2176" s="24" t="str">
        <f aca="false" t="array" ref="K2176:K2176">IF(A2176&lt;&gt;"",IF(COUNTIF(A$996:A2177,"&lt;&gt;")=0,COUNTA(B$996:B2176),IFERROR(MATCH(TRUE(),INDEX((A$996:A2177&lt;&gt;""),0),0),COUNTA(B$996:B2176))),"")</f>
        <v/>
      </c>
      <c r="L2176" s="27"/>
    </row>
    <row r="2177" customFormat="false" ht="13.8" hidden="false" customHeight="false" outlineLevel="0" collapsed="false">
      <c r="A2177" s="16"/>
      <c r="B2177" s="16"/>
      <c r="C2177" s="26"/>
      <c r="D2177" s="26"/>
      <c r="E2177" s="16"/>
      <c r="F2177" s="18"/>
      <c r="G2177" s="19" t="str">
        <f aca="true">IF(F2177="", "", DATEDIF(F2177, TODAY(), "Y"))</f>
        <v/>
      </c>
      <c r="H2177" s="28"/>
      <c r="I2177" s="28"/>
      <c r="J2177" s="24" t="str">
        <f aca="true">IF(ISBLANK(H2177), "", I2177-TODAY())</f>
        <v/>
      </c>
      <c r="K2177" s="24" t="str">
        <f aca="false" t="array" ref="K2177:K2177">IF(A2177&lt;&gt;"",IF(COUNTIF(A$996:A2178,"&lt;&gt;")=0,COUNTA(B$996:B2177),IFERROR(MATCH(TRUE(),INDEX((A$996:A2178&lt;&gt;""),0),0),COUNTA(B$996:B2177))),"")</f>
        <v/>
      </c>
      <c r="L2177" s="27"/>
    </row>
    <row r="2178" customFormat="false" ht="13.8" hidden="false" customHeight="false" outlineLevel="0" collapsed="false">
      <c r="A2178" s="16"/>
      <c r="B2178" s="16"/>
      <c r="C2178" s="26"/>
      <c r="D2178" s="26"/>
      <c r="E2178" s="16"/>
      <c r="F2178" s="18"/>
      <c r="G2178" s="19" t="str">
        <f aca="true">IF(F2178="", "", DATEDIF(F2178, TODAY(), "Y"))</f>
        <v/>
      </c>
      <c r="H2178" s="28"/>
      <c r="I2178" s="28"/>
      <c r="J2178" s="24" t="str">
        <f aca="true">IF(ISBLANK(H2178), "", I2178-TODAY())</f>
        <v/>
      </c>
      <c r="K2178" s="24" t="str">
        <f aca="false" t="array" ref="K2178:K2178">IF(A2178&lt;&gt;"",IF(COUNTIF(A$996:A2179,"&lt;&gt;")=0,COUNTA(B$996:B2178),IFERROR(MATCH(TRUE(),INDEX((A$996:A2179&lt;&gt;""),0),0),COUNTA(B$996:B2178))),"")</f>
        <v/>
      </c>
      <c r="L2178" s="27"/>
    </row>
    <row r="2179" customFormat="false" ht="13.8" hidden="false" customHeight="false" outlineLevel="0" collapsed="false">
      <c r="A2179" s="16"/>
      <c r="B2179" s="16"/>
      <c r="C2179" s="26"/>
      <c r="D2179" s="26"/>
      <c r="E2179" s="16"/>
      <c r="F2179" s="18"/>
      <c r="G2179" s="19" t="str">
        <f aca="true">IF(F2179="", "", DATEDIF(F2179, TODAY(), "Y"))</f>
        <v/>
      </c>
      <c r="H2179" s="28"/>
      <c r="I2179" s="28"/>
      <c r="J2179" s="24" t="str">
        <f aca="true">IF(ISBLANK(H2179), "", I2179-TODAY())</f>
        <v/>
      </c>
      <c r="K2179" s="24" t="str">
        <f aca="false" t="array" ref="K2179:K2179">IF(A2179&lt;&gt;"",IF(COUNTIF(A$996:A2180,"&lt;&gt;")=0,COUNTA(B$996:B2179),IFERROR(MATCH(TRUE(),INDEX((A$996:A2180&lt;&gt;""),0),0),COUNTA(B$996:B2179))),"")</f>
        <v/>
      </c>
      <c r="L2179" s="27"/>
    </row>
    <row r="2180" customFormat="false" ht="13.8" hidden="false" customHeight="false" outlineLevel="0" collapsed="false">
      <c r="A2180" s="16"/>
      <c r="B2180" s="16"/>
      <c r="C2180" s="26"/>
      <c r="D2180" s="26"/>
      <c r="E2180" s="16"/>
      <c r="F2180" s="18"/>
      <c r="G2180" s="19" t="str">
        <f aca="true">IF(F2180="", "", DATEDIF(F2180, TODAY(), "Y"))</f>
        <v/>
      </c>
      <c r="H2180" s="28"/>
      <c r="I2180" s="28"/>
      <c r="J2180" s="24" t="str">
        <f aca="true">IF(ISBLANK(H2180), "", I2180-TODAY())</f>
        <v/>
      </c>
      <c r="K2180" s="24" t="str">
        <f aca="false" t="array" ref="K2180:K2180">IF(A2180&lt;&gt;"",IF(COUNTIF(A$996:A2181,"&lt;&gt;")=0,COUNTA(B$996:B2180),IFERROR(MATCH(TRUE(),INDEX((A$996:A2181&lt;&gt;""),0),0),COUNTA(B$996:B2180))),"")</f>
        <v/>
      </c>
      <c r="L2180" s="27"/>
    </row>
    <row r="2181" customFormat="false" ht="13.8" hidden="false" customHeight="false" outlineLevel="0" collapsed="false">
      <c r="A2181" s="16"/>
      <c r="B2181" s="16"/>
      <c r="C2181" s="26"/>
      <c r="D2181" s="26"/>
      <c r="E2181" s="16"/>
      <c r="F2181" s="18"/>
      <c r="G2181" s="19" t="str">
        <f aca="true">IF(F2181="", "", DATEDIF(F2181, TODAY(), "Y"))</f>
        <v/>
      </c>
      <c r="H2181" s="28"/>
      <c r="I2181" s="28"/>
      <c r="J2181" s="24" t="str">
        <f aca="true">IF(ISBLANK(H2181), "", I2181-TODAY())</f>
        <v/>
      </c>
      <c r="K2181" s="24" t="str">
        <f aca="false" t="array" ref="K2181:K2181">IF(A2181&lt;&gt;"",IF(COUNTIF(A$996:A2182,"&lt;&gt;")=0,COUNTA(B$996:B2181),IFERROR(MATCH(TRUE(),INDEX((A$996:A2182&lt;&gt;""),0),0),COUNTA(B$996:B2181))),"")</f>
        <v/>
      </c>
      <c r="L2181" s="27"/>
    </row>
    <row r="2182" customFormat="false" ht="13.8" hidden="false" customHeight="false" outlineLevel="0" collapsed="false">
      <c r="A2182" s="16"/>
      <c r="B2182" s="16"/>
      <c r="C2182" s="26"/>
      <c r="D2182" s="26"/>
      <c r="E2182" s="16"/>
      <c r="F2182" s="18"/>
      <c r="G2182" s="19" t="str">
        <f aca="true">IF(F2182="", "", DATEDIF(F2182, TODAY(), "Y"))</f>
        <v/>
      </c>
      <c r="H2182" s="28"/>
      <c r="I2182" s="28"/>
      <c r="J2182" s="24" t="str">
        <f aca="true">IF(ISBLANK(H2182), "", I2182-TODAY())</f>
        <v/>
      </c>
      <c r="K2182" s="24" t="str">
        <f aca="false" t="array" ref="K2182:K2182">IF(A2182&lt;&gt;"",IF(COUNTIF(A$996:A2183,"&lt;&gt;")=0,COUNTA(B$996:B2182),IFERROR(MATCH(TRUE(),INDEX((A$996:A2183&lt;&gt;""),0),0),COUNTA(B$996:B2182))),"")</f>
        <v/>
      </c>
      <c r="L2182" s="27"/>
    </row>
    <row r="2183" customFormat="false" ht="13.8" hidden="false" customHeight="false" outlineLevel="0" collapsed="false">
      <c r="A2183" s="16"/>
      <c r="B2183" s="16"/>
      <c r="C2183" s="26"/>
      <c r="D2183" s="26"/>
      <c r="E2183" s="16"/>
      <c r="F2183" s="18"/>
      <c r="G2183" s="19" t="str">
        <f aca="true">IF(F2183="", "", DATEDIF(F2183, TODAY(), "Y"))</f>
        <v/>
      </c>
      <c r="H2183" s="28"/>
      <c r="I2183" s="28"/>
      <c r="J2183" s="24" t="str">
        <f aca="true">IF(ISBLANK(H2183), "", I2183-TODAY())</f>
        <v/>
      </c>
      <c r="K2183" s="24" t="str">
        <f aca="false" t="array" ref="K2183:K2183">IF(A2183&lt;&gt;"",IF(COUNTIF(A$996:A2184,"&lt;&gt;")=0,COUNTA(B$996:B2183),IFERROR(MATCH(TRUE(),INDEX((A$996:A2184&lt;&gt;""),0),0),COUNTA(B$996:B2183))),"")</f>
        <v/>
      </c>
      <c r="L2183" s="27"/>
    </row>
    <row r="2184" customFormat="false" ht="13.8" hidden="false" customHeight="false" outlineLevel="0" collapsed="false">
      <c r="A2184" s="16"/>
      <c r="B2184" s="16"/>
      <c r="C2184" s="26"/>
      <c r="D2184" s="26"/>
      <c r="E2184" s="16"/>
      <c r="F2184" s="18"/>
      <c r="G2184" s="19" t="str">
        <f aca="true">IF(F2184="", "", DATEDIF(F2184, TODAY(), "Y"))</f>
        <v/>
      </c>
      <c r="H2184" s="28"/>
      <c r="I2184" s="28"/>
      <c r="J2184" s="24" t="str">
        <f aca="true">IF(ISBLANK(H2184), "", I2184-TODAY())</f>
        <v/>
      </c>
      <c r="K2184" s="24" t="str">
        <f aca="false" t="array" ref="K2184:K2184">IF(A2184&lt;&gt;"",IF(COUNTIF(A$996:A2185,"&lt;&gt;")=0,COUNTA(B$996:B2184),IFERROR(MATCH(TRUE(),INDEX((A$996:A2185&lt;&gt;""),0),0),COUNTA(B$996:B2184))),"")</f>
        <v/>
      </c>
      <c r="L2184" s="27"/>
    </row>
    <row r="2185" customFormat="false" ht="13.8" hidden="false" customHeight="false" outlineLevel="0" collapsed="false">
      <c r="A2185" s="16"/>
      <c r="B2185" s="16"/>
      <c r="C2185" s="26"/>
      <c r="D2185" s="26"/>
      <c r="E2185" s="16"/>
      <c r="F2185" s="18"/>
      <c r="G2185" s="19" t="str">
        <f aca="true">IF(F2185="", "", DATEDIF(F2185, TODAY(), "Y"))</f>
        <v/>
      </c>
      <c r="H2185" s="28"/>
      <c r="I2185" s="28"/>
      <c r="J2185" s="24" t="str">
        <f aca="true">IF(ISBLANK(H2185), "", I2185-TODAY())</f>
        <v/>
      </c>
      <c r="K2185" s="24" t="str">
        <f aca="false" t="array" ref="K2185:K2185">IF(A2185&lt;&gt;"",IF(COUNTIF(A$996:A2186,"&lt;&gt;")=0,COUNTA(B$996:B2185),IFERROR(MATCH(TRUE(),INDEX((A$996:A2186&lt;&gt;""),0),0),COUNTA(B$996:B2185))),"")</f>
        <v/>
      </c>
      <c r="L2185" s="27"/>
    </row>
    <row r="2186" customFormat="false" ht="13.8" hidden="false" customHeight="false" outlineLevel="0" collapsed="false">
      <c r="A2186" s="16"/>
      <c r="B2186" s="16"/>
      <c r="C2186" s="26"/>
      <c r="D2186" s="26"/>
      <c r="E2186" s="16"/>
      <c r="F2186" s="18"/>
      <c r="G2186" s="19" t="str">
        <f aca="true">IF(F2186="", "", DATEDIF(F2186, TODAY(), "Y"))</f>
        <v/>
      </c>
      <c r="H2186" s="28"/>
      <c r="I2186" s="28"/>
      <c r="J2186" s="24" t="str">
        <f aca="true">IF(ISBLANK(H2186), "", I2186-TODAY())</f>
        <v/>
      </c>
      <c r="K2186" s="24" t="str">
        <f aca="false" t="array" ref="K2186:K2186">IF(A2186&lt;&gt;"",IF(COUNTIF(A$996:A2187,"&lt;&gt;")=0,COUNTA(B$996:B2186),IFERROR(MATCH(TRUE(),INDEX((A$996:A2187&lt;&gt;""),0),0),COUNTA(B$996:B2186))),"")</f>
        <v/>
      </c>
      <c r="L2186" s="27"/>
    </row>
    <row r="2187" customFormat="false" ht="13.8" hidden="false" customHeight="false" outlineLevel="0" collapsed="false">
      <c r="A2187" s="16"/>
      <c r="B2187" s="16"/>
      <c r="C2187" s="26"/>
      <c r="D2187" s="26"/>
      <c r="E2187" s="16"/>
      <c r="F2187" s="18"/>
      <c r="G2187" s="19" t="str">
        <f aca="true">IF(F2187="", "", DATEDIF(F2187, TODAY(), "Y"))</f>
        <v/>
      </c>
      <c r="H2187" s="28"/>
      <c r="I2187" s="28"/>
      <c r="J2187" s="24" t="str">
        <f aca="true">IF(ISBLANK(H2187), "", I2187-TODAY())</f>
        <v/>
      </c>
      <c r="K2187" s="24" t="str">
        <f aca="false" t="array" ref="K2187:K2187">IF(A2187&lt;&gt;"",IF(COUNTIF(A$996:A2188,"&lt;&gt;")=0,COUNTA(B$996:B2187),IFERROR(MATCH(TRUE(),INDEX((A$996:A2188&lt;&gt;""),0),0),COUNTA(B$996:B2187))),"")</f>
        <v/>
      </c>
      <c r="L2187" s="27"/>
    </row>
    <row r="2188" customFormat="false" ht="13.8" hidden="false" customHeight="false" outlineLevel="0" collapsed="false">
      <c r="A2188" s="16"/>
      <c r="B2188" s="16"/>
      <c r="C2188" s="26"/>
      <c r="D2188" s="26"/>
      <c r="E2188" s="16"/>
      <c r="F2188" s="18"/>
      <c r="G2188" s="19" t="str">
        <f aca="true">IF(F2188="", "", DATEDIF(F2188, TODAY(), "Y"))</f>
        <v/>
      </c>
      <c r="H2188" s="28"/>
      <c r="I2188" s="28"/>
      <c r="J2188" s="24" t="str">
        <f aca="true">IF(ISBLANK(H2188), "", I2188-TODAY())</f>
        <v/>
      </c>
      <c r="K2188" s="24" t="str">
        <f aca="false" t="array" ref="K2188:K2188">IF(A2188&lt;&gt;"",IF(COUNTIF(A$996:A2189,"&lt;&gt;")=0,COUNTA(B$996:B2188),IFERROR(MATCH(TRUE(),INDEX((A$996:A2189&lt;&gt;""),0),0),COUNTA(B$996:B2188))),"")</f>
        <v/>
      </c>
      <c r="L2188" s="27"/>
    </row>
    <row r="2189" customFormat="false" ht="13.8" hidden="false" customHeight="false" outlineLevel="0" collapsed="false">
      <c r="A2189" s="16"/>
      <c r="B2189" s="16"/>
      <c r="C2189" s="26"/>
      <c r="D2189" s="26"/>
      <c r="E2189" s="16"/>
      <c r="F2189" s="18"/>
      <c r="G2189" s="19" t="str">
        <f aca="true">IF(F2189="", "", DATEDIF(F2189, TODAY(), "Y"))</f>
        <v/>
      </c>
      <c r="H2189" s="28"/>
      <c r="I2189" s="28"/>
      <c r="J2189" s="24" t="str">
        <f aca="true">IF(ISBLANK(H2189), "", I2189-TODAY())</f>
        <v/>
      </c>
      <c r="K2189" s="24" t="str">
        <f aca="false" t="array" ref="K2189:K2189">IF(A2189&lt;&gt;"",IF(COUNTIF(A$996:A2190,"&lt;&gt;")=0,COUNTA(B$996:B2189),IFERROR(MATCH(TRUE(),INDEX((A$996:A2190&lt;&gt;""),0),0),COUNTA(B$996:B2189))),"")</f>
        <v/>
      </c>
      <c r="L2189" s="27"/>
    </row>
    <row r="2190" customFormat="false" ht="13.8" hidden="false" customHeight="false" outlineLevel="0" collapsed="false">
      <c r="A2190" s="16"/>
      <c r="B2190" s="16"/>
      <c r="C2190" s="26"/>
      <c r="D2190" s="26"/>
      <c r="E2190" s="16"/>
      <c r="F2190" s="18"/>
      <c r="G2190" s="19" t="str">
        <f aca="true">IF(F2190="", "", DATEDIF(F2190, TODAY(), "Y"))</f>
        <v/>
      </c>
      <c r="H2190" s="28"/>
      <c r="I2190" s="28"/>
      <c r="J2190" s="24" t="str">
        <f aca="true">IF(ISBLANK(H2190), "", I2190-TODAY())</f>
        <v/>
      </c>
      <c r="K2190" s="24" t="str">
        <f aca="false" t="array" ref="K2190:K2190">IF(A2190&lt;&gt;"",IF(COUNTIF(A$996:A2191,"&lt;&gt;")=0,COUNTA(B$996:B2190),IFERROR(MATCH(TRUE(),INDEX((A$996:A2191&lt;&gt;""),0),0),COUNTA(B$996:B2190))),"")</f>
        <v/>
      </c>
      <c r="L2190" s="27"/>
    </row>
    <row r="2191" customFormat="false" ht="13.8" hidden="false" customHeight="false" outlineLevel="0" collapsed="false">
      <c r="A2191" s="16"/>
      <c r="B2191" s="16"/>
      <c r="C2191" s="26"/>
      <c r="D2191" s="26"/>
      <c r="E2191" s="16"/>
      <c r="F2191" s="18"/>
      <c r="G2191" s="19" t="str">
        <f aca="true">IF(F2191="", "", DATEDIF(F2191, TODAY(), "Y"))</f>
        <v/>
      </c>
      <c r="H2191" s="28"/>
      <c r="I2191" s="28"/>
      <c r="J2191" s="24" t="str">
        <f aca="true">IF(ISBLANK(H2191), "", I2191-TODAY())</f>
        <v/>
      </c>
      <c r="K2191" s="24" t="str">
        <f aca="false" t="array" ref="K2191:K2191">IF(A2191&lt;&gt;"",IF(COUNTIF(A$996:A2192,"&lt;&gt;")=0,COUNTA(B$996:B2191),IFERROR(MATCH(TRUE(),INDEX((A$996:A2192&lt;&gt;""),0),0),COUNTA(B$996:B2191))),"")</f>
        <v/>
      </c>
      <c r="L2191" s="27"/>
    </row>
    <row r="2192" customFormat="false" ht="13.8" hidden="false" customHeight="false" outlineLevel="0" collapsed="false">
      <c r="A2192" s="16"/>
      <c r="B2192" s="16"/>
      <c r="C2192" s="26"/>
      <c r="D2192" s="26"/>
      <c r="E2192" s="16"/>
      <c r="F2192" s="18"/>
      <c r="G2192" s="19" t="str">
        <f aca="true">IF(F2192="", "", DATEDIF(F2192, TODAY(), "Y"))</f>
        <v/>
      </c>
      <c r="H2192" s="28"/>
      <c r="I2192" s="28"/>
      <c r="J2192" s="24" t="str">
        <f aca="true">IF(ISBLANK(H2192), "", I2192-TODAY())</f>
        <v/>
      </c>
      <c r="K2192" s="24" t="str">
        <f aca="false" t="array" ref="K2192:K2192">IF(A2192&lt;&gt;"",IF(COUNTIF(A$996:A2193,"&lt;&gt;")=0,COUNTA(B$996:B2192),IFERROR(MATCH(TRUE(),INDEX((A$996:A2193&lt;&gt;""),0),0),COUNTA(B$996:B2192))),"")</f>
        <v/>
      </c>
      <c r="L2192" s="27"/>
    </row>
    <row r="2193" customFormat="false" ht="13.8" hidden="false" customHeight="false" outlineLevel="0" collapsed="false">
      <c r="A2193" s="16"/>
      <c r="B2193" s="16"/>
      <c r="C2193" s="26"/>
      <c r="D2193" s="26"/>
      <c r="E2193" s="16"/>
      <c r="F2193" s="18"/>
      <c r="G2193" s="19" t="str">
        <f aca="true">IF(F2193="", "", DATEDIF(F2193, TODAY(), "Y"))</f>
        <v/>
      </c>
      <c r="H2193" s="28"/>
      <c r="I2193" s="28"/>
      <c r="J2193" s="24" t="str">
        <f aca="true">IF(ISBLANK(H2193), "", I2193-TODAY())</f>
        <v/>
      </c>
      <c r="K2193" s="24" t="str">
        <f aca="false" t="array" ref="K2193:K2193">IF(A2193&lt;&gt;"",IF(COUNTIF(A$996:A2194,"&lt;&gt;")=0,COUNTA(B$996:B2193),IFERROR(MATCH(TRUE(),INDEX((A$996:A2194&lt;&gt;""),0),0),COUNTA(B$996:B2193))),"")</f>
        <v/>
      </c>
      <c r="L2193" s="27"/>
    </row>
    <row r="2194" customFormat="false" ht="13.8" hidden="false" customHeight="false" outlineLevel="0" collapsed="false">
      <c r="A2194" s="16"/>
      <c r="B2194" s="16"/>
      <c r="C2194" s="26"/>
      <c r="D2194" s="26"/>
      <c r="E2194" s="16"/>
      <c r="F2194" s="18"/>
      <c r="G2194" s="19" t="str">
        <f aca="true">IF(F2194="", "", DATEDIF(F2194, TODAY(), "Y"))</f>
        <v/>
      </c>
      <c r="H2194" s="28"/>
      <c r="I2194" s="28"/>
      <c r="J2194" s="24" t="str">
        <f aca="true">IF(ISBLANK(H2194), "", I2194-TODAY())</f>
        <v/>
      </c>
      <c r="K2194" s="24" t="str">
        <f aca="false" t="array" ref="K2194:K2194">IF(A2194&lt;&gt;"",IF(COUNTIF(A$996:A2195,"&lt;&gt;")=0,COUNTA(B$996:B2194),IFERROR(MATCH(TRUE(),INDEX((A$996:A2195&lt;&gt;""),0),0),COUNTA(B$996:B2194))),"")</f>
        <v/>
      </c>
      <c r="L2194" s="27"/>
    </row>
    <row r="2195" customFormat="false" ht="13.8" hidden="false" customHeight="false" outlineLevel="0" collapsed="false">
      <c r="A2195" s="16"/>
      <c r="B2195" s="16"/>
      <c r="C2195" s="26"/>
      <c r="D2195" s="26"/>
      <c r="E2195" s="16"/>
      <c r="F2195" s="18"/>
      <c r="G2195" s="19" t="str">
        <f aca="true">IF(F2195="", "", DATEDIF(F2195, TODAY(), "Y"))</f>
        <v/>
      </c>
      <c r="H2195" s="28"/>
      <c r="I2195" s="28"/>
      <c r="J2195" s="24" t="str">
        <f aca="true">IF(ISBLANK(H2195), "", I2195-TODAY())</f>
        <v/>
      </c>
      <c r="K2195" s="24" t="str">
        <f aca="false" t="array" ref="K2195:K2195">IF(A2195&lt;&gt;"",IF(COUNTIF(A$996:A2196,"&lt;&gt;")=0,COUNTA(B$996:B2195),IFERROR(MATCH(TRUE(),INDEX((A$996:A2196&lt;&gt;""),0),0),COUNTA(B$996:B2195))),"")</f>
        <v/>
      </c>
      <c r="L2195" s="27"/>
    </row>
    <row r="2196" customFormat="false" ht="13.8" hidden="false" customHeight="false" outlineLevel="0" collapsed="false">
      <c r="A2196" s="16"/>
      <c r="B2196" s="16"/>
      <c r="C2196" s="26"/>
      <c r="D2196" s="26"/>
      <c r="E2196" s="16"/>
      <c r="F2196" s="18"/>
      <c r="G2196" s="19" t="str">
        <f aca="true">IF(F2196="", "", DATEDIF(F2196, TODAY(), "Y"))</f>
        <v/>
      </c>
      <c r="H2196" s="28"/>
      <c r="I2196" s="28"/>
      <c r="J2196" s="24" t="str">
        <f aca="true">IF(ISBLANK(H2196), "", I2196-TODAY())</f>
        <v/>
      </c>
      <c r="K2196" s="24" t="str">
        <f aca="false" t="array" ref="K2196:K2196">IF(A2196&lt;&gt;"",IF(COUNTIF(A$996:A2197,"&lt;&gt;")=0,COUNTA(B$996:B2196),IFERROR(MATCH(TRUE(),INDEX((A$996:A2197&lt;&gt;""),0),0),COUNTA(B$996:B2196))),"")</f>
        <v/>
      </c>
      <c r="L2196" s="27"/>
    </row>
    <row r="2197" customFormat="false" ht="13.8" hidden="false" customHeight="false" outlineLevel="0" collapsed="false">
      <c r="A2197" s="16"/>
      <c r="B2197" s="16"/>
      <c r="C2197" s="26"/>
      <c r="D2197" s="26"/>
      <c r="E2197" s="16"/>
      <c r="F2197" s="18"/>
      <c r="G2197" s="19" t="str">
        <f aca="true">IF(F2197="", "", DATEDIF(F2197, TODAY(), "Y"))</f>
        <v/>
      </c>
      <c r="H2197" s="28"/>
      <c r="I2197" s="28"/>
      <c r="J2197" s="24" t="str">
        <f aca="true">IF(ISBLANK(H2197), "", I2197-TODAY())</f>
        <v/>
      </c>
      <c r="K2197" s="24" t="str">
        <f aca="false" t="array" ref="K2197:K2197">IF(A2197&lt;&gt;"",IF(COUNTIF(A$996:A2198,"&lt;&gt;")=0,COUNTA(B$996:B2197),IFERROR(MATCH(TRUE(),INDEX((A$996:A2198&lt;&gt;""),0),0),COUNTA(B$996:B2197))),"")</f>
        <v/>
      </c>
      <c r="L2197" s="27"/>
    </row>
    <row r="2198" customFormat="false" ht="13.8" hidden="false" customHeight="false" outlineLevel="0" collapsed="false">
      <c r="A2198" s="16"/>
      <c r="B2198" s="16"/>
      <c r="C2198" s="26"/>
      <c r="D2198" s="26"/>
      <c r="E2198" s="16"/>
      <c r="F2198" s="18"/>
      <c r="G2198" s="19" t="str">
        <f aca="true">IF(F2198="", "", DATEDIF(F2198, TODAY(), "Y"))</f>
        <v/>
      </c>
      <c r="H2198" s="28"/>
      <c r="I2198" s="28"/>
      <c r="J2198" s="24" t="str">
        <f aca="true">IF(ISBLANK(H2198), "", I2198-TODAY())</f>
        <v/>
      </c>
      <c r="K2198" s="24" t="str">
        <f aca="false" t="array" ref="K2198:K2198">IF(A2198&lt;&gt;"",IF(COUNTIF(A$996:A2199,"&lt;&gt;")=0,COUNTA(B$996:B2198),IFERROR(MATCH(TRUE(),INDEX((A$996:A2199&lt;&gt;""),0),0),COUNTA(B$996:B2198))),"")</f>
        <v/>
      </c>
      <c r="L2198" s="27"/>
    </row>
    <row r="2199" customFormat="false" ht="13.8" hidden="false" customHeight="false" outlineLevel="0" collapsed="false">
      <c r="A2199" s="16"/>
      <c r="B2199" s="16"/>
      <c r="C2199" s="26"/>
      <c r="D2199" s="26"/>
      <c r="E2199" s="16"/>
      <c r="F2199" s="18"/>
      <c r="G2199" s="19" t="str">
        <f aca="true">IF(F2199="", "", DATEDIF(F2199, TODAY(), "Y"))</f>
        <v/>
      </c>
      <c r="H2199" s="28"/>
      <c r="I2199" s="28"/>
      <c r="J2199" s="24" t="str">
        <f aca="true">IF(ISBLANK(H2199), "", I2199-TODAY())</f>
        <v/>
      </c>
      <c r="K2199" s="24" t="str">
        <f aca="false" t="array" ref="K2199:K2199">IF(A2199&lt;&gt;"",IF(COUNTIF(A$996:A2200,"&lt;&gt;")=0,COUNTA(B$996:B2199),IFERROR(MATCH(TRUE(),INDEX((A$996:A2200&lt;&gt;""),0),0),COUNTA(B$996:B2199))),"")</f>
        <v/>
      </c>
      <c r="L2199" s="27"/>
    </row>
    <row r="2200" customFormat="false" ht="13.8" hidden="false" customHeight="false" outlineLevel="0" collapsed="false">
      <c r="A2200" s="16"/>
      <c r="B2200" s="16"/>
      <c r="C2200" s="26"/>
      <c r="D2200" s="26"/>
      <c r="E2200" s="16"/>
      <c r="F2200" s="18"/>
      <c r="G2200" s="19" t="str">
        <f aca="true">IF(F2200="", "", DATEDIF(F2200, TODAY(), "Y"))</f>
        <v/>
      </c>
      <c r="H2200" s="28"/>
      <c r="I2200" s="28"/>
      <c r="J2200" s="24" t="str">
        <f aca="true">IF(ISBLANK(H2200), "", I2200-TODAY())</f>
        <v/>
      </c>
      <c r="K2200" s="24" t="str">
        <f aca="false" t="array" ref="K2200:K2200">IF(A2200&lt;&gt;"",IF(COUNTIF(A$996:A2201,"&lt;&gt;")=0,COUNTA(B$996:B2200),IFERROR(MATCH(TRUE(),INDEX((A$996:A2201&lt;&gt;""),0),0),COUNTA(B$996:B2200))),"")</f>
        <v/>
      </c>
      <c r="L2200" s="27"/>
    </row>
    <row r="2201" customFormat="false" ht="13.8" hidden="false" customHeight="false" outlineLevel="0" collapsed="false">
      <c r="A2201" s="16"/>
      <c r="B2201" s="16"/>
      <c r="C2201" s="26"/>
      <c r="D2201" s="26"/>
      <c r="E2201" s="16"/>
      <c r="F2201" s="18"/>
      <c r="G2201" s="19" t="str">
        <f aca="true">IF(F2201="", "", DATEDIF(F2201, TODAY(), "Y"))</f>
        <v/>
      </c>
      <c r="H2201" s="28"/>
      <c r="I2201" s="28"/>
      <c r="J2201" s="24" t="str">
        <f aca="true">IF(ISBLANK(H2201), "", I2201-TODAY())</f>
        <v/>
      </c>
      <c r="K2201" s="24" t="str">
        <f aca="false" t="array" ref="K2201:K2201">IF(A2201&lt;&gt;"",IF(COUNTIF(A$996:A2202,"&lt;&gt;")=0,COUNTA(B$996:B2201),IFERROR(MATCH(TRUE(),INDEX((A$996:A2202&lt;&gt;""),0),0),COUNTA(B$996:B2201))),"")</f>
        <v/>
      </c>
      <c r="L2201" s="27"/>
    </row>
    <row r="2202" customFormat="false" ht="13.8" hidden="false" customHeight="false" outlineLevel="0" collapsed="false">
      <c r="A2202" s="16"/>
      <c r="B2202" s="16"/>
      <c r="C2202" s="26"/>
      <c r="D2202" s="26"/>
      <c r="E2202" s="16"/>
      <c r="F2202" s="18"/>
      <c r="G2202" s="19" t="str">
        <f aca="true">IF(F2202="", "", DATEDIF(F2202, TODAY(), "Y"))</f>
        <v/>
      </c>
      <c r="H2202" s="28"/>
      <c r="I2202" s="28"/>
      <c r="J2202" s="24" t="str">
        <f aca="true">IF(ISBLANK(H2202), "", I2202-TODAY())</f>
        <v/>
      </c>
      <c r="K2202" s="24" t="str">
        <f aca="false" t="array" ref="K2202:K2202">IF(A2202&lt;&gt;"",IF(COUNTIF(A$996:A2203,"&lt;&gt;")=0,COUNTA(B$996:B2202),IFERROR(MATCH(TRUE(),INDEX((A$996:A2203&lt;&gt;""),0),0),COUNTA(B$996:B2202))),"")</f>
        <v/>
      </c>
      <c r="L2202" s="27"/>
    </row>
    <row r="2203" customFormat="false" ht="13.8" hidden="false" customHeight="false" outlineLevel="0" collapsed="false">
      <c r="A2203" s="16"/>
      <c r="B2203" s="16"/>
      <c r="C2203" s="26"/>
      <c r="D2203" s="26"/>
      <c r="E2203" s="16"/>
      <c r="F2203" s="18"/>
      <c r="G2203" s="19" t="str">
        <f aca="true">IF(F2203="", "", DATEDIF(F2203, TODAY(), "Y"))</f>
        <v/>
      </c>
      <c r="H2203" s="28"/>
      <c r="I2203" s="28"/>
      <c r="J2203" s="24" t="str">
        <f aca="true">IF(ISBLANK(H2203), "", I2203-TODAY())</f>
        <v/>
      </c>
      <c r="K2203" s="24" t="str">
        <f aca="false" t="array" ref="K2203:K2203">IF(A2203&lt;&gt;"",IF(COUNTIF(A$996:A2204,"&lt;&gt;")=0,COUNTA(B$996:B2203),IFERROR(MATCH(TRUE(),INDEX((A$996:A2204&lt;&gt;""),0),0),COUNTA(B$996:B2203))),"")</f>
        <v/>
      </c>
      <c r="L2203" s="27"/>
    </row>
    <row r="2204" customFormat="false" ht="13.8" hidden="false" customHeight="false" outlineLevel="0" collapsed="false">
      <c r="A2204" s="16"/>
      <c r="B2204" s="16"/>
      <c r="C2204" s="26"/>
      <c r="D2204" s="26"/>
      <c r="E2204" s="16"/>
      <c r="F2204" s="18"/>
      <c r="G2204" s="19" t="str">
        <f aca="true">IF(F2204="", "", DATEDIF(F2204, TODAY(), "Y"))</f>
        <v/>
      </c>
      <c r="H2204" s="28"/>
      <c r="I2204" s="28"/>
      <c r="J2204" s="24" t="str">
        <f aca="true">IF(ISBLANK(H2204), "", I2204-TODAY())</f>
        <v/>
      </c>
      <c r="K2204" s="24" t="str">
        <f aca="false" t="array" ref="K2204:K2204">IF(A2204&lt;&gt;"",IF(COUNTIF(A$996:A2205,"&lt;&gt;")=0,COUNTA(B$996:B2204),IFERROR(MATCH(TRUE(),INDEX((A$996:A2205&lt;&gt;""),0),0),COUNTA(B$996:B2204))),"")</f>
        <v/>
      </c>
      <c r="L2204" s="27"/>
    </row>
    <row r="2205" customFormat="false" ht="13.8" hidden="false" customHeight="false" outlineLevel="0" collapsed="false">
      <c r="A2205" s="16"/>
      <c r="B2205" s="16"/>
      <c r="C2205" s="26"/>
      <c r="D2205" s="26"/>
      <c r="E2205" s="16"/>
      <c r="F2205" s="18"/>
      <c r="G2205" s="19" t="str">
        <f aca="true">IF(F2205="", "", DATEDIF(F2205, TODAY(), "Y"))</f>
        <v/>
      </c>
      <c r="H2205" s="28"/>
      <c r="I2205" s="28"/>
      <c r="J2205" s="24" t="str">
        <f aca="true">IF(ISBLANK(H2205), "", I2205-TODAY())</f>
        <v/>
      </c>
      <c r="K2205" s="24" t="str">
        <f aca="false" t="array" ref="K2205:K2205">IF(A2205&lt;&gt;"",IF(COUNTIF(A$996:A2206,"&lt;&gt;")=0,COUNTA(B$996:B2205),IFERROR(MATCH(TRUE(),INDEX((A$996:A2206&lt;&gt;""),0),0),COUNTA(B$996:B2205))),"")</f>
        <v/>
      </c>
      <c r="L2205" s="27"/>
    </row>
    <row r="2206" customFormat="false" ht="13.8" hidden="false" customHeight="false" outlineLevel="0" collapsed="false">
      <c r="A2206" s="16"/>
      <c r="B2206" s="16"/>
      <c r="C2206" s="26"/>
      <c r="D2206" s="26"/>
      <c r="E2206" s="16"/>
      <c r="F2206" s="18"/>
      <c r="G2206" s="19" t="str">
        <f aca="true">IF(F2206="", "", DATEDIF(F2206, TODAY(), "Y"))</f>
        <v/>
      </c>
      <c r="H2206" s="28"/>
      <c r="I2206" s="28"/>
      <c r="J2206" s="24" t="str">
        <f aca="true">IF(ISBLANK(H2206), "", I2206-TODAY())</f>
        <v/>
      </c>
      <c r="K2206" s="24" t="str">
        <f aca="false" t="array" ref="K2206:K2206">IF(A2206&lt;&gt;"",IF(COUNTIF(A$996:A2207,"&lt;&gt;")=0,COUNTA(B$996:B2206),IFERROR(MATCH(TRUE(),INDEX((A$996:A2207&lt;&gt;""),0),0),COUNTA(B$996:B2206))),"")</f>
        <v/>
      </c>
      <c r="L2206" s="27"/>
    </row>
    <row r="2207" customFormat="false" ht="13.8" hidden="false" customHeight="false" outlineLevel="0" collapsed="false">
      <c r="A2207" s="16"/>
      <c r="B2207" s="16"/>
      <c r="C2207" s="26"/>
      <c r="D2207" s="26"/>
      <c r="E2207" s="16"/>
      <c r="F2207" s="18"/>
      <c r="G2207" s="19" t="str">
        <f aca="true">IF(F2207="", "", DATEDIF(F2207, TODAY(), "Y"))</f>
        <v/>
      </c>
      <c r="H2207" s="28"/>
      <c r="I2207" s="28"/>
      <c r="J2207" s="24" t="str">
        <f aca="true">IF(ISBLANK(H2207), "", I2207-TODAY())</f>
        <v/>
      </c>
      <c r="K2207" s="24" t="str">
        <f aca="false" t="array" ref="K2207:K2207">IF(A2207&lt;&gt;"",IF(COUNTIF(A$996:A2208,"&lt;&gt;")=0,COUNTA(B$996:B2207),IFERROR(MATCH(TRUE(),INDEX((A$996:A2208&lt;&gt;""),0),0),COUNTA(B$996:B2207))),"")</f>
        <v/>
      </c>
      <c r="L2207" s="27"/>
    </row>
    <row r="2208" customFormat="false" ht="13.8" hidden="false" customHeight="false" outlineLevel="0" collapsed="false">
      <c r="A2208" s="16"/>
      <c r="B2208" s="16"/>
      <c r="C2208" s="26"/>
      <c r="D2208" s="26"/>
      <c r="E2208" s="16"/>
      <c r="F2208" s="18"/>
      <c r="G2208" s="19" t="str">
        <f aca="true">IF(F2208="", "", DATEDIF(F2208, TODAY(), "Y"))</f>
        <v/>
      </c>
      <c r="H2208" s="28"/>
      <c r="I2208" s="28"/>
      <c r="J2208" s="24" t="str">
        <f aca="true">IF(ISBLANK(H2208), "", I2208-TODAY())</f>
        <v/>
      </c>
      <c r="K2208" s="24" t="str">
        <f aca="false" t="array" ref="K2208:K2208">IF(A2208&lt;&gt;"",IF(COUNTIF(A$996:A2209,"&lt;&gt;")=0,COUNTA(B$996:B2208),IFERROR(MATCH(TRUE(),INDEX((A$996:A2209&lt;&gt;""),0),0),COUNTA(B$996:B2208))),"")</f>
        <v/>
      </c>
      <c r="L2208" s="27"/>
    </row>
    <row r="2209" customFormat="false" ht="13.8" hidden="false" customHeight="false" outlineLevel="0" collapsed="false">
      <c r="A2209" s="16"/>
      <c r="B2209" s="16"/>
      <c r="C2209" s="26"/>
      <c r="D2209" s="26"/>
      <c r="E2209" s="16"/>
      <c r="F2209" s="18"/>
      <c r="G2209" s="19" t="str">
        <f aca="true">IF(F2209="", "", DATEDIF(F2209, TODAY(), "Y"))</f>
        <v/>
      </c>
      <c r="H2209" s="28"/>
      <c r="I2209" s="28"/>
      <c r="J2209" s="24" t="str">
        <f aca="true">IF(ISBLANK(H2209), "", I2209-TODAY())</f>
        <v/>
      </c>
      <c r="K2209" s="24" t="str">
        <f aca="false" t="array" ref="K2209:K2209">IF(A2209&lt;&gt;"",IF(COUNTIF(A$996:A2210,"&lt;&gt;")=0,COUNTA(B$996:B2209),IFERROR(MATCH(TRUE(),INDEX((A$996:A2210&lt;&gt;""),0),0),COUNTA(B$996:B2209))),"")</f>
        <v/>
      </c>
      <c r="L2209" s="27"/>
    </row>
    <row r="2210" customFormat="false" ht="13.8" hidden="false" customHeight="false" outlineLevel="0" collapsed="false">
      <c r="A2210" s="16"/>
      <c r="B2210" s="16"/>
      <c r="C2210" s="26"/>
      <c r="D2210" s="26"/>
      <c r="E2210" s="16"/>
      <c r="F2210" s="18"/>
      <c r="G2210" s="19" t="str">
        <f aca="true">IF(F2210="", "", DATEDIF(F2210, TODAY(), "Y"))</f>
        <v/>
      </c>
      <c r="H2210" s="28"/>
      <c r="I2210" s="28"/>
      <c r="J2210" s="24" t="str">
        <f aca="true">IF(ISBLANK(H2210), "", I2210-TODAY())</f>
        <v/>
      </c>
      <c r="K2210" s="24" t="str">
        <f aca="false" t="array" ref="K2210:K2210">IF(A2210&lt;&gt;"",IF(COUNTIF(A$996:A2211,"&lt;&gt;")=0,COUNTA(B$996:B2210),IFERROR(MATCH(TRUE(),INDEX((A$996:A2211&lt;&gt;""),0),0),COUNTA(B$996:B2210))),"")</f>
        <v/>
      </c>
      <c r="L2210" s="27"/>
    </row>
    <row r="2211" customFormat="false" ht="13.8" hidden="false" customHeight="false" outlineLevel="0" collapsed="false">
      <c r="A2211" s="16"/>
      <c r="B2211" s="16"/>
      <c r="C2211" s="26"/>
      <c r="D2211" s="26"/>
      <c r="E2211" s="16"/>
      <c r="F2211" s="18"/>
      <c r="G2211" s="19" t="str">
        <f aca="true">IF(F2211="", "", DATEDIF(F2211, TODAY(), "Y"))</f>
        <v/>
      </c>
      <c r="H2211" s="28"/>
      <c r="I2211" s="28"/>
      <c r="J2211" s="24" t="str">
        <f aca="true">IF(ISBLANK(H2211), "", I2211-TODAY())</f>
        <v/>
      </c>
      <c r="K2211" s="24" t="str">
        <f aca="false" t="array" ref="K2211:K2211">IF(A2211&lt;&gt;"",IF(COUNTIF(A$996:A2212,"&lt;&gt;")=0,COUNTA(B$996:B2211),IFERROR(MATCH(TRUE(),INDEX((A$996:A2212&lt;&gt;""),0),0),COUNTA(B$996:B2211))),"")</f>
        <v/>
      </c>
      <c r="L2211" s="27"/>
    </row>
    <row r="2212" customFormat="false" ht="13.8" hidden="false" customHeight="false" outlineLevel="0" collapsed="false">
      <c r="A2212" s="16"/>
      <c r="B2212" s="16"/>
      <c r="C2212" s="26"/>
      <c r="D2212" s="26"/>
      <c r="E2212" s="16"/>
      <c r="F2212" s="18"/>
      <c r="G2212" s="19" t="str">
        <f aca="true">IF(F2212="", "", DATEDIF(F2212, TODAY(), "Y"))</f>
        <v/>
      </c>
      <c r="H2212" s="28"/>
      <c r="I2212" s="28"/>
      <c r="J2212" s="24" t="str">
        <f aca="true">IF(ISBLANK(H2212), "", I2212-TODAY())</f>
        <v/>
      </c>
      <c r="K2212" s="24" t="str">
        <f aca="false" t="array" ref="K2212:K2212">IF(A2212&lt;&gt;"",IF(COUNTIF(A$996:A2213,"&lt;&gt;")=0,COUNTA(B$996:B2212),IFERROR(MATCH(TRUE(),INDEX((A$996:A2213&lt;&gt;""),0),0),COUNTA(B$996:B2212))),"")</f>
        <v/>
      </c>
      <c r="L2212" s="27"/>
    </row>
    <row r="2213" customFormat="false" ht="13.8" hidden="false" customHeight="false" outlineLevel="0" collapsed="false">
      <c r="A2213" s="16"/>
      <c r="B2213" s="16"/>
      <c r="C2213" s="26"/>
      <c r="D2213" s="26"/>
      <c r="E2213" s="16"/>
      <c r="F2213" s="18"/>
      <c r="G2213" s="19" t="str">
        <f aca="true">IF(F2213="", "", DATEDIF(F2213, TODAY(), "Y"))</f>
        <v/>
      </c>
      <c r="H2213" s="28"/>
      <c r="I2213" s="28"/>
      <c r="J2213" s="24" t="str">
        <f aca="true">IF(ISBLANK(H2213), "", I2213-TODAY())</f>
        <v/>
      </c>
      <c r="K2213" s="24" t="str">
        <f aca="false" t="array" ref="K2213:K2213">IF(A2213&lt;&gt;"",IF(COUNTIF(A$996:A2214,"&lt;&gt;")=0,COUNTA(B$996:B2213),IFERROR(MATCH(TRUE(),INDEX((A$996:A2214&lt;&gt;""),0),0),COUNTA(B$996:B2213))),"")</f>
        <v/>
      </c>
      <c r="L2213" s="27"/>
    </row>
    <row r="2214" customFormat="false" ht="13.8" hidden="false" customHeight="false" outlineLevel="0" collapsed="false">
      <c r="A2214" s="16"/>
      <c r="B2214" s="16"/>
      <c r="C2214" s="26"/>
      <c r="D2214" s="26"/>
      <c r="E2214" s="16"/>
      <c r="F2214" s="18"/>
      <c r="G2214" s="19" t="str">
        <f aca="true">IF(F2214="", "", DATEDIF(F2214, TODAY(), "Y"))</f>
        <v/>
      </c>
      <c r="H2214" s="28"/>
      <c r="I2214" s="28"/>
      <c r="J2214" s="24" t="str">
        <f aca="true">IF(ISBLANK(H2214), "", I2214-TODAY())</f>
        <v/>
      </c>
      <c r="K2214" s="24" t="str">
        <f aca="false" t="array" ref="K2214:K2214">IF(A2214&lt;&gt;"",IF(COUNTIF(A$996:A2215,"&lt;&gt;")=0,COUNTA(B$996:B2214),IFERROR(MATCH(TRUE(),INDEX((A$996:A2215&lt;&gt;""),0),0),COUNTA(B$996:B2214))),"")</f>
        <v/>
      </c>
      <c r="L2214" s="27"/>
    </row>
    <row r="2215" customFormat="false" ht="13.8" hidden="false" customHeight="false" outlineLevel="0" collapsed="false">
      <c r="A2215" s="16"/>
      <c r="B2215" s="16"/>
      <c r="C2215" s="26"/>
      <c r="D2215" s="26"/>
      <c r="E2215" s="16"/>
      <c r="F2215" s="18"/>
      <c r="G2215" s="19" t="str">
        <f aca="true">IF(F2215="", "", DATEDIF(F2215, TODAY(), "Y"))</f>
        <v/>
      </c>
      <c r="H2215" s="28"/>
      <c r="I2215" s="28"/>
      <c r="J2215" s="24" t="str">
        <f aca="true">IF(ISBLANK(H2215), "", I2215-TODAY())</f>
        <v/>
      </c>
      <c r="K2215" s="24" t="str">
        <f aca="false" t="array" ref="K2215:K2215">IF(A2215&lt;&gt;"",IF(COUNTIF(A$996:A2216,"&lt;&gt;")=0,COUNTA(B$996:B2215),IFERROR(MATCH(TRUE(),INDEX((A$996:A2216&lt;&gt;""),0),0),COUNTA(B$996:B2215))),"")</f>
        <v/>
      </c>
      <c r="L2215" s="27"/>
    </row>
    <row r="2216" customFormat="false" ht="13.8" hidden="false" customHeight="false" outlineLevel="0" collapsed="false">
      <c r="A2216" s="16"/>
      <c r="B2216" s="16"/>
      <c r="C2216" s="26"/>
      <c r="D2216" s="26"/>
      <c r="E2216" s="16"/>
      <c r="F2216" s="18"/>
      <c r="G2216" s="19" t="str">
        <f aca="true">IF(F2216="", "", DATEDIF(F2216, TODAY(), "Y"))</f>
        <v/>
      </c>
      <c r="H2216" s="28"/>
      <c r="I2216" s="28"/>
      <c r="J2216" s="24" t="str">
        <f aca="true">IF(ISBLANK(H2216), "", I2216-TODAY())</f>
        <v/>
      </c>
      <c r="K2216" s="24" t="str">
        <f aca="false" t="array" ref="K2216:K2216">IF(A2216&lt;&gt;"",IF(COUNTIF(A$996:A2217,"&lt;&gt;")=0,COUNTA(B$996:B2216),IFERROR(MATCH(TRUE(),INDEX((A$996:A2217&lt;&gt;""),0),0),COUNTA(B$996:B2216))),"")</f>
        <v/>
      </c>
      <c r="L2216" s="27"/>
    </row>
    <row r="2217" customFormat="false" ht="13.8" hidden="false" customHeight="false" outlineLevel="0" collapsed="false">
      <c r="A2217" s="16"/>
      <c r="B2217" s="16"/>
      <c r="C2217" s="26"/>
      <c r="D2217" s="26"/>
      <c r="E2217" s="16"/>
      <c r="F2217" s="18"/>
      <c r="G2217" s="19" t="str">
        <f aca="true">IF(F2217="", "", DATEDIF(F2217, TODAY(), "Y"))</f>
        <v/>
      </c>
      <c r="H2217" s="28"/>
      <c r="I2217" s="28"/>
      <c r="J2217" s="24" t="str">
        <f aca="true">IF(ISBLANK(H2217), "", I2217-TODAY())</f>
        <v/>
      </c>
      <c r="K2217" s="24" t="str">
        <f aca="false" t="array" ref="K2217:K2217">IF(A2217&lt;&gt;"",IF(COUNTIF(A$996:A2218,"&lt;&gt;")=0,COUNTA(B$996:B2217),IFERROR(MATCH(TRUE(),INDEX((A$996:A2218&lt;&gt;""),0),0),COUNTA(B$996:B2217))),"")</f>
        <v/>
      </c>
      <c r="L2217" s="27"/>
    </row>
    <row r="2218" customFormat="false" ht="13.8" hidden="false" customHeight="false" outlineLevel="0" collapsed="false">
      <c r="A2218" s="16"/>
      <c r="B2218" s="16"/>
      <c r="C2218" s="26"/>
      <c r="D2218" s="26"/>
      <c r="E2218" s="16"/>
      <c r="F2218" s="18"/>
      <c r="G2218" s="19" t="str">
        <f aca="true">IF(F2218="", "", DATEDIF(F2218, TODAY(), "Y"))</f>
        <v/>
      </c>
      <c r="H2218" s="28"/>
      <c r="I2218" s="28"/>
      <c r="J2218" s="24" t="str">
        <f aca="true">IF(ISBLANK(H2218), "", I2218-TODAY())</f>
        <v/>
      </c>
      <c r="K2218" s="24" t="str">
        <f aca="false" t="array" ref="K2218:K2218">IF(A2218&lt;&gt;"",IF(COUNTIF(A$996:A2219,"&lt;&gt;")=0,COUNTA(B$996:B2218),IFERROR(MATCH(TRUE(),INDEX((A$996:A2219&lt;&gt;""),0),0),COUNTA(B$996:B2218))),"")</f>
        <v/>
      </c>
      <c r="L2218" s="27"/>
    </row>
    <row r="2219" customFormat="false" ht="13.8" hidden="false" customHeight="false" outlineLevel="0" collapsed="false">
      <c r="A2219" s="16"/>
      <c r="B2219" s="16"/>
      <c r="C2219" s="26"/>
      <c r="D2219" s="26"/>
      <c r="E2219" s="16"/>
      <c r="F2219" s="18"/>
      <c r="G2219" s="19" t="str">
        <f aca="true">IF(F2219="", "", DATEDIF(F2219, TODAY(), "Y"))</f>
        <v/>
      </c>
      <c r="H2219" s="28"/>
      <c r="I2219" s="28"/>
      <c r="J2219" s="24" t="str">
        <f aca="true">IF(ISBLANK(H2219), "", I2219-TODAY())</f>
        <v/>
      </c>
      <c r="K2219" s="24" t="str">
        <f aca="false" t="array" ref="K2219:K2219">IF(A2219&lt;&gt;"",IF(COUNTIF(A$996:A2220,"&lt;&gt;")=0,COUNTA(B$996:B2219),IFERROR(MATCH(TRUE(),INDEX((A$996:A2220&lt;&gt;""),0),0),COUNTA(B$996:B2219))),"")</f>
        <v/>
      </c>
      <c r="L2219" s="27"/>
    </row>
    <row r="2220" customFormat="false" ht="13.8" hidden="false" customHeight="false" outlineLevel="0" collapsed="false">
      <c r="A2220" s="16"/>
      <c r="B2220" s="16"/>
      <c r="C2220" s="26"/>
      <c r="D2220" s="26"/>
      <c r="E2220" s="16"/>
      <c r="F2220" s="18"/>
      <c r="G2220" s="19" t="str">
        <f aca="true">IF(F2220="", "", DATEDIF(F2220, TODAY(), "Y"))</f>
        <v/>
      </c>
      <c r="H2220" s="28"/>
      <c r="I2220" s="28"/>
      <c r="J2220" s="24" t="str">
        <f aca="true">IF(ISBLANK(H2220), "", I2220-TODAY())</f>
        <v/>
      </c>
      <c r="K2220" s="24" t="str">
        <f aca="false" t="array" ref="K2220:K2220">IF(A2220&lt;&gt;"",IF(COUNTIF(A$996:A2221,"&lt;&gt;")=0,COUNTA(B$996:B2220),IFERROR(MATCH(TRUE(),INDEX((A$996:A2221&lt;&gt;""),0),0),COUNTA(B$996:B2220))),"")</f>
        <v/>
      </c>
      <c r="L2220" s="27"/>
    </row>
    <row r="2221" customFormat="false" ht="13.8" hidden="false" customHeight="false" outlineLevel="0" collapsed="false">
      <c r="A2221" s="16"/>
      <c r="B2221" s="16"/>
      <c r="C2221" s="26"/>
      <c r="D2221" s="26"/>
      <c r="E2221" s="16"/>
      <c r="F2221" s="18"/>
      <c r="G2221" s="19" t="str">
        <f aca="true">IF(F2221="", "", DATEDIF(F2221, TODAY(), "Y"))</f>
        <v/>
      </c>
      <c r="H2221" s="28"/>
      <c r="I2221" s="28"/>
      <c r="J2221" s="24" t="str">
        <f aca="true">IF(ISBLANK(H2221), "", I2221-TODAY())</f>
        <v/>
      </c>
      <c r="K2221" s="24" t="str">
        <f aca="false" t="array" ref="K2221:K2221">IF(A2221&lt;&gt;"",IF(COUNTIF(A$996:A2222,"&lt;&gt;")=0,COUNTA(B$996:B2221),IFERROR(MATCH(TRUE(),INDEX((A$996:A2222&lt;&gt;""),0),0),COUNTA(B$996:B2221))),"")</f>
        <v/>
      </c>
      <c r="L2221" s="27"/>
    </row>
    <row r="2222" customFormat="false" ht="13.8" hidden="false" customHeight="false" outlineLevel="0" collapsed="false">
      <c r="A2222" s="16"/>
      <c r="B2222" s="16"/>
      <c r="C2222" s="26"/>
      <c r="D2222" s="26"/>
      <c r="E2222" s="16"/>
      <c r="F2222" s="18"/>
      <c r="G2222" s="19" t="str">
        <f aca="true">IF(F2222="", "", DATEDIF(F2222, TODAY(), "Y"))</f>
        <v/>
      </c>
      <c r="H2222" s="28"/>
      <c r="I2222" s="28"/>
      <c r="J2222" s="24" t="str">
        <f aca="true">IF(ISBLANK(H2222), "", I2222-TODAY())</f>
        <v/>
      </c>
      <c r="K2222" s="24" t="str">
        <f aca="false" t="array" ref="K2222:K2222">IF(A2222&lt;&gt;"",IF(COUNTIF(A$996:A2223,"&lt;&gt;")=0,COUNTA(B$996:B2222),IFERROR(MATCH(TRUE(),INDEX((A$996:A2223&lt;&gt;""),0),0),COUNTA(B$996:B2222))),"")</f>
        <v/>
      </c>
      <c r="L2222" s="27"/>
    </row>
    <row r="2223" customFormat="false" ht="13.8" hidden="false" customHeight="false" outlineLevel="0" collapsed="false">
      <c r="A2223" s="16"/>
      <c r="B2223" s="16"/>
      <c r="C2223" s="26"/>
      <c r="D2223" s="26"/>
      <c r="E2223" s="16"/>
      <c r="F2223" s="18"/>
      <c r="G2223" s="19" t="str">
        <f aca="true">IF(F2223="", "", DATEDIF(F2223, TODAY(), "Y"))</f>
        <v/>
      </c>
      <c r="H2223" s="28"/>
      <c r="I2223" s="28"/>
      <c r="J2223" s="24" t="str">
        <f aca="true">IF(ISBLANK(H2223), "", I2223-TODAY())</f>
        <v/>
      </c>
      <c r="K2223" s="24" t="str">
        <f aca="false" t="array" ref="K2223:K2223">IF(A2223&lt;&gt;"",IF(COUNTIF(A$996:A2224,"&lt;&gt;")=0,COUNTA(B$996:B2223),IFERROR(MATCH(TRUE(),INDEX((A$996:A2224&lt;&gt;""),0),0),COUNTA(B$996:B2223))),"")</f>
        <v/>
      </c>
      <c r="L2223" s="27"/>
    </row>
    <row r="2224" customFormat="false" ht="13.8" hidden="false" customHeight="false" outlineLevel="0" collapsed="false">
      <c r="A2224" s="16"/>
      <c r="B2224" s="16"/>
      <c r="C2224" s="26"/>
      <c r="D2224" s="26"/>
      <c r="E2224" s="16"/>
      <c r="F2224" s="18"/>
      <c r="G2224" s="19" t="str">
        <f aca="true">IF(F2224="", "", DATEDIF(F2224, TODAY(), "Y"))</f>
        <v/>
      </c>
      <c r="H2224" s="28"/>
      <c r="I2224" s="28"/>
      <c r="J2224" s="24" t="str">
        <f aca="true">IF(ISBLANK(H2224), "", I2224-TODAY())</f>
        <v/>
      </c>
      <c r="K2224" s="24" t="str">
        <f aca="false" t="array" ref="K2224:K2224">IF(A2224&lt;&gt;"",IF(COUNTIF(A$996:A2225,"&lt;&gt;")=0,COUNTA(B$996:B2224),IFERROR(MATCH(TRUE(),INDEX((A$996:A2225&lt;&gt;""),0),0),COUNTA(B$996:B2224))),"")</f>
        <v/>
      </c>
      <c r="L2224" s="27"/>
    </row>
    <row r="2225" customFormat="false" ht="13.8" hidden="false" customHeight="false" outlineLevel="0" collapsed="false">
      <c r="A2225" s="16"/>
      <c r="B2225" s="16"/>
      <c r="C2225" s="26"/>
      <c r="D2225" s="26"/>
      <c r="E2225" s="16"/>
      <c r="F2225" s="18"/>
      <c r="G2225" s="19" t="str">
        <f aca="true">IF(F2225="", "", DATEDIF(F2225, TODAY(), "Y"))</f>
        <v/>
      </c>
      <c r="H2225" s="28"/>
      <c r="I2225" s="28"/>
      <c r="J2225" s="24" t="str">
        <f aca="true">IF(ISBLANK(H2225), "", I2225-TODAY())</f>
        <v/>
      </c>
      <c r="K2225" s="24" t="str">
        <f aca="false" t="array" ref="K2225:K2225">IF(A2225&lt;&gt;"",IF(COUNTIF(A$996:A2226,"&lt;&gt;")=0,COUNTA(B$996:B2225),IFERROR(MATCH(TRUE(),INDEX((A$996:A2226&lt;&gt;""),0),0),COUNTA(B$996:B2225))),"")</f>
        <v/>
      </c>
      <c r="L2225" s="27"/>
    </row>
    <row r="2226" customFormat="false" ht="13.8" hidden="false" customHeight="false" outlineLevel="0" collapsed="false">
      <c r="A2226" s="16"/>
      <c r="B2226" s="16"/>
      <c r="C2226" s="26"/>
      <c r="D2226" s="26"/>
      <c r="E2226" s="16"/>
      <c r="F2226" s="18"/>
      <c r="G2226" s="19" t="str">
        <f aca="true">IF(F2226="", "", DATEDIF(F2226, TODAY(), "Y"))</f>
        <v/>
      </c>
      <c r="H2226" s="28"/>
      <c r="I2226" s="28"/>
      <c r="J2226" s="24" t="str">
        <f aca="true">IF(ISBLANK(H2226), "", I2226-TODAY())</f>
        <v/>
      </c>
      <c r="K2226" s="24" t="str">
        <f aca="false" t="array" ref="K2226:K2226">IF(A2226&lt;&gt;"",IF(COUNTIF(A$996:A2227,"&lt;&gt;")=0,COUNTA(B$996:B2226),IFERROR(MATCH(TRUE(),INDEX((A$996:A2227&lt;&gt;""),0),0),COUNTA(B$996:B2226))),"")</f>
        <v/>
      </c>
      <c r="L2226" s="27"/>
    </row>
    <row r="2227" customFormat="false" ht="13.8" hidden="false" customHeight="false" outlineLevel="0" collapsed="false">
      <c r="A2227" s="16"/>
      <c r="B2227" s="16"/>
      <c r="C2227" s="26"/>
      <c r="D2227" s="26"/>
      <c r="E2227" s="16"/>
      <c r="F2227" s="18"/>
      <c r="G2227" s="19" t="str">
        <f aca="true">IF(F2227="", "", DATEDIF(F2227, TODAY(), "Y"))</f>
        <v/>
      </c>
      <c r="H2227" s="28"/>
      <c r="I2227" s="28"/>
      <c r="J2227" s="24" t="str">
        <f aca="true">IF(ISBLANK(H2227), "", I2227-TODAY())</f>
        <v/>
      </c>
      <c r="K2227" s="24" t="str">
        <f aca="false" t="array" ref="K2227:K2227">IF(A2227&lt;&gt;"",IF(COUNTIF(A$996:A2228,"&lt;&gt;")=0,COUNTA(B$996:B2227),IFERROR(MATCH(TRUE(),INDEX((A$996:A2228&lt;&gt;""),0),0),COUNTA(B$996:B2227))),"")</f>
        <v/>
      </c>
      <c r="L2227" s="27"/>
    </row>
    <row r="2228" customFormat="false" ht="13.8" hidden="false" customHeight="false" outlineLevel="0" collapsed="false">
      <c r="A2228" s="16"/>
      <c r="B2228" s="16"/>
      <c r="C2228" s="26"/>
      <c r="D2228" s="26"/>
      <c r="E2228" s="16"/>
      <c r="F2228" s="18"/>
      <c r="G2228" s="19" t="str">
        <f aca="true">IF(F2228="", "", DATEDIF(F2228, TODAY(), "Y"))</f>
        <v/>
      </c>
      <c r="H2228" s="28"/>
      <c r="I2228" s="28"/>
      <c r="J2228" s="24" t="str">
        <f aca="true">IF(ISBLANK(H2228), "", I2228-TODAY())</f>
        <v/>
      </c>
      <c r="K2228" s="24" t="str">
        <f aca="false" t="array" ref="K2228:K2228">IF(A2228&lt;&gt;"",IF(COUNTIF(A$996:A2229,"&lt;&gt;")=0,COUNTA(B$996:B2228),IFERROR(MATCH(TRUE(),INDEX((A$996:A2229&lt;&gt;""),0),0),COUNTA(B$996:B2228))),"")</f>
        <v/>
      </c>
      <c r="L2228" s="27"/>
    </row>
    <row r="2229" customFormat="false" ht="13.8" hidden="false" customHeight="false" outlineLevel="0" collapsed="false">
      <c r="A2229" s="16"/>
      <c r="B2229" s="16"/>
      <c r="C2229" s="26"/>
      <c r="D2229" s="26"/>
      <c r="E2229" s="16"/>
      <c r="F2229" s="18"/>
      <c r="G2229" s="19" t="str">
        <f aca="true">IF(F2229="", "", DATEDIF(F2229, TODAY(), "Y"))</f>
        <v/>
      </c>
      <c r="H2229" s="28"/>
      <c r="I2229" s="28"/>
      <c r="J2229" s="24" t="str">
        <f aca="true">IF(ISBLANK(H2229), "", I2229-TODAY())</f>
        <v/>
      </c>
      <c r="K2229" s="24" t="str">
        <f aca="false" t="array" ref="K2229:K2229">IF(A2229&lt;&gt;"",IF(COUNTIF(A$996:A2230,"&lt;&gt;")=0,COUNTA(B$996:B2229),IFERROR(MATCH(TRUE(),INDEX((A$996:A2230&lt;&gt;""),0),0),COUNTA(B$996:B2229))),"")</f>
        <v/>
      </c>
      <c r="L2229" s="27"/>
    </row>
    <row r="2230" customFormat="false" ht="13.8" hidden="false" customHeight="false" outlineLevel="0" collapsed="false">
      <c r="A2230" s="16"/>
      <c r="B2230" s="16"/>
      <c r="C2230" s="26"/>
      <c r="D2230" s="26"/>
      <c r="E2230" s="16"/>
      <c r="F2230" s="18"/>
      <c r="G2230" s="19" t="str">
        <f aca="true">IF(F2230="", "", DATEDIF(F2230, TODAY(), "Y"))</f>
        <v/>
      </c>
      <c r="H2230" s="28"/>
      <c r="I2230" s="28"/>
      <c r="J2230" s="24" t="str">
        <f aca="true">IF(ISBLANK(H2230), "", I2230-TODAY())</f>
        <v/>
      </c>
      <c r="K2230" s="24" t="str">
        <f aca="false" t="array" ref="K2230:K2230">IF(A2230&lt;&gt;"",IF(COUNTIF(A$996:A2231,"&lt;&gt;")=0,COUNTA(B$996:B2230),IFERROR(MATCH(TRUE(),INDEX((A$996:A2231&lt;&gt;""),0),0),COUNTA(B$996:B2230))),"")</f>
        <v/>
      </c>
      <c r="L2230" s="27"/>
    </row>
    <row r="2231" customFormat="false" ht="13.8" hidden="false" customHeight="false" outlineLevel="0" collapsed="false">
      <c r="A2231" s="16"/>
      <c r="B2231" s="16"/>
      <c r="C2231" s="26"/>
      <c r="D2231" s="26"/>
      <c r="E2231" s="16"/>
      <c r="F2231" s="18"/>
      <c r="G2231" s="19" t="str">
        <f aca="true">IF(F2231="", "", DATEDIF(F2231, TODAY(), "Y"))</f>
        <v/>
      </c>
      <c r="H2231" s="28"/>
      <c r="I2231" s="28"/>
      <c r="J2231" s="24" t="str">
        <f aca="true">IF(ISBLANK(H2231), "", I2231-TODAY())</f>
        <v/>
      </c>
      <c r="K2231" s="24" t="str">
        <f aca="false" t="array" ref="K2231:K2231">IF(A2231&lt;&gt;"",IF(COUNTIF(A$996:A2232,"&lt;&gt;")=0,COUNTA(B$996:B2231),IFERROR(MATCH(TRUE(),INDEX((A$996:A2232&lt;&gt;""),0),0),COUNTA(B$996:B2231))),"")</f>
        <v/>
      </c>
      <c r="L2231" s="27"/>
    </row>
    <row r="2232" customFormat="false" ht="13.8" hidden="false" customHeight="false" outlineLevel="0" collapsed="false">
      <c r="A2232" s="16"/>
      <c r="B2232" s="16"/>
      <c r="C2232" s="26"/>
      <c r="D2232" s="26"/>
      <c r="E2232" s="16"/>
      <c r="F2232" s="18"/>
      <c r="G2232" s="19" t="str">
        <f aca="true">IF(F2232="", "", DATEDIF(F2232, TODAY(), "Y"))</f>
        <v/>
      </c>
      <c r="H2232" s="28"/>
      <c r="I2232" s="28"/>
      <c r="J2232" s="24" t="str">
        <f aca="true">IF(ISBLANK(H2232), "", I2232-TODAY())</f>
        <v/>
      </c>
      <c r="K2232" s="24" t="str">
        <f aca="false" t="array" ref="K2232:K2232">IF(A2232&lt;&gt;"",IF(COUNTIF(A$996:A2233,"&lt;&gt;")=0,COUNTA(B$996:B2232),IFERROR(MATCH(TRUE(),INDEX((A$996:A2233&lt;&gt;""),0),0),COUNTA(B$996:B2232))),"")</f>
        <v/>
      </c>
      <c r="L2232" s="27"/>
    </row>
    <row r="2233" customFormat="false" ht="13.8" hidden="false" customHeight="false" outlineLevel="0" collapsed="false">
      <c r="A2233" s="16"/>
      <c r="B2233" s="16"/>
      <c r="C2233" s="26"/>
      <c r="D2233" s="26"/>
      <c r="E2233" s="16"/>
      <c r="F2233" s="18"/>
      <c r="G2233" s="19" t="str">
        <f aca="true">IF(F2233="", "", DATEDIF(F2233, TODAY(), "Y"))</f>
        <v/>
      </c>
      <c r="H2233" s="28"/>
      <c r="I2233" s="28"/>
      <c r="J2233" s="24" t="str">
        <f aca="true">IF(ISBLANK(H2233), "", I2233-TODAY())</f>
        <v/>
      </c>
      <c r="K2233" s="24" t="str">
        <f aca="false" t="array" ref="K2233:K2233">IF(A2233&lt;&gt;"",IF(COUNTIF(A$996:A2234,"&lt;&gt;")=0,COUNTA(B$996:B2233),IFERROR(MATCH(TRUE(),INDEX((A$996:A2234&lt;&gt;""),0),0),COUNTA(B$996:B2233))),"")</f>
        <v/>
      </c>
      <c r="L2233" s="27"/>
    </row>
    <row r="2234" customFormat="false" ht="13.8" hidden="false" customHeight="false" outlineLevel="0" collapsed="false">
      <c r="A2234" s="16"/>
      <c r="B2234" s="16"/>
      <c r="C2234" s="26"/>
      <c r="D2234" s="26"/>
      <c r="E2234" s="16"/>
      <c r="F2234" s="18"/>
      <c r="G2234" s="19" t="str">
        <f aca="true">IF(F2234="", "", DATEDIF(F2234, TODAY(), "Y"))</f>
        <v/>
      </c>
      <c r="H2234" s="28"/>
      <c r="I2234" s="28"/>
      <c r="J2234" s="24" t="str">
        <f aca="true">IF(ISBLANK(H2234), "", I2234-TODAY())</f>
        <v/>
      </c>
      <c r="K2234" s="24" t="str">
        <f aca="false" t="array" ref="K2234:K2234">IF(A2234&lt;&gt;"",IF(COUNTIF(A$996:A2235,"&lt;&gt;")=0,COUNTA(B$996:B2234),IFERROR(MATCH(TRUE(),INDEX((A$996:A2235&lt;&gt;""),0),0),COUNTA(B$996:B2234))),"")</f>
        <v/>
      </c>
      <c r="L2234" s="27"/>
    </row>
    <row r="2235" customFormat="false" ht="13.8" hidden="false" customHeight="false" outlineLevel="0" collapsed="false">
      <c r="A2235" s="16"/>
      <c r="B2235" s="16"/>
      <c r="C2235" s="26"/>
      <c r="D2235" s="26"/>
      <c r="E2235" s="16"/>
      <c r="F2235" s="18"/>
      <c r="G2235" s="19" t="str">
        <f aca="true">IF(F2235="", "", DATEDIF(F2235, TODAY(), "Y"))</f>
        <v/>
      </c>
      <c r="H2235" s="28"/>
      <c r="I2235" s="28"/>
      <c r="J2235" s="24" t="str">
        <f aca="true">IF(ISBLANK(H2235), "", I2235-TODAY())</f>
        <v/>
      </c>
      <c r="K2235" s="24" t="str">
        <f aca="false" t="array" ref="K2235:K2235">IF(A2235&lt;&gt;"",IF(COUNTIF(A$996:A2236,"&lt;&gt;")=0,COUNTA(B$996:B2235),IFERROR(MATCH(TRUE(),INDEX((A$996:A2236&lt;&gt;""),0),0),COUNTA(B$996:B2235))),"")</f>
        <v/>
      </c>
      <c r="L2235" s="27"/>
    </row>
    <row r="2236" customFormat="false" ht="13.8" hidden="false" customHeight="false" outlineLevel="0" collapsed="false">
      <c r="A2236" s="16"/>
      <c r="B2236" s="16"/>
      <c r="C2236" s="26"/>
      <c r="D2236" s="26"/>
      <c r="E2236" s="16"/>
      <c r="F2236" s="18"/>
      <c r="G2236" s="19" t="str">
        <f aca="true">IF(F2236="", "", DATEDIF(F2236, TODAY(), "Y"))</f>
        <v/>
      </c>
      <c r="H2236" s="28"/>
      <c r="I2236" s="28"/>
      <c r="J2236" s="24" t="str">
        <f aca="true">IF(ISBLANK(H2236), "", I2236-TODAY())</f>
        <v/>
      </c>
      <c r="K2236" s="24" t="str">
        <f aca="false" t="array" ref="K2236:K2236">IF(A2236&lt;&gt;"",IF(COUNTIF(A$996:A2237,"&lt;&gt;")=0,COUNTA(B$996:B2236),IFERROR(MATCH(TRUE(),INDEX((A$996:A2237&lt;&gt;""),0),0),COUNTA(B$996:B2236))),"")</f>
        <v/>
      </c>
      <c r="L2236" s="27"/>
    </row>
    <row r="2237" customFormat="false" ht="13.8" hidden="false" customHeight="false" outlineLevel="0" collapsed="false">
      <c r="A2237" s="16"/>
      <c r="B2237" s="16"/>
      <c r="C2237" s="26"/>
      <c r="D2237" s="26"/>
      <c r="E2237" s="16"/>
      <c r="F2237" s="18"/>
      <c r="G2237" s="19" t="str">
        <f aca="true">IF(F2237="", "", DATEDIF(F2237, TODAY(), "Y"))</f>
        <v/>
      </c>
      <c r="H2237" s="28"/>
      <c r="I2237" s="28"/>
      <c r="J2237" s="24" t="str">
        <f aca="true">IF(ISBLANK(H2237), "", I2237-TODAY())</f>
        <v/>
      </c>
      <c r="K2237" s="24" t="str">
        <f aca="false" t="array" ref="K2237:K2237">IF(A2237&lt;&gt;"",IF(COUNTIF(A$996:A2238,"&lt;&gt;")=0,COUNTA(B$996:B2237),IFERROR(MATCH(TRUE(),INDEX((A$996:A2238&lt;&gt;""),0),0),COUNTA(B$996:B2237))),"")</f>
        <v/>
      </c>
      <c r="L2237" s="27"/>
    </row>
    <row r="2238" customFormat="false" ht="13.8" hidden="false" customHeight="false" outlineLevel="0" collapsed="false">
      <c r="A2238" s="16"/>
      <c r="B2238" s="16"/>
      <c r="C2238" s="26"/>
      <c r="D2238" s="26"/>
      <c r="E2238" s="16"/>
      <c r="F2238" s="18"/>
      <c r="G2238" s="19" t="str">
        <f aca="true">IF(F2238="", "", DATEDIF(F2238, TODAY(), "Y"))</f>
        <v/>
      </c>
      <c r="H2238" s="28"/>
      <c r="I2238" s="28"/>
      <c r="J2238" s="24" t="str">
        <f aca="true">IF(ISBLANK(H2238), "", I2238-TODAY())</f>
        <v/>
      </c>
      <c r="K2238" s="24" t="str">
        <f aca="false" t="array" ref="K2238:K2238">IF(A2238&lt;&gt;"",IF(COUNTIF(A$996:A2239,"&lt;&gt;")=0,COUNTA(B$996:B2238),IFERROR(MATCH(TRUE(),INDEX((A$996:A2239&lt;&gt;""),0),0),COUNTA(B$996:B2238))),"")</f>
        <v/>
      </c>
      <c r="L2238" s="27"/>
    </row>
    <row r="2239" customFormat="false" ht="13.8" hidden="false" customHeight="false" outlineLevel="0" collapsed="false">
      <c r="A2239" s="16"/>
      <c r="B2239" s="16"/>
      <c r="C2239" s="26"/>
      <c r="D2239" s="26"/>
      <c r="E2239" s="16"/>
      <c r="F2239" s="18"/>
      <c r="G2239" s="19" t="str">
        <f aca="true">IF(F2239="", "", DATEDIF(F2239, TODAY(), "Y"))</f>
        <v/>
      </c>
      <c r="H2239" s="28"/>
      <c r="I2239" s="28"/>
      <c r="J2239" s="24" t="str">
        <f aca="true">IF(ISBLANK(H2239), "", I2239-TODAY())</f>
        <v/>
      </c>
      <c r="K2239" s="24" t="str">
        <f aca="false" t="array" ref="K2239:K2239">IF(A2239&lt;&gt;"",IF(COUNTIF(A$996:A2240,"&lt;&gt;")=0,COUNTA(B$996:B2239),IFERROR(MATCH(TRUE(),INDEX((A$996:A2240&lt;&gt;""),0),0),COUNTA(B$996:B2239))),"")</f>
        <v/>
      </c>
      <c r="L2239" s="27"/>
    </row>
    <row r="2240" customFormat="false" ht="13.8" hidden="false" customHeight="false" outlineLevel="0" collapsed="false">
      <c r="A2240" s="16"/>
      <c r="B2240" s="16"/>
      <c r="C2240" s="26"/>
      <c r="D2240" s="26"/>
      <c r="E2240" s="16"/>
      <c r="F2240" s="18"/>
      <c r="G2240" s="19" t="str">
        <f aca="true">IF(F2240="", "", DATEDIF(F2240, TODAY(), "Y"))</f>
        <v/>
      </c>
      <c r="H2240" s="28"/>
      <c r="I2240" s="28"/>
      <c r="J2240" s="24" t="str">
        <f aca="true">IF(ISBLANK(H2240), "", I2240-TODAY())</f>
        <v/>
      </c>
      <c r="K2240" s="24" t="str">
        <f aca="false" t="array" ref="K2240:K2240">IF(A2240&lt;&gt;"",IF(COUNTIF(A$996:A2241,"&lt;&gt;")=0,COUNTA(B$996:B2240),IFERROR(MATCH(TRUE(),INDEX((A$996:A2241&lt;&gt;""),0),0),COUNTA(B$996:B2240))),"")</f>
        <v/>
      </c>
      <c r="L2240" s="27"/>
    </row>
    <row r="2241" customFormat="false" ht="13.8" hidden="false" customHeight="false" outlineLevel="0" collapsed="false">
      <c r="A2241" s="16"/>
      <c r="B2241" s="16"/>
      <c r="C2241" s="26"/>
      <c r="D2241" s="26"/>
      <c r="E2241" s="16"/>
      <c r="F2241" s="18"/>
      <c r="G2241" s="19" t="str">
        <f aca="true">IF(F2241="", "", DATEDIF(F2241, TODAY(), "Y"))</f>
        <v/>
      </c>
      <c r="H2241" s="28"/>
      <c r="I2241" s="28"/>
      <c r="J2241" s="24" t="str">
        <f aca="true">IF(ISBLANK(H2241), "", I2241-TODAY())</f>
        <v/>
      </c>
      <c r="K2241" s="24" t="str">
        <f aca="false" t="array" ref="K2241:K2241">IF(A2241&lt;&gt;"",IF(COUNTIF(A$996:A2242,"&lt;&gt;")=0,COUNTA(B$996:B2241),IFERROR(MATCH(TRUE(),INDEX((A$996:A2242&lt;&gt;""),0),0),COUNTA(B$996:B2241))),"")</f>
        <v/>
      </c>
      <c r="L2241" s="27"/>
    </row>
    <row r="2242" customFormat="false" ht="13.8" hidden="false" customHeight="false" outlineLevel="0" collapsed="false">
      <c r="A2242" s="16"/>
      <c r="B2242" s="16"/>
      <c r="C2242" s="26"/>
      <c r="D2242" s="26"/>
      <c r="E2242" s="16"/>
      <c r="F2242" s="18"/>
      <c r="G2242" s="19" t="str">
        <f aca="true">IF(F2242="", "", DATEDIF(F2242, TODAY(), "Y"))</f>
        <v/>
      </c>
      <c r="H2242" s="28"/>
      <c r="I2242" s="28"/>
      <c r="J2242" s="24" t="str">
        <f aca="true">IF(ISBLANK(H2242), "", I2242-TODAY())</f>
        <v/>
      </c>
      <c r="K2242" s="24" t="str">
        <f aca="false" t="array" ref="K2242:K2242">IF(A2242&lt;&gt;"",IF(COUNTIF(A$996:A2243,"&lt;&gt;")=0,COUNTA(B$996:B2242),IFERROR(MATCH(TRUE(),INDEX((A$996:A2243&lt;&gt;""),0),0),COUNTA(B$996:B2242))),"")</f>
        <v/>
      </c>
      <c r="L2242" s="27"/>
    </row>
    <row r="2243" customFormat="false" ht="13.8" hidden="false" customHeight="false" outlineLevel="0" collapsed="false">
      <c r="A2243" s="16"/>
      <c r="B2243" s="16"/>
      <c r="C2243" s="26"/>
      <c r="D2243" s="26"/>
      <c r="E2243" s="16"/>
      <c r="F2243" s="18"/>
      <c r="G2243" s="19" t="str">
        <f aca="true">IF(F2243="", "", DATEDIF(F2243, TODAY(), "Y"))</f>
        <v/>
      </c>
      <c r="H2243" s="28"/>
      <c r="I2243" s="28"/>
      <c r="J2243" s="24" t="str">
        <f aca="true">IF(ISBLANK(H2243), "", I2243-TODAY())</f>
        <v/>
      </c>
      <c r="K2243" s="24" t="str">
        <f aca="false" t="array" ref="K2243:K2243">IF(A2243&lt;&gt;"",IF(COUNTIF(A$996:A2244,"&lt;&gt;")=0,COUNTA(B$996:B2243),IFERROR(MATCH(TRUE(),INDEX((A$996:A2244&lt;&gt;""),0),0),COUNTA(B$996:B2243))),"")</f>
        <v/>
      </c>
      <c r="L2243" s="27"/>
    </row>
    <row r="2244" customFormat="false" ht="13.8" hidden="false" customHeight="false" outlineLevel="0" collapsed="false">
      <c r="A2244" s="16"/>
      <c r="B2244" s="16"/>
      <c r="C2244" s="26"/>
      <c r="D2244" s="26"/>
      <c r="E2244" s="16"/>
      <c r="F2244" s="18"/>
      <c r="G2244" s="19" t="str">
        <f aca="true">IF(F2244="", "", DATEDIF(F2244, TODAY(), "Y"))</f>
        <v/>
      </c>
      <c r="H2244" s="28"/>
      <c r="I2244" s="28"/>
      <c r="J2244" s="24" t="str">
        <f aca="true">IF(ISBLANK(H2244), "", I2244-TODAY())</f>
        <v/>
      </c>
      <c r="K2244" s="24" t="str">
        <f aca="false" t="array" ref="K2244:K2244">IF(A2244&lt;&gt;"",IF(COUNTIF(A$996:A2245,"&lt;&gt;")=0,COUNTA(B$996:B2244),IFERROR(MATCH(TRUE(),INDEX((A$996:A2245&lt;&gt;""),0),0),COUNTA(B$996:B2244))),"")</f>
        <v/>
      </c>
      <c r="L2244" s="27"/>
    </row>
    <row r="2245" customFormat="false" ht="13.8" hidden="false" customHeight="false" outlineLevel="0" collapsed="false">
      <c r="A2245" s="16"/>
      <c r="B2245" s="16"/>
      <c r="C2245" s="26"/>
      <c r="D2245" s="26"/>
      <c r="E2245" s="16"/>
      <c r="F2245" s="18"/>
      <c r="G2245" s="19" t="str">
        <f aca="true">IF(F2245="", "", DATEDIF(F2245, TODAY(), "Y"))</f>
        <v/>
      </c>
      <c r="H2245" s="28"/>
      <c r="I2245" s="28"/>
      <c r="J2245" s="24" t="str">
        <f aca="true">IF(ISBLANK(H2245), "", I2245-TODAY())</f>
        <v/>
      </c>
      <c r="K2245" s="24" t="str">
        <f aca="false" t="array" ref="K2245:K2245">IF(A2245&lt;&gt;"",IF(COUNTIF(A$996:A2246,"&lt;&gt;")=0,COUNTA(B$996:B2245),IFERROR(MATCH(TRUE(),INDEX((A$996:A2246&lt;&gt;""),0),0),COUNTA(B$996:B2245))),"")</f>
        <v/>
      </c>
      <c r="L2245" s="27"/>
    </row>
    <row r="2246" customFormat="false" ht="13.8" hidden="false" customHeight="false" outlineLevel="0" collapsed="false">
      <c r="A2246" s="16"/>
      <c r="B2246" s="16"/>
      <c r="C2246" s="26"/>
      <c r="D2246" s="26"/>
      <c r="E2246" s="16"/>
      <c r="F2246" s="18"/>
      <c r="G2246" s="19" t="str">
        <f aca="true">IF(F2246="", "", DATEDIF(F2246, TODAY(), "Y"))</f>
        <v/>
      </c>
      <c r="H2246" s="28"/>
      <c r="I2246" s="28"/>
      <c r="J2246" s="24" t="str">
        <f aca="true">IF(ISBLANK(H2246), "", I2246-TODAY())</f>
        <v/>
      </c>
      <c r="K2246" s="24" t="str">
        <f aca="false" t="array" ref="K2246:K2246">IF(A2246&lt;&gt;"",IF(COUNTIF(A$996:A2247,"&lt;&gt;")=0,COUNTA(B$996:B2246),IFERROR(MATCH(TRUE(),INDEX((A$996:A2247&lt;&gt;""),0),0),COUNTA(B$996:B2246))),"")</f>
        <v/>
      </c>
      <c r="L2246" s="27"/>
    </row>
    <row r="2247" customFormat="false" ht="13.8" hidden="false" customHeight="false" outlineLevel="0" collapsed="false">
      <c r="A2247" s="16"/>
      <c r="B2247" s="16"/>
      <c r="C2247" s="26"/>
      <c r="D2247" s="26"/>
      <c r="E2247" s="16"/>
      <c r="F2247" s="18"/>
      <c r="G2247" s="19" t="str">
        <f aca="true">IF(F2247="", "", DATEDIF(F2247, TODAY(), "Y"))</f>
        <v/>
      </c>
      <c r="H2247" s="28"/>
      <c r="I2247" s="28"/>
      <c r="J2247" s="24" t="str">
        <f aca="true">IF(ISBLANK(H2247), "", I2247-TODAY())</f>
        <v/>
      </c>
      <c r="K2247" s="24" t="str">
        <f aca="false" t="array" ref="K2247:K2247">IF(A2247&lt;&gt;"",IF(COUNTIF(A$996:A2248,"&lt;&gt;")=0,COUNTA(B$996:B2247),IFERROR(MATCH(TRUE(),INDEX((A$996:A2248&lt;&gt;""),0),0),COUNTA(B$996:B2247))),"")</f>
        <v/>
      </c>
      <c r="L2247" s="27"/>
    </row>
    <row r="2248" customFormat="false" ht="13.8" hidden="false" customHeight="false" outlineLevel="0" collapsed="false">
      <c r="A2248" s="16"/>
      <c r="B2248" s="16"/>
      <c r="C2248" s="26"/>
      <c r="D2248" s="26"/>
      <c r="E2248" s="16"/>
      <c r="F2248" s="18"/>
      <c r="G2248" s="19" t="str">
        <f aca="true">IF(F2248="", "", DATEDIF(F2248, TODAY(), "Y"))</f>
        <v/>
      </c>
      <c r="H2248" s="28"/>
      <c r="I2248" s="28"/>
      <c r="J2248" s="24" t="str">
        <f aca="true">IF(ISBLANK(H2248), "", I2248-TODAY())</f>
        <v/>
      </c>
      <c r="K2248" s="24" t="str">
        <f aca="false" t="array" ref="K2248:K2248">IF(A2248&lt;&gt;"",IF(COUNTIF(A$996:A2249,"&lt;&gt;")=0,COUNTA(B$996:B2248),IFERROR(MATCH(TRUE(),INDEX((A$996:A2249&lt;&gt;""),0),0),COUNTA(B$996:B2248))),"")</f>
        <v/>
      </c>
      <c r="L2248" s="27"/>
    </row>
    <row r="2249" customFormat="false" ht="13.8" hidden="false" customHeight="false" outlineLevel="0" collapsed="false">
      <c r="A2249" s="16"/>
      <c r="B2249" s="16"/>
      <c r="C2249" s="26"/>
      <c r="D2249" s="26"/>
      <c r="E2249" s="16"/>
      <c r="F2249" s="18"/>
      <c r="G2249" s="19" t="str">
        <f aca="true">IF(F2249="", "", DATEDIF(F2249, TODAY(), "Y"))</f>
        <v/>
      </c>
      <c r="H2249" s="28"/>
      <c r="I2249" s="28"/>
      <c r="J2249" s="24" t="str">
        <f aca="true">IF(ISBLANK(H2249), "", I2249-TODAY())</f>
        <v/>
      </c>
      <c r="K2249" s="24" t="str">
        <f aca="false" t="array" ref="K2249:K2249">IF(A2249&lt;&gt;"",IF(COUNTIF(A$996:A2250,"&lt;&gt;")=0,COUNTA(B$996:B2249),IFERROR(MATCH(TRUE(),INDEX((A$996:A2250&lt;&gt;""),0),0),COUNTA(B$996:B2249))),"")</f>
        <v/>
      </c>
      <c r="L2249" s="27"/>
    </row>
    <row r="2250" customFormat="false" ht="13.8" hidden="false" customHeight="false" outlineLevel="0" collapsed="false">
      <c r="A2250" s="16"/>
      <c r="B2250" s="16"/>
      <c r="C2250" s="26"/>
      <c r="D2250" s="26"/>
      <c r="E2250" s="16"/>
      <c r="F2250" s="18"/>
      <c r="G2250" s="19" t="str">
        <f aca="true">IF(F2250="", "", DATEDIF(F2250, TODAY(), "Y"))</f>
        <v/>
      </c>
      <c r="H2250" s="28"/>
      <c r="I2250" s="28"/>
      <c r="J2250" s="24" t="str">
        <f aca="true">IF(ISBLANK(H2250), "", I2250-TODAY())</f>
        <v/>
      </c>
      <c r="K2250" s="24" t="str">
        <f aca="false" t="array" ref="K2250:K2250">IF(A2250&lt;&gt;"",IF(COUNTIF(A$996:A2251,"&lt;&gt;")=0,COUNTA(B$996:B2250),IFERROR(MATCH(TRUE(),INDEX((A$996:A2251&lt;&gt;""),0),0),COUNTA(B$996:B2250))),"")</f>
        <v/>
      </c>
      <c r="L2250" s="27"/>
    </row>
    <row r="2251" customFormat="false" ht="13.8" hidden="false" customHeight="false" outlineLevel="0" collapsed="false">
      <c r="A2251" s="16"/>
      <c r="B2251" s="16"/>
      <c r="C2251" s="26"/>
      <c r="D2251" s="26"/>
      <c r="E2251" s="16"/>
      <c r="F2251" s="18"/>
      <c r="G2251" s="19" t="str">
        <f aca="true">IF(F2251="", "", DATEDIF(F2251, TODAY(), "Y"))</f>
        <v/>
      </c>
      <c r="H2251" s="28"/>
      <c r="I2251" s="28"/>
      <c r="J2251" s="24" t="str">
        <f aca="true">IF(ISBLANK(H2251), "", I2251-TODAY())</f>
        <v/>
      </c>
      <c r="K2251" s="24" t="str">
        <f aca="false" t="array" ref="K2251:K2251">IF(A2251&lt;&gt;"",IF(COUNTIF(A$996:A2252,"&lt;&gt;")=0,COUNTA(B$996:B2251),IFERROR(MATCH(TRUE(),INDEX((A$996:A2252&lt;&gt;""),0),0),COUNTA(B$996:B2251))),"")</f>
        <v/>
      </c>
      <c r="L2251" s="27"/>
    </row>
    <row r="2252" customFormat="false" ht="13.8" hidden="false" customHeight="false" outlineLevel="0" collapsed="false">
      <c r="A2252" s="16"/>
      <c r="B2252" s="16"/>
      <c r="C2252" s="26"/>
      <c r="D2252" s="26"/>
      <c r="E2252" s="16"/>
      <c r="F2252" s="18"/>
      <c r="G2252" s="19" t="str">
        <f aca="true">IF(F2252="", "", DATEDIF(F2252, TODAY(), "Y"))</f>
        <v/>
      </c>
      <c r="H2252" s="28"/>
      <c r="I2252" s="28"/>
      <c r="J2252" s="24" t="str">
        <f aca="true">IF(ISBLANK(H2252), "", I2252-TODAY())</f>
        <v/>
      </c>
      <c r="K2252" s="24" t="str">
        <f aca="false" t="array" ref="K2252:K2252">IF(A2252&lt;&gt;"",IF(COUNTIF(A$996:A2253,"&lt;&gt;")=0,COUNTA(B$996:B2252),IFERROR(MATCH(TRUE(),INDEX((A$996:A2253&lt;&gt;""),0),0),COUNTA(B$996:B2252))),"")</f>
        <v/>
      </c>
      <c r="L2252" s="27"/>
    </row>
    <row r="2253" customFormat="false" ht="13.8" hidden="false" customHeight="false" outlineLevel="0" collapsed="false">
      <c r="A2253" s="16"/>
      <c r="B2253" s="16"/>
      <c r="C2253" s="26"/>
      <c r="D2253" s="26"/>
      <c r="E2253" s="16"/>
      <c r="F2253" s="18"/>
      <c r="G2253" s="19" t="str">
        <f aca="true">IF(F2253="", "", DATEDIF(F2253, TODAY(), "Y"))</f>
        <v/>
      </c>
      <c r="H2253" s="28"/>
      <c r="I2253" s="28"/>
      <c r="J2253" s="24" t="str">
        <f aca="true">IF(ISBLANK(H2253), "", I2253-TODAY())</f>
        <v/>
      </c>
      <c r="K2253" s="24" t="str">
        <f aca="false" t="array" ref="K2253:K2253">IF(A2253&lt;&gt;"",IF(COUNTIF(A$996:A2254,"&lt;&gt;")=0,COUNTA(B$996:B2253),IFERROR(MATCH(TRUE(),INDEX((A$996:A2254&lt;&gt;""),0),0),COUNTA(B$996:B2253))),"")</f>
        <v/>
      </c>
      <c r="L2253" s="27"/>
    </row>
    <row r="2254" customFormat="false" ht="13.8" hidden="false" customHeight="false" outlineLevel="0" collapsed="false">
      <c r="A2254" s="16"/>
      <c r="B2254" s="16"/>
      <c r="C2254" s="26"/>
      <c r="D2254" s="26"/>
      <c r="E2254" s="16"/>
      <c r="F2254" s="18"/>
      <c r="G2254" s="19" t="str">
        <f aca="true">IF(F2254="", "", DATEDIF(F2254, TODAY(), "Y"))</f>
        <v/>
      </c>
      <c r="H2254" s="28"/>
      <c r="I2254" s="28"/>
      <c r="J2254" s="24" t="str">
        <f aca="true">IF(ISBLANK(H2254), "", I2254-TODAY())</f>
        <v/>
      </c>
      <c r="K2254" s="24" t="str">
        <f aca="false" t="array" ref="K2254:K2254">IF(A2254&lt;&gt;"",IF(COUNTIF(A$996:A2255,"&lt;&gt;")=0,COUNTA(B$996:B2254),IFERROR(MATCH(TRUE(),INDEX((A$996:A2255&lt;&gt;""),0),0),COUNTA(B$996:B2254))),"")</f>
        <v/>
      </c>
      <c r="L2254" s="27"/>
    </row>
    <row r="2255" customFormat="false" ht="13.8" hidden="false" customHeight="false" outlineLevel="0" collapsed="false">
      <c r="A2255" s="16"/>
      <c r="B2255" s="16"/>
      <c r="C2255" s="26"/>
      <c r="D2255" s="26"/>
      <c r="E2255" s="16"/>
      <c r="F2255" s="18"/>
      <c r="G2255" s="19" t="str">
        <f aca="true">IF(F2255="", "", DATEDIF(F2255, TODAY(), "Y"))</f>
        <v/>
      </c>
      <c r="H2255" s="28"/>
      <c r="I2255" s="28"/>
      <c r="J2255" s="24" t="str">
        <f aca="true">IF(ISBLANK(H2255), "", I2255-TODAY())</f>
        <v/>
      </c>
      <c r="K2255" s="24" t="str">
        <f aca="false" t="array" ref="K2255:K2255">IF(A2255&lt;&gt;"",IF(COUNTIF(A$996:A2256,"&lt;&gt;")=0,COUNTA(B$996:B2255),IFERROR(MATCH(TRUE(),INDEX((A$996:A2256&lt;&gt;""),0),0),COUNTA(B$996:B2255))),"")</f>
        <v/>
      </c>
      <c r="L2255" s="27"/>
    </row>
    <row r="2256" customFormat="false" ht="13.8" hidden="false" customHeight="false" outlineLevel="0" collapsed="false">
      <c r="A2256" s="16"/>
      <c r="B2256" s="16"/>
      <c r="C2256" s="26"/>
      <c r="D2256" s="26"/>
      <c r="E2256" s="16"/>
      <c r="F2256" s="18"/>
      <c r="G2256" s="19" t="str">
        <f aca="true">IF(F2256="", "", DATEDIF(F2256, TODAY(), "Y"))</f>
        <v/>
      </c>
      <c r="H2256" s="28"/>
      <c r="I2256" s="28"/>
      <c r="J2256" s="24" t="str">
        <f aca="true">IF(ISBLANK(H2256), "", I2256-TODAY())</f>
        <v/>
      </c>
      <c r="K2256" s="24" t="str">
        <f aca="false" t="array" ref="K2256:K2256">IF(A2256&lt;&gt;"",IF(COUNTIF(A$996:A2257,"&lt;&gt;")=0,COUNTA(B$996:B2256),IFERROR(MATCH(TRUE(),INDEX((A$996:A2257&lt;&gt;""),0),0),COUNTA(B$996:B2256))),"")</f>
        <v/>
      </c>
      <c r="L2256" s="27"/>
    </row>
    <row r="2257" customFormat="false" ht="13.8" hidden="false" customHeight="false" outlineLevel="0" collapsed="false">
      <c r="A2257" s="16"/>
      <c r="B2257" s="16"/>
      <c r="C2257" s="26"/>
      <c r="D2257" s="26"/>
      <c r="E2257" s="16"/>
      <c r="F2257" s="18"/>
      <c r="G2257" s="19" t="str">
        <f aca="true">IF(F2257="", "", DATEDIF(F2257, TODAY(), "Y"))</f>
        <v/>
      </c>
      <c r="H2257" s="28"/>
      <c r="I2257" s="28"/>
      <c r="J2257" s="24" t="str">
        <f aca="true">IF(ISBLANK(H2257), "", I2257-TODAY())</f>
        <v/>
      </c>
      <c r="K2257" s="24" t="str">
        <f aca="false" t="array" ref="K2257:K2257">IF(A2257&lt;&gt;"",IF(COUNTIF(A$996:A2258,"&lt;&gt;")=0,COUNTA(B$996:B2257),IFERROR(MATCH(TRUE(),INDEX((A$996:A2258&lt;&gt;""),0),0),COUNTA(B$996:B2257))),"")</f>
        <v/>
      </c>
      <c r="L2257" s="27"/>
    </row>
    <row r="2258" customFormat="false" ht="13.8" hidden="false" customHeight="false" outlineLevel="0" collapsed="false">
      <c r="A2258" s="16"/>
      <c r="B2258" s="16"/>
      <c r="C2258" s="26"/>
      <c r="D2258" s="26"/>
      <c r="E2258" s="16"/>
      <c r="F2258" s="18"/>
      <c r="G2258" s="19" t="str">
        <f aca="true">IF(F2258="", "", DATEDIF(F2258, TODAY(), "Y"))</f>
        <v/>
      </c>
      <c r="H2258" s="28"/>
      <c r="I2258" s="28"/>
      <c r="J2258" s="24" t="str">
        <f aca="true">IF(ISBLANK(H2258), "", I2258-TODAY())</f>
        <v/>
      </c>
      <c r="K2258" s="24" t="str">
        <f aca="false" t="array" ref="K2258:K2258">IF(A2258&lt;&gt;"",IF(COUNTIF(A$996:A2259,"&lt;&gt;")=0,COUNTA(B$996:B2258),IFERROR(MATCH(TRUE(),INDEX((A$996:A2259&lt;&gt;""),0),0),COUNTA(B$996:B2258))),"")</f>
        <v/>
      </c>
      <c r="L2258" s="27"/>
    </row>
    <row r="2259" customFormat="false" ht="13.8" hidden="false" customHeight="false" outlineLevel="0" collapsed="false">
      <c r="A2259" s="16"/>
      <c r="B2259" s="16"/>
      <c r="C2259" s="26"/>
      <c r="D2259" s="26"/>
      <c r="E2259" s="16"/>
      <c r="F2259" s="18"/>
      <c r="G2259" s="19" t="str">
        <f aca="true">IF(F2259="", "", DATEDIF(F2259, TODAY(), "Y"))</f>
        <v/>
      </c>
      <c r="H2259" s="28"/>
      <c r="I2259" s="28"/>
      <c r="J2259" s="24" t="str">
        <f aca="true">IF(ISBLANK(H2259), "", I2259-TODAY())</f>
        <v/>
      </c>
      <c r="K2259" s="24" t="str">
        <f aca="false" t="array" ref="K2259:K2259">IF(A2259&lt;&gt;"",IF(COUNTIF(A$996:A2260,"&lt;&gt;")=0,COUNTA(B$996:B2259),IFERROR(MATCH(TRUE(),INDEX((A$996:A2260&lt;&gt;""),0),0),COUNTA(B$996:B2259))),"")</f>
        <v/>
      </c>
      <c r="L2259" s="27"/>
    </row>
    <row r="2260" customFormat="false" ht="13.8" hidden="false" customHeight="false" outlineLevel="0" collapsed="false">
      <c r="A2260" s="16"/>
      <c r="B2260" s="16"/>
      <c r="C2260" s="26"/>
      <c r="D2260" s="26"/>
      <c r="E2260" s="16"/>
      <c r="F2260" s="18"/>
      <c r="G2260" s="19" t="str">
        <f aca="true">IF(F2260="", "", DATEDIF(F2260, TODAY(), "Y"))</f>
        <v/>
      </c>
      <c r="H2260" s="28"/>
      <c r="I2260" s="28"/>
      <c r="J2260" s="24" t="str">
        <f aca="true">IF(ISBLANK(H2260), "", I2260-TODAY())</f>
        <v/>
      </c>
      <c r="K2260" s="24" t="str">
        <f aca="false" t="array" ref="K2260:K2260">IF(A2260&lt;&gt;"",IF(COUNTIF(A$996:A2261,"&lt;&gt;")=0,COUNTA(B$996:B2260),IFERROR(MATCH(TRUE(),INDEX((A$996:A2261&lt;&gt;""),0),0),COUNTA(B$996:B2260))),"")</f>
        <v/>
      </c>
      <c r="L2260" s="27"/>
    </row>
    <row r="2261" customFormat="false" ht="13.8" hidden="false" customHeight="false" outlineLevel="0" collapsed="false">
      <c r="A2261" s="16"/>
      <c r="B2261" s="16"/>
      <c r="C2261" s="26"/>
      <c r="D2261" s="26"/>
      <c r="E2261" s="16"/>
      <c r="F2261" s="18"/>
      <c r="G2261" s="19" t="str">
        <f aca="true">IF(F2261="", "", DATEDIF(F2261, TODAY(), "Y"))</f>
        <v/>
      </c>
      <c r="H2261" s="28"/>
      <c r="I2261" s="28"/>
      <c r="J2261" s="24" t="str">
        <f aca="true">IF(ISBLANK(H2261), "", I2261-TODAY())</f>
        <v/>
      </c>
      <c r="K2261" s="24" t="str">
        <f aca="false" t="array" ref="K2261:K2261">IF(A2261&lt;&gt;"",IF(COUNTIF(A$996:A2262,"&lt;&gt;")=0,COUNTA(B$996:B2261),IFERROR(MATCH(TRUE(),INDEX((A$996:A2262&lt;&gt;""),0),0),COUNTA(B$996:B2261))),"")</f>
        <v/>
      </c>
      <c r="L2261" s="27"/>
    </row>
    <row r="2262" customFormat="false" ht="13.8" hidden="false" customHeight="false" outlineLevel="0" collapsed="false">
      <c r="A2262" s="16"/>
      <c r="B2262" s="16"/>
      <c r="C2262" s="26"/>
      <c r="D2262" s="26"/>
      <c r="E2262" s="16"/>
      <c r="F2262" s="18"/>
      <c r="G2262" s="19" t="str">
        <f aca="true">IF(F2262="", "", DATEDIF(F2262, TODAY(), "Y"))</f>
        <v/>
      </c>
      <c r="H2262" s="28"/>
      <c r="I2262" s="28"/>
      <c r="J2262" s="24" t="str">
        <f aca="true">IF(ISBLANK(H2262), "", I2262-TODAY())</f>
        <v/>
      </c>
      <c r="K2262" s="24" t="str">
        <f aca="false" t="array" ref="K2262:K2262">IF(A2262&lt;&gt;"",IF(COUNTIF(A$996:A2263,"&lt;&gt;")=0,COUNTA(B$996:B2262),IFERROR(MATCH(TRUE(),INDEX((A$996:A2263&lt;&gt;""),0),0),COUNTA(B$996:B2262))),"")</f>
        <v/>
      </c>
      <c r="L2262" s="27"/>
    </row>
    <row r="2263" customFormat="false" ht="13.8" hidden="false" customHeight="false" outlineLevel="0" collapsed="false">
      <c r="A2263" s="16"/>
      <c r="B2263" s="16"/>
      <c r="C2263" s="26"/>
      <c r="D2263" s="26"/>
      <c r="E2263" s="16"/>
      <c r="F2263" s="18"/>
      <c r="G2263" s="19" t="str">
        <f aca="true">IF(F2263="", "", DATEDIF(F2263, TODAY(), "Y"))</f>
        <v/>
      </c>
      <c r="H2263" s="28"/>
      <c r="I2263" s="28"/>
      <c r="J2263" s="24" t="str">
        <f aca="true">IF(ISBLANK(H2263), "", I2263-TODAY())</f>
        <v/>
      </c>
      <c r="K2263" s="24" t="str">
        <f aca="false" t="array" ref="K2263:K2263">IF(A2263&lt;&gt;"",IF(COUNTIF(A$996:A2264,"&lt;&gt;")=0,COUNTA(B$996:B2263),IFERROR(MATCH(TRUE(),INDEX((A$996:A2264&lt;&gt;""),0),0),COUNTA(B$996:B2263))),"")</f>
        <v/>
      </c>
      <c r="L2263" s="27"/>
    </row>
    <row r="2264" customFormat="false" ht="13.8" hidden="false" customHeight="false" outlineLevel="0" collapsed="false">
      <c r="A2264" s="16"/>
      <c r="B2264" s="16"/>
      <c r="C2264" s="26"/>
      <c r="D2264" s="26"/>
      <c r="E2264" s="16"/>
      <c r="F2264" s="18"/>
      <c r="G2264" s="19" t="str">
        <f aca="true">IF(F2264="", "", DATEDIF(F2264, TODAY(), "Y"))</f>
        <v/>
      </c>
      <c r="H2264" s="28"/>
      <c r="I2264" s="28"/>
      <c r="J2264" s="24" t="str">
        <f aca="true">IF(ISBLANK(H2264), "", I2264-TODAY())</f>
        <v/>
      </c>
      <c r="K2264" s="24" t="str">
        <f aca="false" t="array" ref="K2264:K2264">IF(A2264&lt;&gt;"",IF(COUNTIF(A$996:A2265,"&lt;&gt;")=0,COUNTA(B$996:B2264),IFERROR(MATCH(TRUE(),INDEX((A$996:A2265&lt;&gt;""),0),0),COUNTA(B$996:B2264))),"")</f>
        <v/>
      </c>
      <c r="L2264" s="27"/>
    </row>
    <row r="2265" customFormat="false" ht="13.8" hidden="false" customHeight="false" outlineLevel="0" collapsed="false">
      <c r="A2265" s="16"/>
      <c r="B2265" s="16"/>
      <c r="C2265" s="26"/>
      <c r="D2265" s="26"/>
      <c r="E2265" s="16"/>
      <c r="F2265" s="18"/>
      <c r="G2265" s="19" t="str">
        <f aca="true">IF(F2265="", "", DATEDIF(F2265, TODAY(), "Y"))</f>
        <v/>
      </c>
      <c r="H2265" s="28"/>
      <c r="I2265" s="28"/>
      <c r="J2265" s="24" t="str">
        <f aca="true">IF(ISBLANK(H2265), "", I2265-TODAY())</f>
        <v/>
      </c>
      <c r="K2265" s="24" t="str">
        <f aca="false" t="array" ref="K2265:K2265">IF(A2265&lt;&gt;"",IF(COUNTIF(A$996:A2266,"&lt;&gt;")=0,COUNTA(B$996:B2265),IFERROR(MATCH(TRUE(),INDEX((A$996:A2266&lt;&gt;""),0),0),COUNTA(B$996:B2265))),"")</f>
        <v/>
      </c>
      <c r="L2265" s="27"/>
    </row>
    <row r="2266" customFormat="false" ht="13.8" hidden="false" customHeight="false" outlineLevel="0" collapsed="false">
      <c r="A2266" s="16"/>
      <c r="B2266" s="16"/>
      <c r="C2266" s="26"/>
      <c r="D2266" s="26"/>
      <c r="E2266" s="16"/>
      <c r="F2266" s="18"/>
      <c r="G2266" s="19" t="str">
        <f aca="true">IF(F2266="", "", DATEDIF(F2266, TODAY(), "Y"))</f>
        <v/>
      </c>
      <c r="H2266" s="28"/>
      <c r="I2266" s="28"/>
      <c r="J2266" s="24" t="str">
        <f aca="true">IF(ISBLANK(H2266), "", I2266-TODAY())</f>
        <v/>
      </c>
      <c r="K2266" s="24" t="str">
        <f aca="false" t="array" ref="K2266:K2266">IF(A2266&lt;&gt;"",IF(COUNTIF(A$996:A2267,"&lt;&gt;")=0,COUNTA(B$996:B2266),IFERROR(MATCH(TRUE(),INDEX((A$996:A2267&lt;&gt;""),0),0),COUNTA(B$996:B2266))),"")</f>
        <v/>
      </c>
      <c r="L2266" s="27"/>
    </row>
    <row r="2267" customFormat="false" ht="13.8" hidden="false" customHeight="false" outlineLevel="0" collapsed="false">
      <c r="A2267" s="16"/>
      <c r="B2267" s="16"/>
      <c r="C2267" s="26"/>
      <c r="D2267" s="26"/>
      <c r="E2267" s="16"/>
      <c r="F2267" s="18"/>
      <c r="G2267" s="19" t="str">
        <f aca="true">IF(F2267="", "", DATEDIF(F2267, TODAY(), "Y"))</f>
        <v/>
      </c>
      <c r="H2267" s="28"/>
      <c r="I2267" s="28"/>
      <c r="J2267" s="24" t="str">
        <f aca="true">IF(ISBLANK(H2267), "", I2267-TODAY())</f>
        <v/>
      </c>
      <c r="K2267" s="24" t="str">
        <f aca="false" t="array" ref="K2267:K2267">IF(A2267&lt;&gt;"",IF(COUNTIF(A$996:A2268,"&lt;&gt;")=0,COUNTA(B$996:B2267),IFERROR(MATCH(TRUE(),INDEX((A$996:A2268&lt;&gt;""),0),0),COUNTA(B$996:B2267))),"")</f>
        <v/>
      </c>
      <c r="L2267" s="27"/>
    </row>
    <row r="2268" customFormat="false" ht="13.8" hidden="false" customHeight="false" outlineLevel="0" collapsed="false">
      <c r="A2268" s="16"/>
      <c r="B2268" s="16"/>
      <c r="C2268" s="26"/>
      <c r="D2268" s="26"/>
      <c r="E2268" s="16"/>
      <c r="F2268" s="18"/>
      <c r="G2268" s="19" t="str">
        <f aca="true">IF(F2268="", "", DATEDIF(F2268, TODAY(), "Y"))</f>
        <v/>
      </c>
      <c r="H2268" s="28"/>
      <c r="I2268" s="28"/>
      <c r="J2268" s="24" t="str">
        <f aca="true">IF(ISBLANK(H2268), "", I2268-TODAY())</f>
        <v/>
      </c>
      <c r="K2268" s="24" t="str">
        <f aca="false" t="array" ref="K2268:K2268">IF(A2268&lt;&gt;"",IF(COUNTIF(A$996:A2269,"&lt;&gt;")=0,COUNTA(B$996:B2268),IFERROR(MATCH(TRUE(),INDEX((A$996:A2269&lt;&gt;""),0),0),COUNTA(B$996:B2268))),"")</f>
        <v/>
      </c>
      <c r="L2268" s="27"/>
    </row>
    <row r="2269" customFormat="false" ht="13.8" hidden="false" customHeight="false" outlineLevel="0" collapsed="false">
      <c r="A2269" s="16"/>
      <c r="B2269" s="16"/>
      <c r="C2269" s="26"/>
      <c r="D2269" s="26"/>
      <c r="E2269" s="16"/>
      <c r="F2269" s="18"/>
      <c r="G2269" s="19" t="str">
        <f aca="true">IF(F2269="", "", DATEDIF(F2269, TODAY(), "Y"))</f>
        <v/>
      </c>
      <c r="H2269" s="28"/>
      <c r="I2269" s="28"/>
      <c r="J2269" s="24" t="str">
        <f aca="true">IF(ISBLANK(H2269), "", I2269-TODAY())</f>
        <v/>
      </c>
      <c r="K2269" s="24" t="str">
        <f aca="false" t="array" ref="K2269:K2269">IF(A2269&lt;&gt;"",IF(COUNTIF(A$996:A2270,"&lt;&gt;")=0,COUNTA(B$996:B2269),IFERROR(MATCH(TRUE(),INDEX((A$996:A2270&lt;&gt;""),0),0),COUNTA(B$996:B2269))),"")</f>
        <v/>
      </c>
      <c r="L2269" s="27"/>
    </row>
    <row r="2270" customFormat="false" ht="13.8" hidden="false" customHeight="false" outlineLevel="0" collapsed="false">
      <c r="A2270" s="16"/>
      <c r="B2270" s="16"/>
      <c r="C2270" s="26"/>
      <c r="D2270" s="26"/>
      <c r="E2270" s="16"/>
      <c r="F2270" s="18"/>
      <c r="G2270" s="19" t="str">
        <f aca="true">IF(F2270="", "", DATEDIF(F2270, TODAY(), "Y"))</f>
        <v/>
      </c>
      <c r="H2270" s="28"/>
      <c r="I2270" s="28"/>
      <c r="J2270" s="24" t="str">
        <f aca="true">IF(ISBLANK(H2270), "", I2270-TODAY())</f>
        <v/>
      </c>
      <c r="K2270" s="24" t="str">
        <f aca="false" t="array" ref="K2270:K2270">IF(A2270&lt;&gt;"",IF(COUNTIF(A$996:A2271,"&lt;&gt;")=0,COUNTA(B$996:B2270),IFERROR(MATCH(TRUE(),INDEX((A$996:A2271&lt;&gt;""),0),0),COUNTA(B$996:B2270))),"")</f>
        <v/>
      </c>
      <c r="L2270" s="27"/>
    </row>
    <row r="2271" customFormat="false" ht="13.8" hidden="false" customHeight="false" outlineLevel="0" collapsed="false">
      <c r="A2271" s="16"/>
      <c r="B2271" s="16"/>
      <c r="C2271" s="26"/>
      <c r="D2271" s="26"/>
      <c r="E2271" s="16"/>
      <c r="F2271" s="18"/>
      <c r="G2271" s="19" t="str">
        <f aca="true">IF(F2271="", "", DATEDIF(F2271, TODAY(), "Y"))</f>
        <v/>
      </c>
      <c r="H2271" s="28"/>
      <c r="I2271" s="28"/>
      <c r="J2271" s="24" t="str">
        <f aca="true">IF(ISBLANK(H2271), "", I2271-TODAY())</f>
        <v/>
      </c>
      <c r="K2271" s="24" t="str">
        <f aca="false" t="array" ref="K2271:K2271">IF(A2271&lt;&gt;"",IF(COUNTIF(A$996:A2272,"&lt;&gt;")=0,COUNTA(B$996:B2271),IFERROR(MATCH(TRUE(),INDEX((A$996:A2272&lt;&gt;""),0),0),COUNTA(B$996:B2271))),"")</f>
        <v/>
      </c>
      <c r="L2271" s="27"/>
    </row>
    <row r="2272" customFormat="false" ht="13.8" hidden="false" customHeight="false" outlineLevel="0" collapsed="false">
      <c r="A2272" s="16"/>
      <c r="B2272" s="16"/>
      <c r="C2272" s="26"/>
      <c r="D2272" s="26"/>
      <c r="E2272" s="16"/>
      <c r="F2272" s="18"/>
      <c r="G2272" s="19" t="str">
        <f aca="true">IF(F2272="", "", DATEDIF(F2272, TODAY(), "Y"))</f>
        <v/>
      </c>
      <c r="H2272" s="28"/>
      <c r="I2272" s="28"/>
      <c r="J2272" s="24" t="str">
        <f aca="true">IF(ISBLANK(H2272), "", I2272-TODAY())</f>
        <v/>
      </c>
      <c r="K2272" s="24" t="str">
        <f aca="false" t="array" ref="K2272:K2272">IF(A2272&lt;&gt;"",IF(COUNTIF(A$996:A2273,"&lt;&gt;")=0,COUNTA(B$996:B2272),IFERROR(MATCH(TRUE(),INDEX((A$996:A2273&lt;&gt;""),0),0),COUNTA(B$996:B2272))),"")</f>
        <v/>
      </c>
      <c r="L2272" s="27"/>
    </row>
    <row r="2273" customFormat="false" ht="13.8" hidden="false" customHeight="false" outlineLevel="0" collapsed="false">
      <c r="A2273" s="16"/>
      <c r="B2273" s="16"/>
      <c r="C2273" s="26"/>
      <c r="D2273" s="26"/>
      <c r="E2273" s="16"/>
      <c r="F2273" s="18"/>
      <c r="G2273" s="19" t="str">
        <f aca="true">IF(F2273="", "", DATEDIF(F2273, TODAY(), "Y"))</f>
        <v/>
      </c>
      <c r="H2273" s="28"/>
      <c r="I2273" s="28"/>
      <c r="J2273" s="24" t="str">
        <f aca="true">IF(ISBLANK(H2273), "", I2273-TODAY())</f>
        <v/>
      </c>
      <c r="K2273" s="24" t="str">
        <f aca="false" t="array" ref="K2273:K2273">IF(A2273&lt;&gt;"",IF(COUNTIF(A$996:A2274,"&lt;&gt;")=0,COUNTA(B$996:B2273),IFERROR(MATCH(TRUE(),INDEX((A$996:A2274&lt;&gt;""),0),0),COUNTA(B$996:B2273))),"")</f>
        <v/>
      </c>
      <c r="L2273" s="27"/>
    </row>
    <row r="2274" customFormat="false" ht="13.8" hidden="false" customHeight="false" outlineLevel="0" collapsed="false">
      <c r="A2274" s="16"/>
      <c r="B2274" s="16"/>
      <c r="C2274" s="26"/>
      <c r="D2274" s="26"/>
      <c r="E2274" s="16"/>
      <c r="F2274" s="18"/>
      <c r="G2274" s="19" t="str">
        <f aca="true">IF(F2274="", "", DATEDIF(F2274, TODAY(), "Y"))</f>
        <v/>
      </c>
      <c r="H2274" s="28"/>
      <c r="I2274" s="28"/>
      <c r="J2274" s="24" t="str">
        <f aca="true">IF(ISBLANK(H2274), "", I2274-TODAY())</f>
        <v/>
      </c>
      <c r="K2274" s="24" t="str">
        <f aca="false" t="array" ref="K2274:K2274">IF(A2274&lt;&gt;"",IF(COUNTIF(A$996:A2275,"&lt;&gt;")=0,COUNTA(B$996:B2274),IFERROR(MATCH(TRUE(),INDEX((A$996:A2275&lt;&gt;""),0),0),COUNTA(B$996:B2274))),"")</f>
        <v/>
      </c>
      <c r="L2274" s="27"/>
    </row>
    <row r="2275" customFormat="false" ht="13.8" hidden="false" customHeight="false" outlineLevel="0" collapsed="false">
      <c r="A2275" s="16"/>
      <c r="B2275" s="16"/>
      <c r="C2275" s="26"/>
      <c r="D2275" s="26"/>
      <c r="E2275" s="16"/>
      <c r="F2275" s="18"/>
      <c r="G2275" s="19" t="str">
        <f aca="true">IF(F2275="", "", DATEDIF(F2275, TODAY(), "Y"))</f>
        <v/>
      </c>
      <c r="H2275" s="28"/>
      <c r="I2275" s="28"/>
      <c r="J2275" s="24" t="str">
        <f aca="true">IF(ISBLANK(H2275), "", I2275-TODAY())</f>
        <v/>
      </c>
      <c r="K2275" s="24" t="str">
        <f aca="false" t="array" ref="K2275:K2275">IF(A2275&lt;&gt;"",IF(COUNTIF(A$996:A2276,"&lt;&gt;")=0,COUNTA(B$996:B2275),IFERROR(MATCH(TRUE(),INDEX((A$996:A2276&lt;&gt;""),0),0),COUNTA(B$996:B2275))),"")</f>
        <v/>
      </c>
      <c r="L2275" s="27"/>
    </row>
    <row r="2276" customFormat="false" ht="13.8" hidden="false" customHeight="false" outlineLevel="0" collapsed="false">
      <c r="A2276" s="16"/>
      <c r="B2276" s="16"/>
      <c r="C2276" s="26"/>
      <c r="D2276" s="26"/>
      <c r="E2276" s="16"/>
      <c r="F2276" s="18"/>
      <c r="G2276" s="19" t="str">
        <f aca="true">IF(F2276="", "", DATEDIF(F2276, TODAY(), "Y"))</f>
        <v/>
      </c>
      <c r="H2276" s="28"/>
      <c r="I2276" s="28"/>
      <c r="J2276" s="24" t="str">
        <f aca="true">IF(ISBLANK(H2276), "", I2276-TODAY())</f>
        <v/>
      </c>
      <c r="K2276" s="24" t="str">
        <f aca="false" t="array" ref="K2276:K2276">IF(A2276&lt;&gt;"",IF(COUNTIF(A$996:A2277,"&lt;&gt;")=0,COUNTA(B$996:B2276),IFERROR(MATCH(TRUE(),INDEX((A$996:A2277&lt;&gt;""),0),0),COUNTA(B$996:B2276))),"")</f>
        <v/>
      </c>
      <c r="L2276" s="27"/>
    </row>
    <row r="2277" customFormat="false" ht="13.8" hidden="false" customHeight="false" outlineLevel="0" collapsed="false">
      <c r="A2277" s="16"/>
      <c r="B2277" s="16"/>
      <c r="C2277" s="26"/>
      <c r="D2277" s="26"/>
      <c r="E2277" s="16"/>
      <c r="F2277" s="18"/>
      <c r="G2277" s="19" t="str">
        <f aca="true">IF(F2277="", "", DATEDIF(F2277, TODAY(), "Y"))</f>
        <v/>
      </c>
      <c r="H2277" s="28"/>
      <c r="I2277" s="28"/>
      <c r="J2277" s="24" t="str">
        <f aca="true">IF(ISBLANK(H2277), "", I2277-TODAY())</f>
        <v/>
      </c>
      <c r="K2277" s="24" t="str">
        <f aca="false" t="array" ref="K2277:K2277">IF(A2277&lt;&gt;"",IF(COUNTIF(A$996:A2278,"&lt;&gt;")=0,COUNTA(B$996:B2277),IFERROR(MATCH(TRUE(),INDEX((A$996:A2278&lt;&gt;""),0),0),COUNTA(B$996:B2277))),"")</f>
        <v/>
      </c>
      <c r="L2277" s="27"/>
    </row>
    <row r="2278" customFormat="false" ht="13.8" hidden="false" customHeight="false" outlineLevel="0" collapsed="false">
      <c r="A2278" s="16"/>
      <c r="B2278" s="16"/>
      <c r="C2278" s="26"/>
      <c r="D2278" s="26"/>
      <c r="E2278" s="16"/>
      <c r="F2278" s="18"/>
      <c r="G2278" s="19" t="str">
        <f aca="true">IF(F2278="", "", DATEDIF(F2278, TODAY(), "Y"))</f>
        <v/>
      </c>
      <c r="H2278" s="28"/>
      <c r="I2278" s="28"/>
      <c r="J2278" s="24" t="str">
        <f aca="true">IF(ISBLANK(H2278), "", I2278-TODAY())</f>
        <v/>
      </c>
      <c r="K2278" s="24" t="str">
        <f aca="false" t="array" ref="K2278:K2278">IF(A2278&lt;&gt;"",IF(COUNTIF(A$996:A2279,"&lt;&gt;")=0,COUNTA(B$996:B2278),IFERROR(MATCH(TRUE(),INDEX((A$996:A2279&lt;&gt;""),0),0),COUNTA(B$996:B2278))),"")</f>
        <v/>
      </c>
      <c r="L2278" s="27"/>
    </row>
    <row r="2279" customFormat="false" ht="13.8" hidden="false" customHeight="false" outlineLevel="0" collapsed="false">
      <c r="A2279" s="16"/>
      <c r="B2279" s="16"/>
      <c r="C2279" s="26"/>
      <c r="D2279" s="26"/>
      <c r="E2279" s="16"/>
      <c r="F2279" s="18"/>
      <c r="G2279" s="19" t="str">
        <f aca="true">IF(F2279="", "", DATEDIF(F2279, TODAY(), "Y"))</f>
        <v/>
      </c>
      <c r="H2279" s="28"/>
      <c r="I2279" s="28"/>
      <c r="J2279" s="24" t="str">
        <f aca="true">IF(ISBLANK(H2279), "", I2279-TODAY())</f>
        <v/>
      </c>
      <c r="K2279" s="24" t="str">
        <f aca="false" t="array" ref="K2279:K2279">IF(A2279&lt;&gt;"",IF(COUNTIF(A$996:A2280,"&lt;&gt;")=0,COUNTA(B$996:B2279),IFERROR(MATCH(TRUE(),INDEX((A$996:A2280&lt;&gt;""),0),0),COUNTA(B$996:B2279))),"")</f>
        <v/>
      </c>
      <c r="L2279" s="27"/>
    </row>
    <row r="2280" customFormat="false" ht="13.8" hidden="false" customHeight="false" outlineLevel="0" collapsed="false">
      <c r="A2280" s="16"/>
      <c r="B2280" s="16"/>
      <c r="C2280" s="26"/>
      <c r="D2280" s="26"/>
      <c r="E2280" s="16"/>
      <c r="F2280" s="18"/>
      <c r="G2280" s="19" t="str">
        <f aca="true">IF(F2280="", "", DATEDIF(F2280, TODAY(), "Y"))</f>
        <v/>
      </c>
      <c r="H2280" s="28"/>
      <c r="I2280" s="28"/>
      <c r="J2280" s="24" t="str">
        <f aca="true">IF(ISBLANK(H2280), "", I2280-TODAY())</f>
        <v/>
      </c>
      <c r="K2280" s="24" t="str">
        <f aca="false" t="array" ref="K2280:K2280">IF(A2280&lt;&gt;"",IF(COUNTIF(A$996:A2281,"&lt;&gt;")=0,COUNTA(B$996:B2280),IFERROR(MATCH(TRUE(),INDEX((A$996:A2281&lt;&gt;""),0),0),COUNTA(B$996:B2280))),"")</f>
        <v/>
      </c>
      <c r="L2280" s="27"/>
    </row>
    <row r="2281" customFormat="false" ht="13.8" hidden="false" customHeight="false" outlineLevel="0" collapsed="false">
      <c r="A2281" s="16"/>
      <c r="B2281" s="16"/>
      <c r="C2281" s="26"/>
      <c r="D2281" s="26"/>
      <c r="E2281" s="16"/>
      <c r="F2281" s="18"/>
      <c r="G2281" s="19" t="str">
        <f aca="true">IF(F2281="", "", DATEDIF(F2281, TODAY(), "Y"))</f>
        <v/>
      </c>
      <c r="H2281" s="28"/>
      <c r="I2281" s="28"/>
      <c r="J2281" s="24" t="str">
        <f aca="true">IF(ISBLANK(H2281), "", I2281-TODAY())</f>
        <v/>
      </c>
      <c r="K2281" s="24" t="str">
        <f aca="false" t="array" ref="K2281:K2281">IF(A2281&lt;&gt;"",IF(COUNTIF(A$996:A2282,"&lt;&gt;")=0,COUNTA(B$996:B2281),IFERROR(MATCH(TRUE(),INDEX((A$996:A2282&lt;&gt;""),0),0),COUNTA(B$996:B2281))),"")</f>
        <v/>
      </c>
      <c r="L2281" s="27"/>
    </row>
    <row r="2282" customFormat="false" ht="13.8" hidden="false" customHeight="false" outlineLevel="0" collapsed="false">
      <c r="A2282" s="16"/>
      <c r="B2282" s="16"/>
      <c r="C2282" s="26"/>
      <c r="D2282" s="26"/>
      <c r="E2282" s="16"/>
      <c r="F2282" s="18"/>
      <c r="G2282" s="19" t="str">
        <f aca="true">IF(F2282="", "", DATEDIF(F2282, TODAY(), "Y"))</f>
        <v/>
      </c>
      <c r="H2282" s="28"/>
      <c r="I2282" s="28"/>
      <c r="J2282" s="24" t="str">
        <f aca="true">IF(ISBLANK(H2282), "", I2282-TODAY())</f>
        <v/>
      </c>
      <c r="K2282" s="24" t="str">
        <f aca="false" t="array" ref="K2282:K2282">IF(A2282&lt;&gt;"",IF(COUNTIF(A$996:A2283,"&lt;&gt;")=0,COUNTA(B$996:B2282),IFERROR(MATCH(TRUE(),INDEX((A$996:A2283&lt;&gt;""),0),0),COUNTA(B$996:B2282))),"")</f>
        <v/>
      </c>
      <c r="L2282" s="27"/>
    </row>
    <row r="2283" customFormat="false" ht="13.8" hidden="false" customHeight="false" outlineLevel="0" collapsed="false">
      <c r="A2283" s="16"/>
      <c r="B2283" s="16"/>
      <c r="C2283" s="26"/>
      <c r="D2283" s="26"/>
      <c r="E2283" s="16"/>
      <c r="F2283" s="18"/>
      <c r="G2283" s="19" t="str">
        <f aca="true">IF(F2283="", "", DATEDIF(F2283, TODAY(), "Y"))</f>
        <v/>
      </c>
      <c r="H2283" s="28"/>
      <c r="I2283" s="28"/>
      <c r="J2283" s="24" t="str">
        <f aca="true">IF(ISBLANK(H2283), "", I2283-TODAY())</f>
        <v/>
      </c>
      <c r="K2283" s="24" t="str">
        <f aca="false" t="array" ref="K2283:K2283">IF(A2283&lt;&gt;"",IF(COUNTIF(A$996:A2284,"&lt;&gt;")=0,COUNTA(B$996:B2283),IFERROR(MATCH(TRUE(),INDEX((A$996:A2284&lt;&gt;""),0),0),COUNTA(B$996:B2283))),"")</f>
        <v/>
      </c>
      <c r="L2283" s="27"/>
    </row>
    <row r="2284" customFormat="false" ht="13.8" hidden="false" customHeight="false" outlineLevel="0" collapsed="false">
      <c r="A2284" s="16"/>
      <c r="B2284" s="16"/>
      <c r="C2284" s="26"/>
      <c r="D2284" s="26"/>
      <c r="E2284" s="16"/>
      <c r="F2284" s="18"/>
      <c r="G2284" s="19" t="str">
        <f aca="true">IF(F2284="", "", DATEDIF(F2284, TODAY(), "Y"))</f>
        <v/>
      </c>
      <c r="H2284" s="28"/>
      <c r="I2284" s="28"/>
      <c r="J2284" s="24" t="str">
        <f aca="true">IF(ISBLANK(H2284), "", I2284-TODAY())</f>
        <v/>
      </c>
      <c r="K2284" s="24" t="str">
        <f aca="false" t="array" ref="K2284:K2284">IF(A2284&lt;&gt;"",IF(COUNTIF(A$996:A2285,"&lt;&gt;")=0,COUNTA(B$996:B2284),IFERROR(MATCH(TRUE(),INDEX((A$996:A2285&lt;&gt;""),0),0),COUNTA(B$996:B2284))),"")</f>
        <v/>
      </c>
      <c r="L2284" s="27"/>
    </row>
    <row r="2285" customFormat="false" ht="13.8" hidden="false" customHeight="false" outlineLevel="0" collapsed="false">
      <c r="A2285" s="16"/>
      <c r="B2285" s="16"/>
      <c r="C2285" s="26"/>
      <c r="D2285" s="26"/>
      <c r="E2285" s="16"/>
      <c r="F2285" s="18"/>
      <c r="G2285" s="19" t="str">
        <f aca="true">IF(F2285="", "", DATEDIF(F2285, TODAY(), "Y"))</f>
        <v/>
      </c>
      <c r="H2285" s="28"/>
      <c r="I2285" s="28"/>
      <c r="J2285" s="24" t="str">
        <f aca="true">IF(ISBLANK(H2285), "", I2285-TODAY())</f>
        <v/>
      </c>
      <c r="K2285" s="24" t="str">
        <f aca="false" t="array" ref="K2285:K2285">IF(A2285&lt;&gt;"",IF(COUNTIF(A$996:A2286,"&lt;&gt;")=0,COUNTA(B$996:B2285),IFERROR(MATCH(TRUE(),INDEX((A$996:A2286&lt;&gt;""),0),0),COUNTA(B$996:B2285))),"")</f>
        <v/>
      </c>
      <c r="L2285" s="27"/>
    </row>
    <row r="2286" customFormat="false" ht="13.8" hidden="false" customHeight="false" outlineLevel="0" collapsed="false">
      <c r="A2286" s="16"/>
      <c r="B2286" s="16"/>
      <c r="C2286" s="26"/>
      <c r="D2286" s="26"/>
      <c r="E2286" s="16"/>
      <c r="F2286" s="18"/>
      <c r="G2286" s="19" t="str">
        <f aca="true">IF(F2286="", "", DATEDIF(F2286, TODAY(), "Y"))</f>
        <v/>
      </c>
      <c r="H2286" s="28"/>
      <c r="I2286" s="28"/>
      <c r="J2286" s="24" t="str">
        <f aca="true">IF(ISBLANK(H2286), "", I2286-TODAY())</f>
        <v/>
      </c>
      <c r="K2286" s="24" t="str">
        <f aca="false" t="array" ref="K2286:K2286">IF(A2286&lt;&gt;"",IF(COUNTIF(A$996:A2287,"&lt;&gt;")=0,COUNTA(B$996:B2286),IFERROR(MATCH(TRUE(),INDEX((A$996:A2287&lt;&gt;""),0),0),COUNTA(B$996:B2286))),"")</f>
        <v/>
      </c>
      <c r="L2286" s="27"/>
    </row>
    <row r="2287" customFormat="false" ht="13.8" hidden="false" customHeight="false" outlineLevel="0" collapsed="false">
      <c r="A2287" s="16"/>
      <c r="B2287" s="16"/>
      <c r="C2287" s="26"/>
      <c r="D2287" s="26"/>
      <c r="E2287" s="16"/>
      <c r="F2287" s="18"/>
      <c r="G2287" s="19" t="str">
        <f aca="true">IF(F2287="", "", DATEDIF(F2287, TODAY(), "Y"))</f>
        <v/>
      </c>
      <c r="H2287" s="28"/>
      <c r="I2287" s="28"/>
      <c r="J2287" s="24" t="str">
        <f aca="true">IF(ISBLANK(H2287), "", I2287-TODAY())</f>
        <v/>
      </c>
      <c r="K2287" s="24" t="str">
        <f aca="false" t="array" ref="K2287:K2287">IF(A2287&lt;&gt;"",IF(COUNTIF(A$996:A2288,"&lt;&gt;")=0,COUNTA(B$996:B2287),IFERROR(MATCH(TRUE(),INDEX((A$996:A2288&lt;&gt;""),0),0),COUNTA(B$996:B2287))),"")</f>
        <v/>
      </c>
      <c r="L2287" s="27"/>
    </row>
    <row r="2288" customFormat="false" ht="13.8" hidden="false" customHeight="false" outlineLevel="0" collapsed="false">
      <c r="A2288" s="16"/>
      <c r="B2288" s="16"/>
      <c r="C2288" s="26"/>
      <c r="D2288" s="26"/>
      <c r="E2288" s="16"/>
      <c r="F2288" s="18"/>
      <c r="G2288" s="19" t="str">
        <f aca="true">IF(F2288="", "", DATEDIF(F2288, TODAY(), "Y"))</f>
        <v/>
      </c>
      <c r="H2288" s="28"/>
      <c r="I2288" s="28"/>
      <c r="J2288" s="24" t="str">
        <f aca="true">IF(ISBLANK(H2288), "", I2288-TODAY())</f>
        <v/>
      </c>
      <c r="K2288" s="24" t="str">
        <f aca="false" t="array" ref="K2288:K2288">IF(A2288&lt;&gt;"",IF(COUNTIF(A$996:A2289,"&lt;&gt;")=0,COUNTA(B$996:B2288),IFERROR(MATCH(TRUE(),INDEX((A$996:A2289&lt;&gt;""),0),0),COUNTA(B$996:B2288))),"")</f>
        <v/>
      </c>
      <c r="L2288" s="27"/>
    </row>
    <row r="2289" customFormat="false" ht="13.8" hidden="false" customHeight="false" outlineLevel="0" collapsed="false">
      <c r="A2289" s="16"/>
      <c r="B2289" s="16"/>
      <c r="C2289" s="26"/>
      <c r="D2289" s="26"/>
      <c r="E2289" s="16"/>
      <c r="F2289" s="18"/>
      <c r="G2289" s="19" t="str">
        <f aca="true">IF(F2289="", "", DATEDIF(F2289, TODAY(), "Y"))</f>
        <v/>
      </c>
      <c r="H2289" s="28"/>
      <c r="I2289" s="28"/>
      <c r="J2289" s="24" t="str">
        <f aca="true">IF(ISBLANK(H2289), "", I2289-TODAY())</f>
        <v/>
      </c>
      <c r="K2289" s="24" t="str">
        <f aca="false" t="array" ref="K2289:K2289">IF(A2289&lt;&gt;"",IF(COUNTIF(A$996:A2290,"&lt;&gt;")=0,COUNTA(B$996:B2289),IFERROR(MATCH(TRUE(),INDEX((A$996:A2290&lt;&gt;""),0),0),COUNTA(B$996:B2289))),"")</f>
        <v/>
      </c>
      <c r="L2289" s="27"/>
    </row>
    <row r="2290" customFormat="false" ht="13.8" hidden="false" customHeight="false" outlineLevel="0" collapsed="false">
      <c r="A2290" s="16"/>
      <c r="B2290" s="16"/>
      <c r="C2290" s="26"/>
      <c r="D2290" s="26"/>
      <c r="E2290" s="16"/>
      <c r="F2290" s="18"/>
      <c r="G2290" s="19" t="str">
        <f aca="true">IF(F2290="", "", DATEDIF(F2290, TODAY(), "Y"))</f>
        <v/>
      </c>
      <c r="H2290" s="28"/>
      <c r="I2290" s="28"/>
      <c r="J2290" s="24" t="str">
        <f aca="true">IF(ISBLANK(H2290), "", I2290-TODAY())</f>
        <v/>
      </c>
      <c r="K2290" s="24" t="str">
        <f aca="false" t="array" ref="K2290:K2290">IF(A2290&lt;&gt;"",IF(COUNTIF(A$996:A2291,"&lt;&gt;")=0,COUNTA(B$996:B2290),IFERROR(MATCH(TRUE(),INDEX((A$996:A2291&lt;&gt;""),0),0),COUNTA(B$996:B2290))),"")</f>
        <v/>
      </c>
      <c r="L2290" s="27"/>
    </row>
    <row r="2291" customFormat="false" ht="13.8" hidden="false" customHeight="false" outlineLevel="0" collapsed="false">
      <c r="A2291" s="16"/>
      <c r="B2291" s="16"/>
      <c r="C2291" s="26"/>
      <c r="D2291" s="26"/>
      <c r="E2291" s="16"/>
      <c r="F2291" s="18"/>
      <c r="G2291" s="19" t="str">
        <f aca="true">IF(F2291="", "", DATEDIF(F2291, TODAY(), "Y"))</f>
        <v/>
      </c>
      <c r="H2291" s="28"/>
      <c r="I2291" s="28"/>
      <c r="J2291" s="24" t="str">
        <f aca="true">IF(ISBLANK(H2291), "", I2291-TODAY())</f>
        <v/>
      </c>
      <c r="K2291" s="24" t="str">
        <f aca="false" t="array" ref="K2291:K2291">IF(A2291&lt;&gt;"",IF(COUNTIF(A$996:A2292,"&lt;&gt;")=0,COUNTA(B$996:B2291),IFERROR(MATCH(TRUE(),INDEX((A$996:A2292&lt;&gt;""),0),0),COUNTA(B$996:B2291))),"")</f>
        <v/>
      </c>
      <c r="L2291" s="27"/>
    </row>
    <row r="2292" customFormat="false" ht="13.8" hidden="false" customHeight="false" outlineLevel="0" collapsed="false">
      <c r="A2292" s="16"/>
      <c r="B2292" s="16"/>
      <c r="C2292" s="26"/>
      <c r="D2292" s="26"/>
      <c r="E2292" s="16"/>
      <c r="F2292" s="18"/>
      <c r="G2292" s="19" t="str">
        <f aca="true">IF(F2292="", "", DATEDIF(F2292, TODAY(), "Y"))</f>
        <v/>
      </c>
      <c r="H2292" s="28"/>
      <c r="I2292" s="28"/>
      <c r="J2292" s="24" t="str">
        <f aca="true">IF(ISBLANK(H2292), "", I2292-TODAY())</f>
        <v/>
      </c>
      <c r="K2292" s="24" t="str">
        <f aca="false" t="array" ref="K2292:K2292">IF(A2292&lt;&gt;"",IF(COUNTIF(A$996:A2293,"&lt;&gt;")=0,COUNTA(B$996:B2292),IFERROR(MATCH(TRUE(),INDEX((A$996:A2293&lt;&gt;""),0),0),COUNTA(B$996:B2292))),"")</f>
        <v/>
      </c>
      <c r="L2292" s="27"/>
    </row>
    <row r="2293" customFormat="false" ht="13.8" hidden="false" customHeight="false" outlineLevel="0" collapsed="false">
      <c r="A2293" s="16"/>
      <c r="B2293" s="16"/>
      <c r="C2293" s="26"/>
      <c r="D2293" s="26"/>
      <c r="E2293" s="16"/>
      <c r="F2293" s="18"/>
      <c r="G2293" s="19" t="str">
        <f aca="true">IF(F2293="", "", DATEDIF(F2293, TODAY(), "Y"))</f>
        <v/>
      </c>
      <c r="H2293" s="28"/>
      <c r="I2293" s="28"/>
      <c r="J2293" s="24" t="str">
        <f aca="true">IF(ISBLANK(H2293), "", I2293-TODAY())</f>
        <v/>
      </c>
      <c r="K2293" s="24" t="str">
        <f aca="false" t="array" ref="K2293:K2293">IF(A2293&lt;&gt;"",IF(COUNTIF(A$996:A2294,"&lt;&gt;")=0,COUNTA(B$996:B2293),IFERROR(MATCH(TRUE(),INDEX((A$996:A2294&lt;&gt;""),0),0),COUNTA(B$996:B2293))),"")</f>
        <v/>
      </c>
      <c r="L2293" s="27"/>
    </row>
    <row r="2294" customFormat="false" ht="13.8" hidden="false" customHeight="false" outlineLevel="0" collapsed="false">
      <c r="A2294" s="16"/>
      <c r="B2294" s="16"/>
      <c r="C2294" s="26"/>
      <c r="D2294" s="26"/>
      <c r="E2294" s="16"/>
      <c r="F2294" s="18"/>
      <c r="G2294" s="19" t="str">
        <f aca="true">IF(F2294="", "", DATEDIF(F2294, TODAY(), "Y"))</f>
        <v/>
      </c>
      <c r="H2294" s="28"/>
      <c r="I2294" s="28"/>
      <c r="J2294" s="24" t="str">
        <f aca="true">IF(ISBLANK(H2294), "", I2294-TODAY())</f>
        <v/>
      </c>
      <c r="K2294" s="24" t="str">
        <f aca="false" t="array" ref="K2294:K2294">IF(A2294&lt;&gt;"",IF(COUNTIF(A$996:A2295,"&lt;&gt;")=0,COUNTA(B$996:B2294),IFERROR(MATCH(TRUE(),INDEX((A$996:A2295&lt;&gt;""),0),0),COUNTA(B$996:B2294))),"")</f>
        <v/>
      </c>
      <c r="L2294" s="27"/>
    </row>
    <row r="2295" customFormat="false" ht="13.8" hidden="false" customHeight="false" outlineLevel="0" collapsed="false">
      <c r="A2295" s="16"/>
      <c r="B2295" s="16"/>
      <c r="C2295" s="26"/>
      <c r="D2295" s="26"/>
      <c r="E2295" s="16"/>
      <c r="F2295" s="18"/>
      <c r="G2295" s="19" t="str">
        <f aca="true">IF(F2295="", "", DATEDIF(F2295, TODAY(), "Y"))</f>
        <v/>
      </c>
      <c r="H2295" s="28"/>
      <c r="I2295" s="28"/>
      <c r="J2295" s="24" t="str">
        <f aca="true">IF(ISBLANK(H2295), "", I2295-TODAY())</f>
        <v/>
      </c>
      <c r="K2295" s="24" t="str">
        <f aca="false" t="array" ref="K2295:K2295">IF(A2295&lt;&gt;"",IF(COUNTIF(A$996:A2296,"&lt;&gt;")=0,COUNTA(B$996:B2295),IFERROR(MATCH(TRUE(),INDEX((A$996:A2296&lt;&gt;""),0),0),COUNTA(B$996:B2295))),"")</f>
        <v/>
      </c>
      <c r="L2295" s="27"/>
    </row>
    <row r="2296" customFormat="false" ht="13.8" hidden="false" customHeight="false" outlineLevel="0" collapsed="false">
      <c r="A2296" s="16"/>
      <c r="B2296" s="16"/>
      <c r="C2296" s="26"/>
      <c r="D2296" s="26"/>
      <c r="E2296" s="16"/>
      <c r="F2296" s="18"/>
      <c r="G2296" s="19" t="str">
        <f aca="true">IF(F2296="", "", DATEDIF(F2296, TODAY(), "Y"))</f>
        <v/>
      </c>
      <c r="H2296" s="28"/>
      <c r="I2296" s="28"/>
      <c r="J2296" s="24" t="str">
        <f aca="true">IF(ISBLANK(H2296), "", I2296-TODAY())</f>
        <v/>
      </c>
      <c r="K2296" s="24" t="str">
        <f aca="false" t="array" ref="K2296:K2296">IF(A2296&lt;&gt;"",IF(COUNTIF(A$996:A2297,"&lt;&gt;")=0,COUNTA(B$996:B2296),IFERROR(MATCH(TRUE(),INDEX((A$996:A2297&lt;&gt;""),0),0),COUNTA(B$996:B2296))),"")</f>
        <v/>
      </c>
      <c r="L2296" s="27"/>
    </row>
    <row r="2297" customFormat="false" ht="13.8" hidden="false" customHeight="false" outlineLevel="0" collapsed="false">
      <c r="A2297" s="16"/>
      <c r="B2297" s="16"/>
      <c r="C2297" s="26"/>
      <c r="D2297" s="26"/>
      <c r="E2297" s="16"/>
      <c r="F2297" s="18"/>
      <c r="G2297" s="19" t="str">
        <f aca="true">IF(F2297="", "", DATEDIF(F2297, TODAY(), "Y"))</f>
        <v/>
      </c>
      <c r="H2297" s="28"/>
      <c r="I2297" s="28"/>
      <c r="J2297" s="24" t="str">
        <f aca="true">IF(ISBLANK(H2297), "", I2297-TODAY())</f>
        <v/>
      </c>
      <c r="K2297" s="24" t="str">
        <f aca="false" t="array" ref="K2297:K2297">IF(A2297&lt;&gt;"",IF(COUNTIF(A$996:A2298,"&lt;&gt;")=0,COUNTA(B$996:B2297),IFERROR(MATCH(TRUE(),INDEX((A$996:A2298&lt;&gt;""),0),0),COUNTA(B$996:B2297))),"")</f>
        <v/>
      </c>
      <c r="L2297" s="27"/>
    </row>
    <row r="2298" customFormat="false" ht="13.8" hidden="false" customHeight="false" outlineLevel="0" collapsed="false">
      <c r="A2298" s="16"/>
      <c r="B2298" s="16"/>
      <c r="C2298" s="26"/>
      <c r="D2298" s="26"/>
      <c r="E2298" s="16"/>
      <c r="F2298" s="18"/>
      <c r="G2298" s="19" t="str">
        <f aca="true">IF(F2298="", "", DATEDIF(F2298, TODAY(), "Y"))</f>
        <v/>
      </c>
      <c r="H2298" s="28"/>
      <c r="I2298" s="28"/>
      <c r="J2298" s="24" t="str">
        <f aca="true">IF(ISBLANK(H2298), "", I2298-TODAY())</f>
        <v/>
      </c>
      <c r="K2298" s="24" t="str">
        <f aca="false" t="array" ref="K2298:K2298">IF(A2298&lt;&gt;"",IF(COUNTIF(A$996:A2299,"&lt;&gt;")=0,COUNTA(B$996:B2298),IFERROR(MATCH(TRUE(),INDEX((A$996:A2299&lt;&gt;""),0),0),COUNTA(B$996:B2298))),"")</f>
        <v/>
      </c>
      <c r="L2298" s="27"/>
    </row>
    <row r="2299" customFormat="false" ht="13.8" hidden="false" customHeight="false" outlineLevel="0" collapsed="false">
      <c r="A2299" s="16"/>
      <c r="B2299" s="16"/>
      <c r="C2299" s="26"/>
      <c r="D2299" s="26"/>
      <c r="E2299" s="16"/>
      <c r="F2299" s="18"/>
      <c r="G2299" s="19" t="str">
        <f aca="true">IF(F2299="", "", DATEDIF(F2299, TODAY(), "Y"))</f>
        <v/>
      </c>
      <c r="H2299" s="28"/>
      <c r="I2299" s="28"/>
      <c r="J2299" s="24" t="str">
        <f aca="true">IF(ISBLANK(H2299), "", I2299-TODAY())</f>
        <v/>
      </c>
      <c r="K2299" s="24" t="str">
        <f aca="false" t="array" ref="K2299:K2299">IF(A2299&lt;&gt;"",IF(COUNTIF(A$996:A2300,"&lt;&gt;")=0,COUNTA(B$996:B2299),IFERROR(MATCH(TRUE(),INDEX((A$996:A2300&lt;&gt;""),0),0),COUNTA(B$996:B2299))),"")</f>
        <v/>
      </c>
      <c r="L2299" s="27"/>
    </row>
    <row r="2300" customFormat="false" ht="13.8" hidden="false" customHeight="false" outlineLevel="0" collapsed="false">
      <c r="A2300" s="16"/>
      <c r="B2300" s="16"/>
      <c r="C2300" s="26"/>
      <c r="D2300" s="26"/>
      <c r="E2300" s="16"/>
      <c r="F2300" s="18"/>
      <c r="G2300" s="19" t="str">
        <f aca="true">IF(F2300="", "", DATEDIF(F2300, TODAY(), "Y"))</f>
        <v/>
      </c>
      <c r="H2300" s="28"/>
      <c r="I2300" s="28"/>
      <c r="J2300" s="24" t="str">
        <f aca="true">IF(ISBLANK(H2300), "", I2300-TODAY())</f>
        <v/>
      </c>
      <c r="K2300" s="24" t="str">
        <f aca="false" t="array" ref="K2300:K2300">IF(A2300&lt;&gt;"",IF(COUNTIF(A$996:A2301,"&lt;&gt;")=0,COUNTA(B$996:B2300),IFERROR(MATCH(TRUE(),INDEX((A$996:A2301&lt;&gt;""),0),0),COUNTA(B$996:B2300))),"")</f>
        <v/>
      </c>
      <c r="L2300" s="27"/>
    </row>
    <row r="2301" customFormat="false" ht="13.8" hidden="false" customHeight="false" outlineLevel="0" collapsed="false">
      <c r="A2301" s="16"/>
      <c r="B2301" s="16"/>
      <c r="C2301" s="26"/>
      <c r="D2301" s="26"/>
      <c r="E2301" s="16"/>
      <c r="F2301" s="18"/>
      <c r="G2301" s="19" t="str">
        <f aca="true">IF(F2301="", "", DATEDIF(F2301, TODAY(), "Y"))</f>
        <v/>
      </c>
      <c r="H2301" s="28"/>
      <c r="I2301" s="28"/>
      <c r="J2301" s="24" t="str">
        <f aca="true">IF(ISBLANK(H2301), "", I2301-TODAY())</f>
        <v/>
      </c>
      <c r="K2301" s="24" t="str">
        <f aca="false" t="array" ref="K2301:K2301">IF(A2301&lt;&gt;"",IF(COUNTIF(A$996:A2302,"&lt;&gt;")=0,COUNTA(B$996:B2301),IFERROR(MATCH(TRUE(),INDEX((A$996:A2302&lt;&gt;""),0),0),COUNTA(B$996:B2301))),"")</f>
        <v/>
      </c>
      <c r="L2301" s="27"/>
    </row>
    <row r="2302" customFormat="false" ht="13.8" hidden="false" customHeight="false" outlineLevel="0" collapsed="false">
      <c r="A2302" s="16"/>
      <c r="B2302" s="16"/>
      <c r="C2302" s="26"/>
      <c r="D2302" s="26"/>
      <c r="E2302" s="16"/>
      <c r="F2302" s="18"/>
      <c r="G2302" s="19" t="str">
        <f aca="true">IF(F2302="", "", DATEDIF(F2302, TODAY(), "Y"))</f>
        <v/>
      </c>
      <c r="H2302" s="28"/>
      <c r="I2302" s="28"/>
      <c r="J2302" s="24" t="str">
        <f aca="true">IF(ISBLANK(H2302), "", I2302-TODAY())</f>
        <v/>
      </c>
      <c r="K2302" s="24" t="str">
        <f aca="false" t="array" ref="K2302:K2302">IF(A2302&lt;&gt;"",IF(COUNTIF(A$996:A2303,"&lt;&gt;")=0,COUNTA(B$996:B2302),IFERROR(MATCH(TRUE(),INDEX((A$996:A2303&lt;&gt;""),0),0),COUNTA(B$996:B2302))),"")</f>
        <v/>
      </c>
      <c r="L2302" s="27"/>
    </row>
    <row r="2303" customFormat="false" ht="13.8" hidden="false" customHeight="false" outlineLevel="0" collapsed="false">
      <c r="A2303" s="16"/>
      <c r="B2303" s="16"/>
      <c r="C2303" s="26"/>
      <c r="D2303" s="26"/>
      <c r="E2303" s="16"/>
      <c r="F2303" s="18"/>
      <c r="G2303" s="19" t="str">
        <f aca="true">IF(F2303="", "", DATEDIF(F2303, TODAY(), "Y"))</f>
        <v/>
      </c>
      <c r="H2303" s="28"/>
      <c r="I2303" s="28"/>
      <c r="J2303" s="24" t="str">
        <f aca="true">IF(ISBLANK(H2303), "", I2303-TODAY())</f>
        <v/>
      </c>
      <c r="K2303" s="24" t="str">
        <f aca="false" t="array" ref="K2303:K2303">IF(A2303&lt;&gt;"",IF(COUNTIF(A$996:A2304,"&lt;&gt;")=0,COUNTA(B$996:B2303),IFERROR(MATCH(TRUE(),INDEX((A$996:A2304&lt;&gt;""),0),0),COUNTA(B$996:B2303))),"")</f>
        <v/>
      </c>
      <c r="L2303" s="27"/>
    </row>
    <row r="2304" customFormat="false" ht="13.8" hidden="false" customHeight="false" outlineLevel="0" collapsed="false">
      <c r="A2304" s="16"/>
      <c r="B2304" s="16"/>
      <c r="C2304" s="26"/>
      <c r="D2304" s="26"/>
      <c r="E2304" s="16"/>
      <c r="F2304" s="18"/>
      <c r="G2304" s="19" t="str">
        <f aca="true">IF(F2304="", "", DATEDIF(F2304, TODAY(), "Y"))</f>
        <v/>
      </c>
      <c r="H2304" s="28"/>
      <c r="I2304" s="28"/>
      <c r="J2304" s="24" t="str">
        <f aca="true">IF(ISBLANK(H2304), "", I2304-TODAY())</f>
        <v/>
      </c>
      <c r="K2304" s="24" t="str">
        <f aca="false" t="array" ref="K2304:K2304">IF(A2304&lt;&gt;"",IF(COUNTIF(A$996:A2305,"&lt;&gt;")=0,COUNTA(B$996:B2304),IFERROR(MATCH(TRUE(),INDEX((A$996:A2305&lt;&gt;""),0),0),COUNTA(B$996:B2304))),"")</f>
        <v/>
      </c>
      <c r="L2304" s="27"/>
    </row>
    <row r="2305" customFormat="false" ht="13.8" hidden="false" customHeight="false" outlineLevel="0" collapsed="false">
      <c r="A2305" s="16"/>
      <c r="B2305" s="16"/>
      <c r="C2305" s="26"/>
      <c r="D2305" s="26"/>
      <c r="E2305" s="16"/>
      <c r="F2305" s="18"/>
      <c r="G2305" s="19" t="str">
        <f aca="true">IF(F2305="", "", DATEDIF(F2305, TODAY(), "Y"))</f>
        <v/>
      </c>
      <c r="H2305" s="28"/>
      <c r="I2305" s="28"/>
      <c r="J2305" s="24" t="str">
        <f aca="true">IF(ISBLANK(H2305), "", I2305-TODAY())</f>
        <v/>
      </c>
      <c r="K2305" s="24" t="str">
        <f aca="false" t="array" ref="K2305:K2305">IF(A2305&lt;&gt;"",IF(COUNTIF(A$996:A2306,"&lt;&gt;")=0,COUNTA(B$996:B2305),IFERROR(MATCH(TRUE(),INDEX((A$996:A2306&lt;&gt;""),0),0),COUNTA(B$996:B2305))),"")</f>
        <v/>
      </c>
      <c r="L2305" s="27"/>
    </row>
    <row r="2306" customFormat="false" ht="13.8" hidden="false" customHeight="false" outlineLevel="0" collapsed="false">
      <c r="A2306" s="16"/>
      <c r="B2306" s="16"/>
      <c r="C2306" s="26"/>
      <c r="D2306" s="26"/>
      <c r="E2306" s="16"/>
      <c r="F2306" s="18"/>
      <c r="G2306" s="19" t="str">
        <f aca="true">IF(F2306="", "", DATEDIF(F2306, TODAY(), "Y"))</f>
        <v/>
      </c>
      <c r="H2306" s="28"/>
      <c r="I2306" s="28"/>
      <c r="J2306" s="24" t="str">
        <f aca="true">IF(ISBLANK(H2306), "", I2306-TODAY())</f>
        <v/>
      </c>
      <c r="K2306" s="24" t="str">
        <f aca="false" t="array" ref="K2306:K2306">IF(A2306&lt;&gt;"",IF(COUNTIF(A$996:A2307,"&lt;&gt;")=0,COUNTA(B$996:B2306),IFERROR(MATCH(TRUE(),INDEX((A$996:A2307&lt;&gt;""),0),0),COUNTA(B$996:B2306))),"")</f>
        <v/>
      </c>
      <c r="L2306" s="27"/>
    </row>
    <row r="2307" customFormat="false" ht="13.8" hidden="false" customHeight="false" outlineLevel="0" collapsed="false">
      <c r="A2307" s="16"/>
      <c r="B2307" s="16"/>
      <c r="C2307" s="26"/>
      <c r="D2307" s="26"/>
      <c r="E2307" s="16"/>
      <c r="F2307" s="18"/>
      <c r="G2307" s="19" t="str">
        <f aca="true">IF(F2307="", "", DATEDIF(F2307, TODAY(), "Y"))</f>
        <v/>
      </c>
      <c r="H2307" s="28"/>
      <c r="I2307" s="28"/>
      <c r="J2307" s="24" t="str">
        <f aca="true">IF(ISBLANK(H2307), "", I2307-TODAY())</f>
        <v/>
      </c>
      <c r="K2307" s="24" t="str">
        <f aca="false" t="array" ref="K2307:K2307">IF(A2307&lt;&gt;"",IF(COUNTIF(A$996:A2308,"&lt;&gt;")=0,COUNTA(B$996:B2307),IFERROR(MATCH(TRUE(),INDEX((A$996:A2308&lt;&gt;""),0),0),COUNTA(B$996:B2307))),"")</f>
        <v/>
      </c>
      <c r="L2307" s="27"/>
    </row>
    <row r="2308" customFormat="false" ht="13.8" hidden="false" customHeight="false" outlineLevel="0" collapsed="false">
      <c r="A2308" s="16"/>
      <c r="B2308" s="16"/>
      <c r="C2308" s="26"/>
      <c r="D2308" s="26"/>
      <c r="E2308" s="16"/>
      <c r="F2308" s="18"/>
      <c r="G2308" s="19" t="str">
        <f aca="true">IF(F2308="", "", DATEDIF(F2308, TODAY(), "Y"))</f>
        <v/>
      </c>
      <c r="H2308" s="28"/>
      <c r="I2308" s="28"/>
      <c r="J2308" s="24" t="str">
        <f aca="true">IF(ISBLANK(H2308), "", I2308-TODAY())</f>
        <v/>
      </c>
      <c r="K2308" s="24" t="str">
        <f aca="false" t="array" ref="K2308:K2308">IF(A2308&lt;&gt;"",IF(COUNTIF(A$996:A2309,"&lt;&gt;")=0,COUNTA(B$996:B2308),IFERROR(MATCH(TRUE(),INDEX((A$996:A2309&lt;&gt;""),0),0),COUNTA(B$996:B2308))),"")</f>
        <v/>
      </c>
      <c r="L2308" s="27"/>
    </row>
    <row r="2309" customFormat="false" ht="13.8" hidden="false" customHeight="false" outlineLevel="0" collapsed="false">
      <c r="A2309" s="16"/>
      <c r="B2309" s="16"/>
      <c r="C2309" s="26"/>
      <c r="D2309" s="26"/>
      <c r="E2309" s="16"/>
      <c r="F2309" s="18"/>
      <c r="G2309" s="19" t="str">
        <f aca="true">IF(F2309="", "", DATEDIF(F2309, TODAY(), "Y"))</f>
        <v/>
      </c>
      <c r="H2309" s="28"/>
      <c r="I2309" s="28"/>
      <c r="J2309" s="24" t="str">
        <f aca="true">IF(ISBLANK(H2309), "", I2309-TODAY())</f>
        <v/>
      </c>
      <c r="K2309" s="24" t="str">
        <f aca="false" t="array" ref="K2309:K2309">IF(A2309&lt;&gt;"",IF(COUNTIF(A$996:A2310,"&lt;&gt;")=0,COUNTA(B$996:B2309),IFERROR(MATCH(TRUE(),INDEX((A$996:A2310&lt;&gt;""),0),0),COUNTA(B$996:B2309))),"")</f>
        <v/>
      </c>
      <c r="L2309" s="27"/>
    </row>
    <row r="2310" customFormat="false" ht="13.8" hidden="false" customHeight="false" outlineLevel="0" collapsed="false">
      <c r="A2310" s="16"/>
      <c r="B2310" s="16"/>
      <c r="C2310" s="26"/>
      <c r="D2310" s="26"/>
      <c r="E2310" s="16"/>
      <c r="F2310" s="18"/>
      <c r="G2310" s="19" t="str">
        <f aca="true">IF(F2310="", "", DATEDIF(F2310, TODAY(), "Y"))</f>
        <v/>
      </c>
      <c r="H2310" s="28"/>
      <c r="I2310" s="28"/>
      <c r="J2310" s="24" t="str">
        <f aca="true">IF(ISBLANK(H2310), "", I2310-TODAY())</f>
        <v/>
      </c>
      <c r="K2310" s="24" t="str">
        <f aca="false" t="array" ref="K2310:K2310">IF(A2310&lt;&gt;"",IF(COUNTIF(A$996:A2311,"&lt;&gt;")=0,COUNTA(B$996:B2310),IFERROR(MATCH(TRUE(),INDEX((A$996:A2311&lt;&gt;""),0),0),COUNTA(B$996:B2310))),"")</f>
        <v/>
      </c>
      <c r="L2310" s="27"/>
    </row>
    <row r="2311" customFormat="false" ht="13.8" hidden="false" customHeight="false" outlineLevel="0" collapsed="false">
      <c r="A2311" s="16"/>
      <c r="B2311" s="16"/>
      <c r="C2311" s="26"/>
      <c r="D2311" s="26"/>
      <c r="E2311" s="16"/>
      <c r="F2311" s="18"/>
      <c r="G2311" s="19" t="str">
        <f aca="true">IF(F2311="", "", DATEDIF(F2311, TODAY(), "Y"))</f>
        <v/>
      </c>
      <c r="H2311" s="28"/>
      <c r="I2311" s="28"/>
      <c r="J2311" s="24" t="str">
        <f aca="true">IF(ISBLANK(H2311), "", I2311-TODAY())</f>
        <v/>
      </c>
      <c r="K2311" s="24" t="str">
        <f aca="false" t="array" ref="K2311:K2311">IF(A2311&lt;&gt;"",IF(COUNTIF(A$996:A2312,"&lt;&gt;")=0,COUNTA(B$996:B2311),IFERROR(MATCH(TRUE(),INDEX((A$996:A2312&lt;&gt;""),0),0),COUNTA(B$996:B2311))),"")</f>
        <v/>
      </c>
      <c r="L2311" s="27"/>
    </row>
    <row r="2312" customFormat="false" ht="13.8" hidden="false" customHeight="false" outlineLevel="0" collapsed="false">
      <c r="A2312" s="16"/>
      <c r="B2312" s="16"/>
      <c r="C2312" s="26"/>
      <c r="D2312" s="26"/>
      <c r="E2312" s="16"/>
      <c r="F2312" s="18"/>
      <c r="G2312" s="19" t="str">
        <f aca="true">IF(F2312="", "", DATEDIF(F2312, TODAY(), "Y"))</f>
        <v/>
      </c>
      <c r="H2312" s="28"/>
      <c r="I2312" s="28"/>
      <c r="J2312" s="24" t="str">
        <f aca="true">IF(ISBLANK(H2312), "", I2312-TODAY())</f>
        <v/>
      </c>
      <c r="K2312" s="24" t="str">
        <f aca="false" t="array" ref="K2312:K2312">IF(A2312&lt;&gt;"",IF(COUNTIF(A$996:A2313,"&lt;&gt;")=0,COUNTA(B$996:B2312),IFERROR(MATCH(TRUE(),INDEX((A$996:A2313&lt;&gt;""),0),0),COUNTA(B$996:B2312))),"")</f>
        <v/>
      </c>
      <c r="L2312" s="27"/>
    </row>
    <row r="2313" customFormat="false" ht="13.8" hidden="false" customHeight="false" outlineLevel="0" collapsed="false">
      <c r="A2313" s="16"/>
      <c r="B2313" s="16"/>
      <c r="C2313" s="26"/>
      <c r="D2313" s="26"/>
      <c r="E2313" s="16"/>
      <c r="F2313" s="18"/>
      <c r="G2313" s="19" t="str">
        <f aca="true">IF(F2313="", "", DATEDIF(F2313, TODAY(), "Y"))</f>
        <v/>
      </c>
      <c r="H2313" s="28"/>
      <c r="I2313" s="28"/>
      <c r="J2313" s="24" t="str">
        <f aca="true">IF(ISBLANK(H2313), "", I2313-TODAY())</f>
        <v/>
      </c>
      <c r="K2313" s="24" t="str">
        <f aca="false" t="array" ref="K2313:K2313">IF(A2313&lt;&gt;"",IF(COUNTIF(A$996:A2314,"&lt;&gt;")=0,COUNTA(B$996:B2313),IFERROR(MATCH(TRUE(),INDEX((A$996:A2314&lt;&gt;""),0),0),COUNTA(B$996:B2313))),"")</f>
        <v/>
      </c>
      <c r="L2313" s="27"/>
    </row>
    <row r="2314" customFormat="false" ht="13.8" hidden="false" customHeight="false" outlineLevel="0" collapsed="false">
      <c r="A2314" s="16"/>
      <c r="B2314" s="16"/>
      <c r="C2314" s="26"/>
      <c r="D2314" s="26"/>
      <c r="E2314" s="16"/>
      <c r="F2314" s="18"/>
      <c r="G2314" s="19" t="str">
        <f aca="true">IF(F2314="", "", DATEDIF(F2314, TODAY(), "Y"))</f>
        <v/>
      </c>
      <c r="H2314" s="28"/>
      <c r="I2314" s="28"/>
      <c r="J2314" s="24" t="str">
        <f aca="true">IF(ISBLANK(H2314), "", I2314-TODAY())</f>
        <v/>
      </c>
      <c r="K2314" s="24" t="str">
        <f aca="false" t="array" ref="K2314:K2314">IF(A2314&lt;&gt;"",IF(COUNTIF(A$996:A2315,"&lt;&gt;")=0,COUNTA(B$996:B2314),IFERROR(MATCH(TRUE(),INDEX((A$996:A2315&lt;&gt;""),0),0),COUNTA(B$996:B2314))),"")</f>
        <v/>
      </c>
      <c r="L2314" s="27"/>
    </row>
    <row r="2315" customFormat="false" ht="13.8" hidden="false" customHeight="false" outlineLevel="0" collapsed="false">
      <c r="A2315" s="16"/>
      <c r="B2315" s="16"/>
      <c r="C2315" s="26"/>
      <c r="D2315" s="26"/>
      <c r="E2315" s="16"/>
      <c r="F2315" s="18"/>
      <c r="G2315" s="19" t="str">
        <f aca="true">IF(F2315="", "", DATEDIF(F2315, TODAY(), "Y"))</f>
        <v/>
      </c>
      <c r="H2315" s="28"/>
      <c r="I2315" s="28"/>
      <c r="J2315" s="24" t="str">
        <f aca="true">IF(ISBLANK(H2315), "", I2315-TODAY())</f>
        <v/>
      </c>
      <c r="K2315" s="24" t="str">
        <f aca="false" t="array" ref="K2315:K2315">IF(A2315&lt;&gt;"",IF(COUNTIF(A$996:A2316,"&lt;&gt;")=0,COUNTA(B$996:B2315),IFERROR(MATCH(TRUE(),INDEX((A$996:A2316&lt;&gt;""),0),0),COUNTA(B$996:B2315))),"")</f>
        <v/>
      </c>
      <c r="L2315" s="27"/>
    </row>
    <row r="2316" customFormat="false" ht="13.8" hidden="false" customHeight="false" outlineLevel="0" collapsed="false">
      <c r="A2316" s="16"/>
      <c r="B2316" s="16"/>
      <c r="C2316" s="26"/>
      <c r="D2316" s="26"/>
      <c r="E2316" s="16"/>
      <c r="F2316" s="18"/>
      <c r="G2316" s="19" t="str">
        <f aca="true">IF(F2316="", "", DATEDIF(F2316, TODAY(), "Y"))</f>
        <v/>
      </c>
      <c r="H2316" s="28"/>
      <c r="I2316" s="28"/>
      <c r="J2316" s="24" t="str">
        <f aca="true">IF(ISBLANK(H2316), "", I2316-TODAY())</f>
        <v/>
      </c>
      <c r="K2316" s="24" t="str">
        <f aca="false" t="array" ref="K2316:K2316">IF(A2316&lt;&gt;"",IF(COUNTIF(A$996:A2317,"&lt;&gt;")=0,COUNTA(B$996:B2316),IFERROR(MATCH(TRUE(),INDEX((A$996:A2317&lt;&gt;""),0),0),COUNTA(B$996:B2316))),"")</f>
        <v/>
      </c>
      <c r="L2316" s="27"/>
    </row>
    <row r="2317" customFormat="false" ht="13.8" hidden="false" customHeight="false" outlineLevel="0" collapsed="false">
      <c r="A2317" s="16"/>
      <c r="B2317" s="16"/>
      <c r="C2317" s="26"/>
      <c r="D2317" s="26"/>
      <c r="E2317" s="16"/>
      <c r="F2317" s="18"/>
      <c r="G2317" s="19" t="str">
        <f aca="true">IF(F2317="", "", DATEDIF(F2317, TODAY(), "Y"))</f>
        <v/>
      </c>
      <c r="H2317" s="28"/>
      <c r="I2317" s="28"/>
      <c r="J2317" s="24" t="str">
        <f aca="true">IF(ISBLANK(H2317), "", I2317-TODAY())</f>
        <v/>
      </c>
      <c r="K2317" s="24" t="str">
        <f aca="false" t="array" ref="K2317:K2317">IF(A2317&lt;&gt;"",IF(COUNTIF(A$996:A2318,"&lt;&gt;")=0,COUNTA(B$996:B2317),IFERROR(MATCH(TRUE(),INDEX((A$996:A2318&lt;&gt;""),0),0),COUNTA(B$996:B2317))),"")</f>
        <v/>
      </c>
      <c r="L2317" s="27"/>
    </row>
    <row r="2318" customFormat="false" ht="13.8" hidden="false" customHeight="false" outlineLevel="0" collapsed="false">
      <c r="A2318" s="16"/>
      <c r="B2318" s="16"/>
      <c r="C2318" s="26"/>
      <c r="D2318" s="26"/>
      <c r="E2318" s="16"/>
      <c r="F2318" s="18"/>
      <c r="G2318" s="19" t="str">
        <f aca="true">IF(F2318="", "", DATEDIF(F2318, TODAY(), "Y"))</f>
        <v/>
      </c>
      <c r="H2318" s="28"/>
      <c r="I2318" s="28"/>
      <c r="J2318" s="24" t="str">
        <f aca="true">IF(ISBLANK(H2318), "", I2318-TODAY())</f>
        <v/>
      </c>
      <c r="K2318" s="24" t="str">
        <f aca="false" t="array" ref="K2318:K2318">IF(A2318&lt;&gt;"",IF(COUNTIF(A$996:A2319,"&lt;&gt;")=0,COUNTA(B$996:B2318),IFERROR(MATCH(TRUE(),INDEX((A$996:A2319&lt;&gt;""),0),0),COUNTA(B$996:B2318))),"")</f>
        <v/>
      </c>
      <c r="L2318" s="27"/>
    </row>
    <row r="2319" customFormat="false" ht="13.8" hidden="false" customHeight="false" outlineLevel="0" collapsed="false">
      <c r="A2319" s="16"/>
      <c r="B2319" s="16"/>
      <c r="C2319" s="26"/>
      <c r="D2319" s="26"/>
      <c r="E2319" s="16"/>
      <c r="F2319" s="18"/>
      <c r="G2319" s="19" t="str">
        <f aca="true">IF(F2319="", "", DATEDIF(F2319, TODAY(), "Y"))</f>
        <v/>
      </c>
      <c r="H2319" s="28"/>
      <c r="I2319" s="28"/>
      <c r="J2319" s="24" t="str">
        <f aca="true">IF(ISBLANK(H2319), "", I2319-TODAY())</f>
        <v/>
      </c>
      <c r="K2319" s="24" t="str">
        <f aca="false" t="array" ref="K2319:K2319">IF(A2319&lt;&gt;"",IF(COUNTIF(A$996:A2320,"&lt;&gt;")=0,COUNTA(B$996:B2319),IFERROR(MATCH(TRUE(),INDEX((A$996:A2320&lt;&gt;""),0),0),COUNTA(B$996:B2319))),"")</f>
        <v/>
      </c>
      <c r="L2319" s="27"/>
    </row>
    <row r="2320" customFormat="false" ht="13.8" hidden="false" customHeight="false" outlineLevel="0" collapsed="false">
      <c r="A2320" s="16"/>
      <c r="B2320" s="16"/>
      <c r="C2320" s="26"/>
      <c r="D2320" s="26"/>
      <c r="E2320" s="16"/>
      <c r="F2320" s="18"/>
      <c r="G2320" s="19" t="str">
        <f aca="true">IF(F2320="", "", DATEDIF(F2320, TODAY(), "Y"))</f>
        <v/>
      </c>
      <c r="H2320" s="28"/>
      <c r="I2320" s="28"/>
      <c r="J2320" s="24" t="str">
        <f aca="true">IF(ISBLANK(H2320), "", I2320-TODAY())</f>
        <v/>
      </c>
      <c r="K2320" s="24" t="str">
        <f aca="false" t="array" ref="K2320:K2320">IF(A2320&lt;&gt;"",IF(COUNTIF(A$996:A2321,"&lt;&gt;")=0,COUNTA(B$996:B2320),IFERROR(MATCH(TRUE(),INDEX((A$996:A2321&lt;&gt;""),0),0),COUNTA(B$996:B2320))),"")</f>
        <v/>
      </c>
      <c r="L2320" s="27"/>
    </row>
    <row r="2321" customFormat="false" ht="13.8" hidden="false" customHeight="false" outlineLevel="0" collapsed="false">
      <c r="A2321" s="16"/>
      <c r="B2321" s="16"/>
      <c r="C2321" s="26"/>
      <c r="D2321" s="26"/>
      <c r="E2321" s="16"/>
      <c r="F2321" s="18"/>
      <c r="G2321" s="19" t="str">
        <f aca="true">IF(F2321="", "", DATEDIF(F2321, TODAY(), "Y"))</f>
        <v/>
      </c>
      <c r="H2321" s="28"/>
      <c r="I2321" s="28"/>
      <c r="J2321" s="24" t="str">
        <f aca="true">IF(ISBLANK(H2321), "", I2321-TODAY())</f>
        <v/>
      </c>
      <c r="K2321" s="24" t="str">
        <f aca="false" t="array" ref="K2321:K2321">IF(A2321&lt;&gt;"",IF(COUNTIF(A$996:A2322,"&lt;&gt;")=0,COUNTA(B$996:B2321),IFERROR(MATCH(TRUE(),INDEX((A$996:A2322&lt;&gt;""),0),0),COUNTA(B$996:B2321))),"")</f>
        <v/>
      </c>
      <c r="L2321" s="27"/>
    </row>
    <row r="2322" customFormat="false" ht="13.8" hidden="false" customHeight="false" outlineLevel="0" collapsed="false">
      <c r="A2322" s="16"/>
      <c r="B2322" s="16"/>
      <c r="C2322" s="26"/>
      <c r="D2322" s="26"/>
      <c r="E2322" s="16"/>
      <c r="F2322" s="18"/>
      <c r="G2322" s="19" t="str">
        <f aca="true">IF(F2322="", "", DATEDIF(F2322, TODAY(), "Y"))</f>
        <v/>
      </c>
      <c r="H2322" s="28"/>
      <c r="I2322" s="28"/>
      <c r="J2322" s="24" t="str">
        <f aca="true">IF(ISBLANK(H2322), "", I2322-TODAY())</f>
        <v/>
      </c>
      <c r="K2322" s="24" t="str">
        <f aca="false" t="array" ref="K2322:K2322">IF(A2322&lt;&gt;"",IF(COUNTIF(A$996:A2323,"&lt;&gt;")=0,COUNTA(B$996:B2322),IFERROR(MATCH(TRUE(),INDEX((A$996:A2323&lt;&gt;""),0),0),COUNTA(B$996:B2322))),"")</f>
        <v/>
      </c>
      <c r="L2322" s="27"/>
    </row>
    <row r="2323" customFormat="false" ht="13.8" hidden="false" customHeight="false" outlineLevel="0" collapsed="false">
      <c r="A2323" s="16"/>
      <c r="B2323" s="16"/>
      <c r="C2323" s="26"/>
      <c r="D2323" s="26"/>
      <c r="E2323" s="16"/>
      <c r="F2323" s="18"/>
      <c r="G2323" s="19" t="str">
        <f aca="true">IF(F2323="", "", DATEDIF(F2323, TODAY(), "Y"))</f>
        <v/>
      </c>
      <c r="H2323" s="28"/>
      <c r="I2323" s="28"/>
      <c r="J2323" s="24" t="str">
        <f aca="true">IF(ISBLANK(H2323), "", I2323-TODAY())</f>
        <v/>
      </c>
      <c r="K2323" s="24" t="str">
        <f aca="false" t="array" ref="K2323:K2323">IF(A2323&lt;&gt;"",IF(COUNTIF(A$996:A2324,"&lt;&gt;")=0,COUNTA(B$996:B2323),IFERROR(MATCH(TRUE(),INDEX((A$996:A2324&lt;&gt;""),0),0),COUNTA(B$996:B2323))),"")</f>
        <v/>
      </c>
      <c r="L2323" s="27"/>
    </row>
    <row r="2324" customFormat="false" ht="13.8" hidden="false" customHeight="false" outlineLevel="0" collapsed="false">
      <c r="A2324" s="16"/>
      <c r="B2324" s="16"/>
      <c r="C2324" s="26"/>
      <c r="D2324" s="26"/>
      <c r="E2324" s="16"/>
      <c r="F2324" s="18"/>
      <c r="G2324" s="19" t="str">
        <f aca="true">IF(F2324="", "", DATEDIF(F2324, TODAY(), "Y"))</f>
        <v/>
      </c>
      <c r="H2324" s="28"/>
      <c r="I2324" s="28"/>
      <c r="J2324" s="24" t="str">
        <f aca="true">IF(ISBLANK(H2324), "", I2324-TODAY())</f>
        <v/>
      </c>
      <c r="K2324" s="24" t="str">
        <f aca="false" t="array" ref="K2324:K2324">IF(A2324&lt;&gt;"",IF(COUNTIF(A$996:A2325,"&lt;&gt;")=0,COUNTA(B$996:B2324),IFERROR(MATCH(TRUE(),INDEX((A$996:A2325&lt;&gt;""),0),0),COUNTA(B$996:B2324))),"")</f>
        <v/>
      </c>
      <c r="L2324" s="27"/>
    </row>
    <row r="2325" customFormat="false" ht="13.8" hidden="false" customHeight="false" outlineLevel="0" collapsed="false">
      <c r="A2325" s="16"/>
      <c r="B2325" s="16"/>
      <c r="C2325" s="26"/>
      <c r="D2325" s="26"/>
      <c r="E2325" s="16"/>
      <c r="F2325" s="18"/>
      <c r="G2325" s="19" t="str">
        <f aca="true">IF(F2325="", "", DATEDIF(F2325, TODAY(), "Y"))</f>
        <v/>
      </c>
      <c r="H2325" s="28"/>
      <c r="I2325" s="28"/>
      <c r="J2325" s="24" t="str">
        <f aca="true">IF(ISBLANK(H2325), "", I2325-TODAY())</f>
        <v/>
      </c>
      <c r="K2325" s="24" t="str">
        <f aca="false" t="array" ref="K2325:K2325">IF(A2325&lt;&gt;"",IF(COUNTIF(A$996:A2326,"&lt;&gt;")=0,COUNTA(B$996:B2325),IFERROR(MATCH(TRUE(),INDEX((A$996:A2326&lt;&gt;""),0),0),COUNTA(B$996:B2325))),"")</f>
        <v/>
      </c>
      <c r="L2325" s="27"/>
    </row>
    <row r="2326" customFormat="false" ht="13.8" hidden="false" customHeight="false" outlineLevel="0" collapsed="false">
      <c r="A2326" s="16"/>
      <c r="B2326" s="16"/>
      <c r="C2326" s="26"/>
      <c r="D2326" s="26"/>
      <c r="E2326" s="16"/>
      <c r="F2326" s="18"/>
      <c r="G2326" s="19" t="str">
        <f aca="true">IF(F2326="", "", DATEDIF(F2326, TODAY(), "Y"))</f>
        <v/>
      </c>
      <c r="H2326" s="28"/>
      <c r="I2326" s="28"/>
      <c r="J2326" s="24" t="str">
        <f aca="true">IF(ISBLANK(H2326), "", I2326-TODAY())</f>
        <v/>
      </c>
      <c r="K2326" s="24" t="str">
        <f aca="false" t="array" ref="K2326:K2326">IF(A2326&lt;&gt;"",IF(COUNTIF(A$996:A2327,"&lt;&gt;")=0,COUNTA(B$996:B2326),IFERROR(MATCH(TRUE(),INDEX((A$996:A2327&lt;&gt;""),0),0),COUNTA(B$996:B2326))),"")</f>
        <v/>
      </c>
      <c r="L2326" s="27"/>
    </row>
    <row r="2327" customFormat="false" ht="13.8" hidden="false" customHeight="false" outlineLevel="0" collapsed="false">
      <c r="A2327" s="16"/>
      <c r="B2327" s="16"/>
      <c r="C2327" s="26"/>
      <c r="D2327" s="26"/>
      <c r="E2327" s="16"/>
      <c r="F2327" s="18"/>
      <c r="G2327" s="19" t="str">
        <f aca="true">IF(F2327="", "", DATEDIF(F2327, TODAY(), "Y"))</f>
        <v/>
      </c>
      <c r="H2327" s="28"/>
      <c r="I2327" s="28"/>
      <c r="J2327" s="24" t="str">
        <f aca="true">IF(ISBLANK(H2327), "", I2327-TODAY())</f>
        <v/>
      </c>
      <c r="K2327" s="24" t="str">
        <f aca="false" t="array" ref="K2327:K2327">IF(A2327&lt;&gt;"",IF(COUNTIF(A$996:A2328,"&lt;&gt;")=0,COUNTA(B$996:B2327),IFERROR(MATCH(TRUE(),INDEX((A$996:A2328&lt;&gt;""),0),0),COUNTA(B$996:B2327))),"")</f>
        <v/>
      </c>
      <c r="L2327" s="27"/>
    </row>
    <row r="2328" customFormat="false" ht="13.8" hidden="false" customHeight="false" outlineLevel="0" collapsed="false">
      <c r="A2328" s="16"/>
      <c r="B2328" s="16"/>
      <c r="C2328" s="26"/>
      <c r="D2328" s="26"/>
      <c r="E2328" s="16"/>
      <c r="F2328" s="18"/>
      <c r="G2328" s="19" t="str">
        <f aca="true">IF(F2328="", "", DATEDIF(F2328, TODAY(), "Y"))</f>
        <v/>
      </c>
      <c r="H2328" s="28"/>
      <c r="I2328" s="28"/>
      <c r="J2328" s="24" t="str">
        <f aca="true">IF(ISBLANK(H2328), "", I2328-TODAY())</f>
        <v/>
      </c>
      <c r="K2328" s="24" t="str">
        <f aca="false" t="array" ref="K2328:K2328">IF(A2328&lt;&gt;"",IF(COUNTIF(A$996:A2329,"&lt;&gt;")=0,COUNTA(B$996:B2328),IFERROR(MATCH(TRUE(),INDEX((A$996:A2329&lt;&gt;""),0),0),COUNTA(B$996:B2328))),"")</f>
        <v/>
      </c>
      <c r="L2328" s="27"/>
    </row>
    <row r="2329" customFormat="false" ht="13.8" hidden="false" customHeight="false" outlineLevel="0" collapsed="false">
      <c r="A2329" s="16"/>
      <c r="B2329" s="16"/>
      <c r="C2329" s="26"/>
      <c r="D2329" s="26"/>
      <c r="E2329" s="16"/>
      <c r="F2329" s="18"/>
      <c r="G2329" s="19" t="str">
        <f aca="true">IF(F2329="", "", DATEDIF(F2329, TODAY(), "Y"))</f>
        <v/>
      </c>
      <c r="H2329" s="28"/>
      <c r="I2329" s="28"/>
      <c r="J2329" s="24" t="str">
        <f aca="true">IF(ISBLANK(H2329), "", I2329-TODAY())</f>
        <v/>
      </c>
      <c r="K2329" s="24" t="str">
        <f aca="false" t="array" ref="K2329:K2329">IF(A2329&lt;&gt;"",IF(COUNTIF(A$996:A2330,"&lt;&gt;")=0,COUNTA(B$996:B2329),IFERROR(MATCH(TRUE(),INDEX((A$996:A2330&lt;&gt;""),0),0),COUNTA(B$996:B2329))),"")</f>
        <v/>
      </c>
      <c r="L2329" s="27"/>
    </row>
    <row r="2330" customFormat="false" ht="13.8" hidden="false" customHeight="false" outlineLevel="0" collapsed="false">
      <c r="A2330" s="16"/>
      <c r="B2330" s="16"/>
      <c r="C2330" s="26"/>
      <c r="D2330" s="26"/>
      <c r="E2330" s="16"/>
      <c r="F2330" s="18"/>
      <c r="G2330" s="19" t="str">
        <f aca="true">IF(F2330="", "", DATEDIF(F2330, TODAY(), "Y"))</f>
        <v/>
      </c>
      <c r="H2330" s="28"/>
      <c r="I2330" s="28"/>
      <c r="J2330" s="24" t="str">
        <f aca="true">IF(ISBLANK(H2330), "", I2330-TODAY())</f>
        <v/>
      </c>
      <c r="K2330" s="24" t="str">
        <f aca="false" t="array" ref="K2330:K2330">IF(A2330&lt;&gt;"",IF(COUNTIF(A$996:A2331,"&lt;&gt;")=0,COUNTA(B$996:B2330),IFERROR(MATCH(TRUE(),INDEX((A$996:A2331&lt;&gt;""),0),0),COUNTA(B$996:B2330))),"")</f>
        <v/>
      </c>
      <c r="L2330" s="27"/>
    </row>
    <row r="2331" customFormat="false" ht="13.8" hidden="false" customHeight="false" outlineLevel="0" collapsed="false">
      <c r="A2331" s="16"/>
      <c r="B2331" s="16"/>
      <c r="C2331" s="26"/>
      <c r="D2331" s="26"/>
      <c r="E2331" s="16"/>
      <c r="F2331" s="18"/>
      <c r="G2331" s="19" t="str">
        <f aca="true">IF(F2331="", "", DATEDIF(F2331, TODAY(), "Y"))</f>
        <v/>
      </c>
      <c r="H2331" s="28"/>
      <c r="I2331" s="28"/>
      <c r="J2331" s="24" t="str">
        <f aca="true">IF(ISBLANK(H2331), "", I2331-TODAY())</f>
        <v/>
      </c>
      <c r="K2331" s="24" t="str">
        <f aca="false" t="array" ref="K2331:K2331">IF(A2331&lt;&gt;"",IF(COUNTIF(A$996:A2332,"&lt;&gt;")=0,COUNTA(B$996:B2331),IFERROR(MATCH(TRUE(),INDEX((A$996:A2332&lt;&gt;""),0),0),COUNTA(B$996:B2331))),"")</f>
        <v/>
      </c>
      <c r="L2331" s="27"/>
    </row>
    <row r="2332" customFormat="false" ht="13.8" hidden="false" customHeight="false" outlineLevel="0" collapsed="false">
      <c r="A2332" s="16"/>
      <c r="B2332" s="16"/>
      <c r="C2332" s="26"/>
      <c r="D2332" s="26"/>
      <c r="E2332" s="16"/>
      <c r="F2332" s="18"/>
      <c r="G2332" s="19" t="str">
        <f aca="true">IF(F2332="", "", DATEDIF(F2332, TODAY(), "Y"))</f>
        <v/>
      </c>
      <c r="H2332" s="28"/>
      <c r="I2332" s="28"/>
      <c r="J2332" s="24" t="str">
        <f aca="true">IF(ISBLANK(H2332), "", I2332-TODAY())</f>
        <v/>
      </c>
      <c r="K2332" s="24" t="str">
        <f aca="false" t="array" ref="K2332:K2332">IF(A2332&lt;&gt;"",IF(COUNTIF(A$996:A2333,"&lt;&gt;")=0,COUNTA(B$996:B2332),IFERROR(MATCH(TRUE(),INDEX((A$996:A2333&lt;&gt;""),0),0),COUNTA(B$996:B2332))),"")</f>
        <v/>
      </c>
      <c r="L2332" s="27"/>
    </row>
    <row r="2333" customFormat="false" ht="13.8" hidden="false" customHeight="false" outlineLevel="0" collapsed="false">
      <c r="A2333" s="16"/>
      <c r="B2333" s="16"/>
      <c r="C2333" s="26"/>
      <c r="D2333" s="26"/>
      <c r="E2333" s="16"/>
      <c r="F2333" s="18"/>
      <c r="G2333" s="19" t="str">
        <f aca="true">IF(F2333="", "", DATEDIF(F2333, TODAY(), "Y"))</f>
        <v/>
      </c>
      <c r="H2333" s="28"/>
      <c r="I2333" s="28"/>
      <c r="J2333" s="24" t="str">
        <f aca="true">IF(ISBLANK(H2333), "", I2333-TODAY())</f>
        <v/>
      </c>
      <c r="K2333" s="24" t="str">
        <f aca="false" t="array" ref="K2333:K2333">IF(A2333&lt;&gt;"",IF(COUNTIF(A$996:A2334,"&lt;&gt;")=0,COUNTA(B$996:B2333),IFERROR(MATCH(TRUE(),INDEX((A$996:A2334&lt;&gt;""),0),0),COUNTA(B$996:B2333))),"")</f>
        <v/>
      </c>
      <c r="L2333" s="27"/>
    </row>
    <row r="2334" customFormat="false" ht="13.8" hidden="false" customHeight="false" outlineLevel="0" collapsed="false">
      <c r="A2334" s="16"/>
      <c r="B2334" s="16"/>
      <c r="C2334" s="26"/>
      <c r="D2334" s="26"/>
      <c r="E2334" s="16"/>
      <c r="F2334" s="18"/>
      <c r="G2334" s="19" t="str">
        <f aca="true">IF(F2334="", "", DATEDIF(F2334, TODAY(), "Y"))</f>
        <v/>
      </c>
      <c r="H2334" s="28"/>
      <c r="I2334" s="28"/>
      <c r="J2334" s="24" t="str">
        <f aca="true">IF(ISBLANK(H2334), "", I2334-TODAY())</f>
        <v/>
      </c>
      <c r="K2334" s="24" t="str">
        <f aca="false" t="array" ref="K2334:K2334">IF(A2334&lt;&gt;"",IF(COUNTIF(A$996:A2335,"&lt;&gt;")=0,COUNTA(B$996:B2334),IFERROR(MATCH(TRUE(),INDEX((A$996:A2335&lt;&gt;""),0),0),COUNTA(B$996:B2334))),"")</f>
        <v/>
      </c>
      <c r="L2334" s="27"/>
    </row>
    <row r="2335" customFormat="false" ht="13.8" hidden="false" customHeight="false" outlineLevel="0" collapsed="false">
      <c r="A2335" s="16"/>
      <c r="B2335" s="16"/>
      <c r="C2335" s="26"/>
      <c r="D2335" s="26"/>
      <c r="E2335" s="16"/>
      <c r="F2335" s="18"/>
      <c r="G2335" s="19" t="str">
        <f aca="true">IF(F2335="", "", DATEDIF(F2335, TODAY(), "Y"))</f>
        <v/>
      </c>
      <c r="H2335" s="28"/>
      <c r="I2335" s="28"/>
      <c r="J2335" s="24" t="str">
        <f aca="true">IF(ISBLANK(H2335), "", I2335-TODAY())</f>
        <v/>
      </c>
      <c r="K2335" s="24" t="str">
        <f aca="false" t="array" ref="K2335:K2335">IF(A2335&lt;&gt;"",IF(COUNTIF(A$996:A2336,"&lt;&gt;")=0,COUNTA(B$996:B2335),IFERROR(MATCH(TRUE(),INDEX((A$996:A2336&lt;&gt;""),0),0),COUNTA(B$996:B2335))),"")</f>
        <v/>
      </c>
      <c r="L2335" s="27"/>
    </row>
    <row r="2336" customFormat="false" ht="13.8" hidden="false" customHeight="false" outlineLevel="0" collapsed="false">
      <c r="A2336" s="16"/>
      <c r="B2336" s="16"/>
      <c r="C2336" s="26"/>
      <c r="D2336" s="26"/>
      <c r="E2336" s="16"/>
      <c r="F2336" s="18"/>
      <c r="G2336" s="19" t="str">
        <f aca="true">IF(F2336="", "", DATEDIF(F2336, TODAY(), "Y"))</f>
        <v/>
      </c>
      <c r="H2336" s="28"/>
      <c r="I2336" s="28"/>
      <c r="J2336" s="24" t="str">
        <f aca="true">IF(ISBLANK(H2336), "", I2336-TODAY())</f>
        <v/>
      </c>
      <c r="K2336" s="24" t="str">
        <f aca="false" t="array" ref="K2336:K2336">IF(A2336&lt;&gt;"",IF(COUNTIF(A$996:A2337,"&lt;&gt;")=0,COUNTA(B$996:B2336),IFERROR(MATCH(TRUE(),INDEX((A$996:A2337&lt;&gt;""),0),0),COUNTA(B$996:B2336))),"")</f>
        <v/>
      </c>
      <c r="L2336" s="27"/>
    </row>
    <row r="2337" customFormat="false" ht="13.8" hidden="false" customHeight="false" outlineLevel="0" collapsed="false">
      <c r="A2337" s="16"/>
      <c r="B2337" s="16"/>
      <c r="C2337" s="26"/>
      <c r="D2337" s="26"/>
      <c r="E2337" s="16"/>
      <c r="F2337" s="18"/>
      <c r="G2337" s="19" t="str">
        <f aca="true">IF(F2337="", "", DATEDIF(F2337, TODAY(), "Y"))</f>
        <v/>
      </c>
      <c r="H2337" s="28"/>
      <c r="I2337" s="28"/>
      <c r="J2337" s="24" t="str">
        <f aca="true">IF(ISBLANK(H2337), "", I2337-TODAY())</f>
        <v/>
      </c>
      <c r="K2337" s="24" t="str">
        <f aca="false" t="array" ref="K2337:K2337">IF(A2337&lt;&gt;"",IF(COUNTIF(A$996:A2338,"&lt;&gt;")=0,COUNTA(B$996:B2337),IFERROR(MATCH(TRUE(),INDEX((A$996:A2338&lt;&gt;""),0),0),COUNTA(B$996:B2337))),"")</f>
        <v/>
      </c>
      <c r="L2337" s="27"/>
    </row>
    <row r="2338" customFormat="false" ht="13.8" hidden="false" customHeight="false" outlineLevel="0" collapsed="false">
      <c r="A2338" s="16"/>
      <c r="B2338" s="16"/>
      <c r="C2338" s="26"/>
      <c r="D2338" s="26"/>
      <c r="E2338" s="16"/>
      <c r="F2338" s="18"/>
      <c r="G2338" s="19" t="str">
        <f aca="true">IF(F2338="", "", DATEDIF(F2338, TODAY(), "Y"))</f>
        <v/>
      </c>
      <c r="H2338" s="28"/>
      <c r="I2338" s="28"/>
      <c r="J2338" s="24" t="str">
        <f aca="true">IF(ISBLANK(H2338), "", I2338-TODAY())</f>
        <v/>
      </c>
      <c r="K2338" s="24" t="str">
        <f aca="false" t="array" ref="K2338:K2338">IF(A2338&lt;&gt;"",IF(COUNTIF(A$996:A2339,"&lt;&gt;")=0,COUNTA(B$996:B2338),IFERROR(MATCH(TRUE(),INDEX((A$996:A2339&lt;&gt;""),0),0),COUNTA(B$996:B2338))),"")</f>
        <v/>
      </c>
      <c r="L2338" s="27"/>
    </row>
    <row r="2339" customFormat="false" ht="13.8" hidden="false" customHeight="false" outlineLevel="0" collapsed="false">
      <c r="A2339" s="16"/>
      <c r="B2339" s="16"/>
      <c r="C2339" s="26"/>
      <c r="D2339" s="26"/>
      <c r="E2339" s="16"/>
      <c r="F2339" s="18"/>
      <c r="G2339" s="19" t="str">
        <f aca="true">IF(F2339="", "", DATEDIF(F2339, TODAY(), "Y"))</f>
        <v/>
      </c>
      <c r="H2339" s="28"/>
      <c r="I2339" s="28"/>
      <c r="J2339" s="24" t="str">
        <f aca="true">IF(ISBLANK(H2339), "", I2339-TODAY())</f>
        <v/>
      </c>
      <c r="K2339" s="24" t="str">
        <f aca="false" t="array" ref="K2339:K2339">IF(A2339&lt;&gt;"",IF(COUNTIF(A$996:A2340,"&lt;&gt;")=0,COUNTA(B$996:B2339),IFERROR(MATCH(TRUE(),INDEX((A$996:A2340&lt;&gt;""),0),0),COUNTA(B$996:B2339))),"")</f>
        <v/>
      </c>
      <c r="L2339" s="27"/>
    </row>
    <row r="2340" customFormat="false" ht="13.8" hidden="false" customHeight="false" outlineLevel="0" collapsed="false">
      <c r="A2340" s="16"/>
      <c r="B2340" s="16"/>
      <c r="C2340" s="26"/>
      <c r="D2340" s="26"/>
      <c r="E2340" s="16"/>
      <c r="F2340" s="18"/>
      <c r="G2340" s="19" t="str">
        <f aca="true">IF(F2340="", "", DATEDIF(F2340, TODAY(), "Y"))</f>
        <v/>
      </c>
      <c r="H2340" s="28"/>
      <c r="I2340" s="28"/>
      <c r="J2340" s="24" t="str">
        <f aca="true">IF(ISBLANK(H2340), "", I2340-TODAY())</f>
        <v/>
      </c>
      <c r="K2340" s="24" t="str">
        <f aca="false" t="array" ref="K2340:K2340">IF(A2340&lt;&gt;"",IF(COUNTIF(A$996:A2341,"&lt;&gt;")=0,COUNTA(B$996:B2340),IFERROR(MATCH(TRUE(),INDEX((A$996:A2341&lt;&gt;""),0),0),COUNTA(B$996:B2340))),"")</f>
        <v/>
      </c>
      <c r="L2340" s="27"/>
    </row>
    <row r="2341" customFormat="false" ht="13.8" hidden="false" customHeight="false" outlineLevel="0" collapsed="false">
      <c r="A2341" s="16"/>
      <c r="B2341" s="16"/>
      <c r="C2341" s="26"/>
      <c r="D2341" s="26"/>
      <c r="E2341" s="16"/>
      <c r="F2341" s="18"/>
      <c r="G2341" s="19" t="str">
        <f aca="true">IF(F2341="", "", DATEDIF(F2341, TODAY(), "Y"))</f>
        <v/>
      </c>
      <c r="H2341" s="28"/>
      <c r="I2341" s="28"/>
      <c r="J2341" s="24" t="str">
        <f aca="true">IF(ISBLANK(H2341), "", I2341-TODAY())</f>
        <v/>
      </c>
      <c r="K2341" s="24" t="str">
        <f aca="false" t="array" ref="K2341:K2341">IF(A2341&lt;&gt;"",IF(COUNTIF(A$996:A2342,"&lt;&gt;")=0,COUNTA(B$996:B2341),IFERROR(MATCH(TRUE(),INDEX((A$996:A2342&lt;&gt;""),0),0),COUNTA(B$996:B2341))),"")</f>
        <v/>
      </c>
      <c r="L2341" s="27"/>
    </row>
    <row r="2342" customFormat="false" ht="13.8" hidden="false" customHeight="false" outlineLevel="0" collapsed="false">
      <c r="A2342" s="16"/>
      <c r="B2342" s="16"/>
      <c r="C2342" s="26"/>
      <c r="D2342" s="26"/>
      <c r="E2342" s="16"/>
      <c r="F2342" s="18"/>
      <c r="G2342" s="19" t="str">
        <f aca="true">IF(F2342="", "", DATEDIF(F2342, TODAY(), "Y"))</f>
        <v/>
      </c>
      <c r="H2342" s="28"/>
      <c r="I2342" s="28"/>
      <c r="J2342" s="24" t="str">
        <f aca="true">IF(ISBLANK(H2342), "", I2342-TODAY())</f>
        <v/>
      </c>
      <c r="K2342" s="24" t="str">
        <f aca="false" t="array" ref="K2342:K2342">IF(A2342&lt;&gt;"",IF(COUNTIF(A$996:A2343,"&lt;&gt;")=0,COUNTA(B$996:B2342),IFERROR(MATCH(TRUE(),INDEX((A$996:A2343&lt;&gt;""),0),0),COUNTA(B$996:B2342))),"")</f>
        <v/>
      </c>
      <c r="L2342" s="27"/>
    </row>
    <row r="2343" customFormat="false" ht="13.8" hidden="false" customHeight="false" outlineLevel="0" collapsed="false">
      <c r="A2343" s="16"/>
      <c r="B2343" s="16"/>
      <c r="C2343" s="26"/>
      <c r="D2343" s="26"/>
      <c r="E2343" s="16"/>
      <c r="F2343" s="18"/>
      <c r="G2343" s="19" t="str">
        <f aca="true">IF(F2343="", "", DATEDIF(F2343, TODAY(), "Y"))</f>
        <v/>
      </c>
      <c r="H2343" s="28"/>
      <c r="I2343" s="28"/>
      <c r="J2343" s="24" t="str">
        <f aca="true">IF(ISBLANK(H2343), "", I2343-TODAY())</f>
        <v/>
      </c>
      <c r="K2343" s="24" t="str">
        <f aca="false" t="array" ref="K2343:K2343">IF(A2343&lt;&gt;"",IF(COUNTIF(A$996:A2344,"&lt;&gt;")=0,COUNTA(B$996:B2343),IFERROR(MATCH(TRUE(),INDEX((A$996:A2344&lt;&gt;""),0),0),COUNTA(B$996:B2343))),"")</f>
        <v/>
      </c>
      <c r="L2343" s="27"/>
    </row>
    <row r="2344" customFormat="false" ht="13.8" hidden="false" customHeight="false" outlineLevel="0" collapsed="false">
      <c r="A2344" s="16"/>
      <c r="B2344" s="16"/>
      <c r="C2344" s="26"/>
      <c r="D2344" s="26"/>
      <c r="E2344" s="16"/>
      <c r="F2344" s="18"/>
      <c r="G2344" s="19" t="str">
        <f aca="true">IF(F2344="", "", DATEDIF(F2344, TODAY(), "Y"))</f>
        <v/>
      </c>
      <c r="H2344" s="28"/>
      <c r="I2344" s="28"/>
      <c r="J2344" s="24" t="str">
        <f aca="true">IF(ISBLANK(H2344), "", I2344-TODAY())</f>
        <v/>
      </c>
      <c r="K2344" s="24" t="str">
        <f aca="false" t="array" ref="K2344:K2344">IF(A2344&lt;&gt;"",IF(COUNTIF(A$996:A2345,"&lt;&gt;")=0,COUNTA(B$996:B2344),IFERROR(MATCH(TRUE(),INDEX((A$996:A2345&lt;&gt;""),0),0),COUNTA(B$996:B2344))),"")</f>
        <v/>
      </c>
      <c r="L2344" s="27"/>
    </row>
    <row r="2345" customFormat="false" ht="13.8" hidden="false" customHeight="false" outlineLevel="0" collapsed="false">
      <c r="A2345" s="16"/>
      <c r="B2345" s="16"/>
      <c r="C2345" s="26"/>
      <c r="D2345" s="26"/>
      <c r="E2345" s="16"/>
      <c r="F2345" s="18"/>
      <c r="G2345" s="19" t="str">
        <f aca="true">IF(F2345="", "", DATEDIF(F2345, TODAY(), "Y"))</f>
        <v/>
      </c>
      <c r="H2345" s="28"/>
      <c r="I2345" s="28"/>
      <c r="J2345" s="24" t="str">
        <f aca="true">IF(ISBLANK(H2345), "", I2345-TODAY())</f>
        <v/>
      </c>
      <c r="K2345" s="24" t="str">
        <f aca="false" t="array" ref="K2345:K2345">IF(A2345&lt;&gt;"",IF(COUNTIF(A$996:A2346,"&lt;&gt;")=0,COUNTA(B$996:B2345),IFERROR(MATCH(TRUE(),INDEX((A$996:A2346&lt;&gt;""),0),0),COUNTA(B$996:B2345))),"")</f>
        <v/>
      </c>
      <c r="L2345" s="27"/>
    </row>
    <row r="2346" customFormat="false" ht="13.8" hidden="false" customHeight="false" outlineLevel="0" collapsed="false">
      <c r="A2346" s="16"/>
      <c r="B2346" s="16"/>
      <c r="C2346" s="26"/>
      <c r="D2346" s="26"/>
      <c r="E2346" s="16"/>
      <c r="F2346" s="18"/>
      <c r="G2346" s="19" t="str">
        <f aca="true">IF(F2346="", "", DATEDIF(F2346, TODAY(), "Y"))</f>
        <v/>
      </c>
      <c r="H2346" s="28"/>
      <c r="I2346" s="28"/>
      <c r="J2346" s="24" t="str">
        <f aca="true">IF(ISBLANK(H2346), "", I2346-TODAY())</f>
        <v/>
      </c>
      <c r="K2346" s="24" t="str">
        <f aca="false" t="array" ref="K2346:K2346">IF(A2346&lt;&gt;"",IF(COUNTIF(A$996:A2347,"&lt;&gt;")=0,COUNTA(B$996:B2346),IFERROR(MATCH(TRUE(),INDEX((A$996:A2347&lt;&gt;""),0),0),COUNTA(B$996:B2346))),"")</f>
        <v/>
      </c>
      <c r="L2346" s="27"/>
    </row>
    <row r="2347" customFormat="false" ht="13.8" hidden="false" customHeight="false" outlineLevel="0" collapsed="false">
      <c r="A2347" s="16"/>
      <c r="B2347" s="16"/>
      <c r="C2347" s="26"/>
      <c r="D2347" s="26"/>
      <c r="E2347" s="16"/>
      <c r="F2347" s="18"/>
      <c r="G2347" s="19" t="str">
        <f aca="true">IF(F2347="", "", DATEDIF(F2347, TODAY(), "Y"))</f>
        <v/>
      </c>
      <c r="H2347" s="28"/>
      <c r="I2347" s="28"/>
      <c r="J2347" s="24" t="str">
        <f aca="true">IF(ISBLANK(H2347), "", I2347-TODAY())</f>
        <v/>
      </c>
      <c r="K2347" s="24" t="str">
        <f aca="false" t="array" ref="K2347:K2347">IF(A2347&lt;&gt;"",IF(COUNTIF(A$996:A2348,"&lt;&gt;")=0,COUNTA(B$996:B2347),IFERROR(MATCH(TRUE(),INDEX((A$996:A2348&lt;&gt;""),0),0),COUNTA(B$996:B2347))),"")</f>
        <v/>
      </c>
      <c r="L2347" s="27"/>
    </row>
    <row r="2348" customFormat="false" ht="13.8" hidden="false" customHeight="false" outlineLevel="0" collapsed="false">
      <c r="A2348" s="16"/>
      <c r="B2348" s="16"/>
      <c r="C2348" s="26"/>
      <c r="D2348" s="26"/>
      <c r="E2348" s="16"/>
      <c r="F2348" s="18"/>
      <c r="G2348" s="19" t="str">
        <f aca="true">IF(F2348="", "", DATEDIF(F2348, TODAY(), "Y"))</f>
        <v/>
      </c>
      <c r="H2348" s="28"/>
      <c r="I2348" s="28"/>
      <c r="J2348" s="24" t="str">
        <f aca="true">IF(ISBLANK(H2348), "", I2348-TODAY())</f>
        <v/>
      </c>
      <c r="K2348" s="24" t="str">
        <f aca="false" t="array" ref="K2348:K2348">IF(A2348&lt;&gt;"",IF(COUNTIF(A$996:A2349,"&lt;&gt;")=0,COUNTA(B$996:B2348),IFERROR(MATCH(TRUE(),INDEX((A$996:A2349&lt;&gt;""),0),0),COUNTA(B$996:B2348))),"")</f>
        <v/>
      </c>
      <c r="L2348" s="27"/>
    </row>
    <row r="2349" customFormat="false" ht="13.8" hidden="false" customHeight="false" outlineLevel="0" collapsed="false">
      <c r="A2349" s="16"/>
      <c r="B2349" s="16"/>
      <c r="C2349" s="26"/>
      <c r="D2349" s="26"/>
      <c r="E2349" s="16"/>
      <c r="F2349" s="18"/>
      <c r="G2349" s="19" t="str">
        <f aca="true">IF(F2349="", "", DATEDIF(F2349, TODAY(), "Y"))</f>
        <v/>
      </c>
      <c r="H2349" s="28"/>
      <c r="I2349" s="28"/>
      <c r="J2349" s="24" t="str">
        <f aca="true">IF(ISBLANK(H2349), "", I2349-TODAY())</f>
        <v/>
      </c>
      <c r="K2349" s="24" t="str">
        <f aca="false" t="array" ref="K2349:K2349">IF(A2349&lt;&gt;"",IF(COUNTIF(A$996:A2350,"&lt;&gt;")=0,COUNTA(B$996:B2349),IFERROR(MATCH(TRUE(),INDEX((A$996:A2350&lt;&gt;""),0),0),COUNTA(B$996:B2349))),"")</f>
        <v/>
      </c>
      <c r="L2349" s="27"/>
    </row>
    <row r="2350" customFormat="false" ht="13.8" hidden="false" customHeight="false" outlineLevel="0" collapsed="false">
      <c r="A2350" s="16"/>
      <c r="B2350" s="16"/>
      <c r="C2350" s="26"/>
      <c r="D2350" s="26"/>
      <c r="E2350" s="16"/>
      <c r="F2350" s="18"/>
      <c r="G2350" s="19" t="str">
        <f aca="true">IF(F2350="", "", DATEDIF(F2350, TODAY(), "Y"))</f>
        <v/>
      </c>
      <c r="H2350" s="28"/>
      <c r="I2350" s="28"/>
      <c r="J2350" s="24" t="str">
        <f aca="true">IF(ISBLANK(H2350), "", I2350-TODAY())</f>
        <v/>
      </c>
      <c r="K2350" s="24" t="str">
        <f aca="false" t="array" ref="K2350:K2350">IF(A2350&lt;&gt;"",IF(COUNTIF(A$996:A2351,"&lt;&gt;")=0,COUNTA(B$996:B2350),IFERROR(MATCH(TRUE(),INDEX((A$996:A2351&lt;&gt;""),0),0),COUNTA(B$996:B2350))),"")</f>
        <v/>
      </c>
      <c r="L2350" s="27"/>
    </row>
    <row r="2351" customFormat="false" ht="13.8" hidden="false" customHeight="false" outlineLevel="0" collapsed="false">
      <c r="A2351" s="16"/>
      <c r="B2351" s="16"/>
      <c r="C2351" s="26"/>
      <c r="D2351" s="26"/>
      <c r="E2351" s="16"/>
      <c r="F2351" s="18"/>
      <c r="G2351" s="19" t="str">
        <f aca="true">IF(F2351="", "", DATEDIF(F2351, TODAY(), "Y"))</f>
        <v/>
      </c>
      <c r="H2351" s="28"/>
      <c r="I2351" s="28"/>
      <c r="J2351" s="24" t="str">
        <f aca="true">IF(ISBLANK(H2351), "", I2351-TODAY())</f>
        <v/>
      </c>
      <c r="K2351" s="24" t="str">
        <f aca="false" t="array" ref="K2351:K2351">IF(A2351&lt;&gt;"",IF(COUNTIF(A$996:A2352,"&lt;&gt;")=0,COUNTA(B$996:B2351),IFERROR(MATCH(TRUE(),INDEX((A$996:A2352&lt;&gt;""),0),0),COUNTA(B$996:B2351))),"")</f>
        <v/>
      </c>
      <c r="L2351" s="27"/>
    </row>
    <row r="2352" customFormat="false" ht="13.8" hidden="false" customHeight="false" outlineLevel="0" collapsed="false">
      <c r="A2352" s="16"/>
      <c r="B2352" s="16"/>
      <c r="C2352" s="26"/>
      <c r="D2352" s="26"/>
      <c r="E2352" s="16"/>
      <c r="F2352" s="18"/>
      <c r="G2352" s="19" t="str">
        <f aca="true">IF(F2352="", "", DATEDIF(F2352, TODAY(), "Y"))</f>
        <v/>
      </c>
      <c r="H2352" s="28"/>
      <c r="I2352" s="28"/>
      <c r="J2352" s="24" t="str">
        <f aca="true">IF(ISBLANK(H2352), "", I2352-TODAY())</f>
        <v/>
      </c>
      <c r="K2352" s="24" t="str">
        <f aca="false" t="array" ref="K2352:K2352">IF(A2352&lt;&gt;"",IF(COUNTIF(A$996:A2353,"&lt;&gt;")=0,COUNTA(B$996:B2352),IFERROR(MATCH(TRUE(),INDEX((A$996:A2353&lt;&gt;""),0),0),COUNTA(B$996:B2352))),"")</f>
        <v/>
      </c>
      <c r="L2352" s="27"/>
    </row>
    <row r="2353" customFormat="false" ht="13.8" hidden="false" customHeight="false" outlineLevel="0" collapsed="false">
      <c r="A2353" s="16"/>
      <c r="B2353" s="16"/>
      <c r="C2353" s="26"/>
      <c r="D2353" s="26"/>
      <c r="E2353" s="16"/>
      <c r="F2353" s="18"/>
      <c r="G2353" s="19" t="str">
        <f aca="true">IF(F2353="", "", DATEDIF(F2353, TODAY(), "Y"))</f>
        <v/>
      </c>
      <c r="H2353" s="28"/>
      <c r="I2353" s="28"/>
      <c r="J2353" s="24" t="str">
        <f aca="true">IF(ISBLANK(H2353), "", I2353-TODAY())</f>
        <v/>
      </c>
      <c r="K2353" s="24" t="str">
        <f aca="false" t="array" ref="K2353:K2353">IF(A2353&lt;&gt;"",IF(COUNTIF(A$996:A2354,"&lt;&gt;")=0,COUNTA(B$996:B2353),IFERROR(MATCH(TRUE(),INDEX((A$996:A2354&lt;&gt;""),0),0),COUNTA(B$996:B2353))),"")</f>
        <v/>
      </c>
      <c r="L2353" s="27"/>
    </row>
    <row r="2354" customFormat="false" ht="13.8" hidden="false" customHeight="false" outlineLevel="0" collapsed="false">
      <c r="A2354" s="16"/>
      <c r="B2354" s="16"/>
      <c r="C2354" s="26"/>
      <c r="D2354" s="26"/>
      <c r="E2354" s="16"/>
      <c r="F2354" s="18"/>
      <c r="G2354" s="19" t="str">
        <f aca="true">IF(F2354="", "", DATEDIF(F2354, TODAY(), "Y"))</f>
        <v/>
      </c>
      <c r="H2354" s="28"/>
      <c r="I2354" s="28"/>
      <c r="J2354" s="24" t="str">
        <f aca="true">IF(ISBLANK(H2354), "", I2354-TODAY())</f>
        <v/>
      </c>
      <c r="K2354" s="24" t="str">
        <f aca="false" t="array" ref="K2354:K2354">IF(A2354&lt;&gt;"",IF(COUNTIF(A$996:A2355,"&lt;&gt;")=0,COUNTA(B$996:B2354),IFERROR(MATCH(TRUE(),INDEX((A$996:A2355&lt;&gt;""),0),0),COUNTA(B$996:B2354))),"")</f>
        <v/>
      </c>
      <c r="L2354" s="27"/>
    </row>
    <row r="2355" customFormat="false" ht="13.8" hidden="false" customHeight="false" outlineLevel="0" collapsed="false">
      <c r="A2355" s="16"/>
      <c r="B2355" s="16"/>
      <c r="C2355" s="26"/>
      <c r="D2355" s="26"/>
      <c r="E2355" s="16"/>
      <c r="F2355" s="18"/>
      <c r="G2355" s="19" t="str">
        <f aca="true">IF(F2355="", "", DATEDIF(F2355, TODAY(), "Y"))</f>
        <v/>
      </c>
      <c r="H2355" s="28"/>
      <c r="I2355" s="28"/>
      <c r="J2355" s="24" t="str">
        <f aca="true">IF(ISBLANK(H2355), "", I2355-TODAY())</f>
        <v/>
      </c>
      <c r="K2355" s="24" t="str">
        <f aca="false" t="array" ref="K2355:K2355">IF(A2355&lt;&gt;"",IF(COUNTIF(A$996:A2356,"&lt;&gt;")=0,COUNTA(B$996:B2355),IFERROR(MATCH(TRUE(),INDEX((A$996:A2356&lt;&gt;""),0),0),COUNTA(B$996:B2355))),"")</f>
        <v/>
      </c>
      <c r="L2355" s="27"/>
    </row>
    <row r="2356" customFormat="false" ht="13.8" hidden="false" customHeight="false" outlineLevel="0" collapsed="false">
      <c r="A2356" s="16"/>
      <c r="B2356" s="16"/>
      <c r="C2356" s="26"/>
      <c r="D2356" s="26"/>
      <c r="E2356" s="16"/>
      <c r="F2356" s="18"/>
      <c r="G2356" s="19" t="str">
        <f aca="true">IF(F2356="", "", DATEDIF(F2356, TODAY(), "Y"))</f>
        <v/>
      </c>
      <c r="H2356" s="28"/>
      <c r="I2356" s="28"/>
      <c r="J2356" s="24" t="str">
        <f aca="true">IF(ISBLANK(H2356), "", I2356-TODAY())</f>
        <v/>
      </c>
      <c r="K2356" s="24" t="str">
        <f aca="false" t="array" ref="K2356:K2356">IF(A2356&lt;&gt;"",IF(COUNTIF(A$996:A2357,"&lt;&gt;")=0,COUNTA(B$996:B2356),IFERROR(MATCH(TRUE(),INDEX((A$996:A2357&lt;&gt;""),0),0),COUNTA(B$996:B2356))),"")</f>
        <v/>
      </c>
      <c r="L2356" s="27"/>
    </row>
    <row r="2357" customFormat="false" ht="13.8" hidden="false" customHeight="false" outlineLevel="0" collapsed="false">
      <c r="A2357" s="16"/>
      <c r="B2357" s="16"/>
      <c r="C2357" s="26"/>
      <c r="D2357" s="26"/>
      <c r="E2357" s="16"/>
      <c r="F2357" s="18"/>
      <c r="G2357" s="19" t="str">
        <f aca="true">IF(F2357="", "", DATEDIF(F2357, TODAY(), "Y"))</f>
        <v/>
      </c>
      <c r="H2357" s="28"/>
      <c r="I2357" s="28"/>
      <c r="J2357" s="24" t="str">
        <f aca="true">IF(ISBLANK(H2357), "", I2357-TODAY())</f>
        <v/>
      </c>
      <c r="K2357" s="24" t="str">
        <f aca="false" t="array" ref="K2357:K2357">IF(A2357&lt;&gt;"",IF(COUNTIF(A$996:A2358,"&lt;&gt;")=0,COUNTA(B$996:B2357),IFERROR(MATCH(TRUE(),INDEX((A$996:A2358&lt;&gt;""),0),0),COUNTA(B$996:B2357))),"")</f>
        <v/>
      </c>
      <c r="L2357" s="27"/>
    </row>
    <row r="2358" customFormat="false" ht="13.8" hidden="false" customHeight="false" outlineLevel="0" collapsed="false">
      <c r="A2358" s="16"/>
      <c r="B2358" s="16"/>
      <c r="C2358" s="26"/>
      <c r="D2358" s="26"/>
      <c r="E2358" s="16"/>
      <c r="F2358" s="18"/>
      <c r="G2358" s="19" t="str">
        <f aca="true">IF(F2358="", "", DATEDIF(F2358, TODAY(), "Y"))</f>
        <v/>
      </c>
      <c r="H2358" s="28"/>
      <c r="I2358" s="28"/>
      <c r="J2358" s="24" t="str">
        <f aca="true">IF(ISBLANK(H2358), "", I2358-TODAY())</f>
        <v/>
      </c>
      <c r="K2358" s="24" t="str">
        <f aca="false" t="array" ref="K2358:K2358">IF(A2358&lt;&gt;"",IF(COUNTIF(A$996:A2359,"&lt;&gt;")=0,COUNTA(B$996:B2358),IFERROR(MATCH(TRUE(),INDEX((A$996:A2359&lt;&gt;""),0),0),COUNTA(B$996:B2358))),"")</f>
        <v/>
      </c>
      <c r="L2358" s="27"/>
    </row>
    <row r="2359" customFormat="false" ht="13.8" hidden="false" customHeight="false" outlineLevel="0" collapsed="false">
      <c r="A2359" s="16"/>
      <c r="B2359" s="16"/>
      <c r="C2359" s="26"/>
      <c r="D2359" s="26"/>
      <c r="E2359" s="16"/>
      <c r="F2359" s="18"/>
      <c r="G2359" s="19" t="str">
        <f aca="true">IF(F2359="", "", DATEDIF(F2359, TODAY(), "Y"))</f>
        <v/>
      </c>
      <c r="H2359" s="28"/>
      <c r="I2359" s="28"/>
      <c r="J2359" s="24" t="str">
        <f aca="true">IF(ISBLANK(H2359), "", I2359-TODAY())</f>
        <v/>
      </c>
      <c r="K2359" s="24" t="str">
        <f aca="false" t="array" ref="K2359:K2359">IF(A2359&lt;&gt;"",IF(COUNTIF(A$996:A2360,"&lt;&gt;")=0,COUNTA(B$996:B2359),IFERROR(MATCH(TRUE(),INDEX((A$996:A2360&lt;&gt;""),0),0),COUNTA(B$996:B2359))),"")</f>
        <v/>
      </c>
      <c r="L2359" s="27"/>
    </row>
    <row r="2360" customFormat="false" ht="13.8" hidden="false" customHeight="false" outlineLevel="0" collapsed="false">
      <c r="A2360" s="16"/>
      <c r="B2360" s="16"/>
      <c r="C2360" s="26"/>
      <c r="D2360" s="26"/>
      <c r="E2360" s="16"/>
      <c r="F2360" s="18"/>
      <c r="G2360" s="19" t="str">
        <f aca="true">IF(F2360="", "", DATEDIF(F2360, TODAY(), "Y"))</f>
        <v/>
      </c>
      <c r="H2360" s="28"/>
      <c r="I2360" s="28"/>
      <c r="J2360" s="24" t="str">
        <f aca="true">IF(ISBLANK(H2360), "", I2360-TODAY())</f>
        <v/>
      </c>
      <c r="K2360" s="24" t="str">
        <f aca="false" t="array" ref="K2360:K2360">IF(A2360&lt;&gt;"",IF(COUNTIF(A$996:A2361,"&lt;&gt;")=0,COUNTA(B$996:B2360),IFERROR(MATCH(TRUE(),INDEX((A$996:A2361&lt;&gt;""),0),0),COUNTA(B$996:B2360))),"")</f>
        <v/>
      </c>
      <c r="L2360" s="27"/>
    </row>
    <row r="2361" customFormat="false" ht="13.8" hidden="false" customHeight="false" outlineLevel="0" collapsed="false">
      <c r="A2361" s="16"/>
      <c r="B2361" s="16"/>
      <c r="C2361" s="26"/>
      <c r="D2361" s="26"/>
      <c r="E2361" s="16"/>
      <c r="F2361" s="18"/>
      <c r="G2361" s="19" t="str">
        <f aca="true">IF(F2361="", "", DATEDIF(F2361, TODAY(), "Y"))</f>
        <v/>
      </c>
      <c r="H2361" s="28"/>
      <c r="I2361" s="28"/>
      <c r="J2361" s="24" t="str">
        <f aca="true">IF(ISBLANK(H2361), "", I2361-TODAY())</f>
        <v/>
      </c>
      <c r="K2361" s="24" t="str">
        <f aca="false" t="array" ref="K2361:K2361">IF(A2361&lt;&gt;"",IF(COUNTIF(A$996:A2362,"&lt;&gt;")=0,COUNTA(B$996:B2361),IFERROR(MATCH(TRUE(),INDEX((A$996:A2362&lt;&gt;""),0),0),COUNTA(B$996:B2361))),"")</f>
        <v/>
      </c>
      <c r="L2361" s="27"/>
    </row>
    <row r="2362" customFormat="false" ht="13.8" hidden="false" customHeight="false" outlineLevel="0" collapsed="false">
      <c r="A2362" s="16"/>
      <c r="B2362" s="16"/>
      <c r="C2362" s="26"/>
      <c r="D2362" s="26"/>
      <c r="E2362" s="16"/>
      <c r="F2362" s="18"/>
      <c r="G2362" s="19" t="str">
        <f aca="true">IF(F2362="", "", DATEDIF(F2362, TODAY(), "Y"))</f>
        <v/>
      </c>
      <c r="H2362" s="28"/>
      <c r="I2362" s="28"/>
      <c r="J2362" s="24" t="str">
        <f aca="true">IF(ISBLANK(H2362), "", I2362-TODAY())</f>
        <v/>
      </c>
      <c r="K2362" s="24" t="str">
        <f aca="false" t="array" ref="K2362:K2362">IF(A2362&lt;&gt;"",IF(COUNTIF(A$996:A2363,"&lt;&gt;")=0,COUNTA(B$996:B2362),IFERROR(MATCH(TRUE(),INDEX((A$996:A2363&lt;&gt;""),0),0),COUNTA(B$996:B2362))),"")</f>
        <v/>
      </c>
      <c r="L2362" s="27"/>
    </row>
    <row r="2363" customFormat="false" ht="13.8" hidden="false" customHeight="false" outlineLevel="0" collapsed="false">
      <c r="A2363" s="16"/>
      <c r="B2363" s="16"/>
      <c r="C2363" s="26"/>
      <c r="D2363" s="26"/>
      <c r="E2363" s="16"/>
      <c r="F2363" s="18"/>
      <c r="G2363" s="19" t="str">
        <f aca="true">IF(F2363="", "", DATEDIF(F2363, TODAY(), "Y"))</f>
        <v/>
      </c>
      <c r="H2363" s="28"/>
      <c r="I2363" s="28"/>
      <c r="J2363" s="24" t="str">
        <f aca="true">IF(ISBLANK(H2363), "", I2363-TODAY())</f>
        <v/>
      </c>
      <c r="K2363" s="24" t="str">
        <f aca="false" t="array" ref="K2363:K2363">IF(A2363&lt;&gt;"",IF(COUNTIF(A$996:A2364,"&lt;&gt;")=0,COUNTA(B$996:B2363),IFERROR(MATCH(TRUE(),INDEX((A$996:A2364&lt;&gt;""),0),0),COUNTA(B$996:B2363))),"")</f>
        <v/>
      </c>
      <c r="L2363" s="27"/>
    </row>
    <row r="2364" customFormat="false" ht="13.8" hidden="false" customHeight="false" outlineLevel="0" collapsed="false">
      <c r="A2364" s="16"/>
      <c r="B2364" s="16"/>
      <c r="C2364" s="26"/>
      <c r="D2364" s="26"/>
      <c r="E2364" s="16"/>
      <c r="F2364" s="18"/>
      <c r="G2364" s="19" t="str">
        <f aca="true">IF(F2364="", "", DATEDIF(F2364, TODAY(), "Y"))</f>
        <v/>
      </c>
      <c r="H2364" s="28"/>
      <c r="I2364" s="28"/>
      <c r="J2364" s="24" t="str">
        <f aca="true">IF(ISBLANK(H2364), "", I2364-TODAY())</f>
        <v/>
      </c>
      <c r="K2364" s="24" t="str">
        <f aca="false" t="array" ref="K2364:K2364">IF(A2364&lt;&gt;"",IF(COUNTIF(A$996:A2365,"&lt;&gt;")=0,COUNTA(B$996:B2364),IFERROR(MATCH(TRUE(),INDEX((A$996:A2365&lt;&gt;""),0),0),COUNTA(B$996:B2364))),"")</f>
        <v/>
      </c>
      <c r="L2364" s="27"/>
    </row>
    <row r="2365" customFormat="false" ht="13.8" hidden="false" customHeight="false" outlineLevel="0" collapsed="false">
      <c r="A2365" s="16"/>
      <c r="B2365" s="16"/>
      <c r="C2365" s="26"/>
      <c r="D2365" s="26"/>
      <c r="E2365" s="16"/>
      <c r="F2365" s="18"/>
      <c r="G2365" s="19" t="str">
        <f aca="true">IF(F2365="", "", DATEDIF(F2365, TODAY(), "Y"))</f>
        <v/>
      </c>
      <c r="H2365" s="28"/>
      <c r="I2365" s="28"/>
      <c r="J2365" s="24" t="str">
        <f aca="true">IF(ISBLANK(H2365), "", I2365-TODAY())</f>
        <v/>
      </c>
      <c r="K2365" s="24" t="str">
        <f aca="false" t="array" ref="K2365:K2365">IF(A2365&lt;&gt;"",IF(COUNTIF(A$996:A2366,"&lt;&gt;")=0,COUNTA(B$996:B2365),IFERROR(MATCH(TRUE(),INDEX((A$996:A2366&lt;&gt;""),0),0),COUNTA(B$996:B2365))),"")</f>
        <v/>
      </c>
      <c r="L2365" s="27"/>
    </row>
    <row r="2366" customFormat="false" ht="13.8" hidden="false" customHeight="false" outlineLevel="0" collapsed="false">
      <c r="A2366" s="16"/>
      <c r="B2366" s="16"/>
      <c r="C2366" s="26"/>
      <c r="D2366" s="26"/>
      <c r="E2366" s="16"/>
      <c r="F2366" s="18"/>
      <c r="G2366" s="19" t="str">
        <f aca="true">IF(F2366="", "", DATEDIF(F2366, TODAY(), "Y"))</f>
        <v/>
      </c>
      <c r="H2366" s="28"/>
      <c r="I2366" s="28"/>
      <c r="J2366" s="24" t="str">
        <f aca="true">IF(ISBLANK(H2366), "", I2366-TODAY())</f>
        <v/>
      </c>
      <c r="K2366" s="24" t="str">
        <f aca="false" t="array" ref="K2366:K2366">IF(A2366&lt;&gt;"",IF(COUNTIF(A$996:A2367,"&lt;&gt;")=0,COUNTA(B$996:B2366),IFERROR(MATCH(TRUE(),INDEX((A$996:A2367&lt;&gt;""),0),0),COUNTA(B$996:B2366))),"")</f>
        <v/>
      </c>
      <c r="L2366" s="27"/>
    </row>
    <row r="2367" customFormat="false" ht="13.8" hidden="false" customHeight="false" outlineLevel="0" collapsed="false">
      <c r="A2367" s="16"/>
      <c r="B2367" s="16"/>
      <c r="C2367" s="26"/>
      <c r="D2367" s="26"/>
      <c r="E2367" s="16"/>
      <c r="F2367" s="18"/>
      <c r="G2367" s="19" t="str">
        <f aca="true">IF(F2367="", "", DATEDIF(F2367, TODAY(), "Y"))</f>
        <v/>
      </c>
      <c r="H2367" s="28"/>
      <c r="I2367" s="28"/>
      <c r="J2367" s="24" t="str">
        <f aca="true">IF(ISBLANK(H2367), "", I2367-TODAY())</f>
        <v/>
      </c>
      <c r="K2367" s="24" t="str">
        <f aca="false" t="array" ref="K2367:K2367">IF(A2367&lt;&gt;"",IF(COUNTIF(A$996:A2368,"&lt;&gt;")=0,COUNTA(B$996:B2367),IFERROR(MATCH(TRUE(),INDEX((A$996:A2368&lt;&gt;""),0),0),COUNTA(B$996:B2367))),"")</f>
        <v/>
      </c>
      <c r="L2367" s="27"/>
    </row>
    <row r="2368" customFormat="false" ht="13.8" hidden="false" customHeight="false" outlineLevel="0" collapsed="false">
      <c r="A2368" s="16"/>
      <c r="B2368" s="16"/>
      <c r="C2368" s="26"/>
      <c r="D2368" s="26"/>
      <c r="E2368" s="16"/>
      <c r="F2368" s="18"/>
      <c r="G2368" s="19" t="str">
        <f aca="true">IF(F2368="", "", DATEDIF(F2368, TODAY(), "Y"))</f>
        <v/>
      </c>
      <c r="H2368" s="28"/>
      <c r="I2368" s="28"/>
      <c r="J2368" s="24" t="str">
        <f aca="true">IF(ISBLANK(H2368), "", I2368-TODAY())</f>
        <v/>
      </c>
      <c r="K2368" s="24" t="str">
        <f aca="false" t="array" ref="K2368:K2368">IF(A2368&lt;&gt;"",IF(COUNTIF(A$996:A2369,"&lt;&gt;")=0,COUNTA(B$996:B2368),IFERROR(MATCH(TRUE(),INDEX((A$996:A2369&lt;&gt;""),0),0),COUNTA(B$996:B2368))),"")</f>
        <v/>
      </c>
      <c r="L2368" s="27"/>
    </row>
    <row r="2369" customFormat="false" ht="13.8" hidden="false" customHeight="false" outlineLevel="0" collapsed="false">
      <c r="A2369" s="16"/>
      <c r="B2369" s="16"/>
      <c r="C2369" s="26"/>
      <c r="D2369" s="26"/>
      <c r="E2369" s="16"/>
      <c r="F2369" s="18"/>
      <c r="G2369" s="19" t="str">
        <f aca="true">IF(F2369="", "", DATEDIF(F2369, TODAY(), "Y"))</f>
        <v/>
      </c>
      <c r="H2369" s="28"/>
      <c r="I2369" s="28"/>
      <c r="J2369" s="24" t="str">
        <f aca="true">IF(ISBLANK(H2369), "", I2369-TODAY())</f>
        <v/>
      </c>
      <c r="K2369" s="24" t="str">
        <f aca="false" t="array" ref="K2369:K2369">IF(A2369&lt;&gt;"",IF(COUNTIF(A$996:A2370,"&lt;&gt;")=0,COUNTA(B$996:B2369),IFERROR(MATCH(TRUE(),INDEX((A$996:A2370&lt;&gt;""),0),0),COUNTA(B$996:B2369))),"")</f>
        <v/>
      </c>
      <c r="L2369" s="27"/>
    </row>
    <row r="2370" customFormat="false" ht="13.8" hidden="false" customHeight="false" outlineLevel="0" collapsed="false">
      <c r="A2370" s="16"/>
      <c r="B2370" s="16"/>
      <c r="C2370" s="26"/>
      <c r="D2370" s="26"/>
      <c r="E2370" s="16"/>
      <c r="F2370" s="18"/>
      <c r="G2370" s="19" t="str">
        <f aca="true">IF(F2370="", "", DATEDIF(F2370, TODAY(), "Y"))</f>
        <v/>
      </c>
      <c r="H2370" s="28"/>
      <c r="I2370" s="28"/>
      <c r="J2370" s="24" t="str">
        <f aca="true">IF(ISBLANK(H2370), "", I2370-TODAY())</f>
        <v/>
      </c>
      <c r="K2370" s="24" t="str">
        <f aca="false" t="array" ref="K2370:K2370">IF(A2370&lt;&gt;"",IF(COUNTIF(A$996:A2371,"&lt;&gt;")=0,COUNTA(B$996:B2370),IFERROR(MATCH(TRUE(),INDEX((A$996:A2371&lt;&gt;""),0),0),COUNTA(B$996:B2370))),"")</f>
        <v/>
      </c>
      <c r="L2370" s="27"/>
    </row>
    <row r="2371" customFormat="false" ht="13.8" hidden="false" customHeight="false" outlineLevel="0" collapsed="false">
      <c r="A2371" s="16"/>
      <c r="B2371" s="16"/>
      <c r="C2371" s="26"/>
      <c r="D2371" s="26"/>
      <c r="E2371" s="16"/>
      <c r="F2371" s="18"/>
      <c r="G2371" s="19" t="str">
        <f aca="true">IF(F2371="", "", DATEDIF(F2371, TODAY(), "Y"))</f>
        <v/>
      </c>
      <c r="H2371" s="28"/>
      <c r="I2371" s="28"/>
      <c r="J2371" s="24" t="str">
        <f aca="true">IF(ISBLANK(H2371), "", I2371-TODAY())</f>
        <v/>
      </c>
      <c r="K2371" s="24" t="str">
        <f aca="false" t="array" ref="K2371:K2371">IF(A2371&lt;&gt;"",IF(COUNTIF(A$996:A2372,"&lt;&gt;")=0,COUNTA(B$996:B2371),IFERROR(MATCH(TRUE(),INDEX((A$996:A2372&lt;&gt;""),0),0),COUNTA(B$996:B2371))),"")</f>
        <v/>
      </c>
      <c r="L2371" s="27"/>
    </row>
    <row r="2372" customFormat="false" ht="13.8" hidden="false" customHeight="false" outlineLevel="0" collapsed="false">
      <c r="A2372" s="16"/>
      <c r="B2372" s="16"/>
      <c r="C2372" s="26"/>
      <c r="D2372" s="26"/>
      <c r="E2372" s="16"/>
      <c r="F2372" s="18"/>
      <c r="G2372" s="19" t="str">
        <f aca="true">IF(F2372="", "", DATEDIF(F2372, TODAY(), "Y"))</f>
        <v/>
      </c>
      <c r="H2372" s="28"/>
      <c r="I2372" s="28"/>
      <c r="J2372" s="24" t="str">
        <f aca="true">IF(ISBLANK(H2372), "", I2372-TODAY())</f>
        <v/>
      </c>
      <c r="K2372" s="24" t="str">
        <f aca="false" t="array" ref="K2372:K2372">IF(A2372&lt;&gt;"",IF(COUNTIF(A$996:A2373,"&lt;&gt;")=0,COUNTA(B$996:B2372),IFERROR(MATCH(TRUE(),INDEX((A$996:A2373&lt;&gt;""),0),0),COUNTA(B$996:B2372))),"")</f>
        <v/>
      </c>
      <c r="L2372" s="27"/>
    </row>
    <row r="2373" customFormat="false" ht="13.8" hidden="false" customHeight="false" outlineLevel="0" collapsed="false">
      <c r="A2373" s="16"/>
      <c r="B2373" s="16"/>
      <c r="C2373" s="26"/>
      <c r="D2373" s="26"/>
      <c r="E2373" s="16"/>
      <c r="F2373" s="18"/>
      <c r="G2373" s="19" t="str">
        <f aca="true">IF(F2373="", "", DATEDIF(F2373, TODAY(), "Y"))</f>
        <v/>
      </c>
      <c r="H2373" s="28"/>
      <c r="I2373" s="28"/>
      <c r="J2373" s="24" t="str">
        <f aca="true">IF(ISBLANK(H2373), "", I2373-TODAY())</f>
        <v/>
      </c>
      <c r="K2373" s="24" t="str">
        <f aca="false" t="array" ref="K2373:K2373">IF(A2373&lt;&gt;"",IF(COUNTIF(A$996:A2374,"&lt;&gt;")=0,COUNTA(B$996:B2373),IFERROR(MATCH(TRUE(),INDEX((A$996:A2374&lt;&gt;""),0),0),COUNTA(B$996:B2373))),"")</f>
        <v/>
      </c>
      <c r="L2373" s="27"/>
    </row>
    <row r="2374" customFormat="false" ht="13.8" hidden="false" customHeight="false" outlineLevel="0" collapsed="false">
      <c r="A2374" s="16"/>
      <c r="B2374" s="16"/>
      <c r="C2374" s="26"/>
      <c r="D2374" s="26"/>
      <c r="E2374" s="16"/>
      <c r="F2374" s="18"/>
      <c r="G2374" s="19" t="str">
        <f aca="true">IF(F2374="", "", DATEDIF(F2374, TODAY(), "Y"))</f>
        <v/>
      </c>
      <c r="H2374" s="28"/>
      <c r="I2374" s="28"/>
      <c r="J2374" s="24" t="str">
        <f aca="true">IF(ISBLANK(H2374), "", I2374-TODAY())</f>
        <v/>
      </c>
      <c r="K2374" s="24" t="str">
        <f aca="false" t="array" ref="K2374:K2374">IF(A2374&lt;&gt;"",IF(COUNTIF(A$996:A2375,"&lt;&gt;")=0,COUNTA(B$996:B2374),IFERROR(MATCH(TRUE(),INDEX((A$996:A2375&lt;&gt;""),0),0),COUNTA(B$996:B2374))),"")</f>
        <v/>
      </c>
      <c r="L2374" s="27"/>
    </row>
    <row r="2375" customFormat="false" ht="13.8" hidden="false" customHeight="false" outlineLevel="0" collapsed="false">
      <c r="A2375" s="16"/>
      <c r="B2375" s="16"/>
      <c r="C2375" s="26"/>
      <c r="D2375" s="26"/>
      <c r="E2375" s="16"/>
      <c r="F2375" s="18"/>
      <c r="G2375" s="19" t="str">
        <f aca="true">IF(F2375="", "", DATEDIF(F2375, TODAY(), "Y"))</f>
        <v/>
      </c>
      <c r="H2375" s="28"/>
      <c r="I2375" s="28"/>
      <c r="J2375" s="24" t="str">
        <f aca="true">IF(ISBLANK(H2375), "", I2375-TODAY())</f>
        <v/>
      </c>
      <c r="K2375" s="24" t="str">
        <f aca="false" t="array" ref="K2375:K2375">IF(A2375&lt;&gt;"",IF(COUNTIF(A$996:A2376,"&lt;&gt;")=0,COUNTA(B$996:B2375),IFERROR(MATCH(TRUE(),INDEX((A$996:A2376&lt;&gt;""),0),0),COUNTA(B$996:B2375))),"")</f>
        <v/>
      </c>
      <c r="L2375" s="27"/>
    </row>
    <row r="2376" customFormat="false" ht="13.8" hidden="false" customHeight="false" outlineLevel="0" collapsed="false">
      <c r="A2376" s="16"/>
      <c r="B2376" s="16"/>
      <c r="C2376" s="26"/>
      <c r="D2376" s="26"/>
      <c r="E2376" s="16"/>
      <c r="F2376" s="18"/>
      <c r="G2376" s="19" t="str">
        <f aca="true">IF(F2376="", "", DATEDIF(F2376, TODAY(), "Y"))</f>
        <v/>
      </c>
      <c r="H2376" s="28"/>
      <c r="I2376" s="28"/>
      <c r="J2376" s="24" t="str">
        <f aca="true">IF(ISBLANK(H2376), "", I2376-TODAY())</f>
        <v/>
      </c>
      <c r="K2376" s="24" t="str">
        <f aca="false" t="array" ref="K2376:K2376">IF(A2376&lt;&gt;"",IF(COUNTIF(A$996:A2377,"&lt;&gt;")=0,COUNTA(B$996:B2376),IFERROR(MATCH(TRUE(),INDEX((A$996:A2377&lt;&gt;""),0),0),COUNTA(B$996:B2376))),"")</f>
        <v/>
      </c>
      <c r="L2376" s="27"/>
    </row>
    <row r="2377" customFormat="false" ht="13.8" hidden="false" customHeight="false" outlineLevel="0" collapsed="false">
      <c r="A2377" s="16"/>
      <c r="B2377" s="16"/>
      <c r="C2377" s="26"/>
      <c r="D2377" s="26"/>
      <c r="E2377" s="16"/>
      <c r="F2377" s="18"/>
      <c r="G2377" s="19" t="str">
        <f aca="true">IF(F2377="", "", DATEDIF(F2377, TODAY(), "Y"))</f>
        <v/>
      </c>
      <c r="H2377" s="28"/>
      <c r="I2377" s="28"/>
      <c r="J2377" s="24" t="str">
        <f aca="true">IF(ISBLANK(H2377), "", I2377-TODAY())</f>
        <v/>
      </c>
      <c r="K2377" s="24" t="str">
        <f aca="false" t="array" ref="K2377:K2377">IF(A2377&lt;&gt;"",IF(COUNTIF(A$996:A2378,"&lt;&gt;")=0,COUNTA(B$996:B2377),IFERROR(MATCH(TRUE(),INDEX((A$996:A2378&lt;&gt;""),0),0),COUNTA(B$996:B2377))),"")</f>
        <v/>
      </c>
      <c r="L2377" s="27"/>
    </row>
    <row r="2378" customFormat="false" ht="13.8" hidden="false" customHeight="false" outlineLevel="0" collapsed="false">
      <c r="A2378" s="16"/>
      <c r="B2378" s="16"/>
      <c r="C2378" s="26"/>
      <c r="D2378" s="26"/>
      <c r="E2378" s="16"/>
      <c r="F2378" s="18"/>
      <c r="G2378" s="19" t="str">
        <f aca="true">IF(F2378="", "", DATEDIF(F2378, TODAY(), "Y"))</f>
        <v/>
      </c>
      <c r="H2378" s="28"/>
      <c r="I2378" s="28"/>
      <c r="J2378" s="24" t="str">
        <f aca="true">IF(ISBLANK(H2378), "", I2378-TODAY())</f>
        <v/>
      </c>
      <c r="K2378" s="24" t="str">
        <f aca="false" t="array" ref="K2378:K2378">IF(A2378&lt;&gt;"",IF(COUNTIF(A$996:A2379,"&lt;&gt;")=0,COUNTA(B$996:B2378),IFERROR(MATCH(TRUE(),INDEX((A$996:A2379&lt;&gt;""),0),0),COUNTA(B$996:B2378))),"")</f>
        <v/>
      </c>
      <c r="L2378" s="27"/>
    </row>
    <row r="2379" customFormat="false" ht="13.8" hidden="false" customHeight="false" outlineLevel="0" collapsed="false">
      <c r="A2379" s="16"/>
      <c r="B2379" s="16"/>
      <c r="C2379" s="26"/>
      <c r="D2379" s="26"/>
      <c r="E2379" s="16"/>
      <c r="F2379" s="18"/>
      <c r="G2379" s="19" t="str">
        <f aca="true">IF(F2379="", "", DATEDIF(F2379, TODAY(), "Y"))</f>
        <v/>
      </c>
      <c r="H2379" s="28"/>
      <c r="I2379" s="28"/>
      <c r="J2379" s="24" t="str">
        <f aca="true">IF(ISBLANK(H2379), "", I2379-TODAY())</f>
        <v/>
      </c>
      <c r="K2379" s="24" t="str">
        <f aca="false" t="array" ref="K2379:K2379">IF(A2379&lt;&gt;"",IF(COUNTIF(A$996:A2380,"&lt;&gt;")=0,COUNTA(B$996:B2379),IFERROR(MATCH(TRUE(),INDEX((A$996:A2380&lt;&gt;""),0),0),COUNTA(B$996:B2379))),"")</f>
        <v/>
      </c>
      <c r="L2379" s="27"/>
    </row>
    <row r="2380" customFormat="false" ht="13.8" hidden="false" customHeight="false" outlineLevel="0" collapsed="false">
      <c r="A2380" s="16"/>
      <c r="B2380" s="16"/>
      <c r="C2380" s="26"/>
      <c r="D2380" s="26"/>
      <c r="E2380" s="16"/>
      <c r="F2380" s="18"/>
      <c r="G2380" s="19" t="str">
        <f aca="true">IF(F2380="", "", DATEDIF(F2380, TODAY(), "Y"))</f>
        <v/>
      </c>
      <c r="H2380" s="28"/>
      <c r="I2380" s="28"/>
      <c r="J2380" s="24" t="str">
        <f aca="true">IF(ISBLANK(H2380), "", I2380-TODAY())</f>
        <v/>
      </c>
      <c r="K2380" s="24" t="str">
        <f aca="false" t="array" ref="K2380:K2380">IF(A2380&lt;&gt;"",IF(COUNTIF(A$996:A2381,"&lt;&gt;")=0,COUNTA(B$996:B2380),IFERROR(MATCH(TRUE(),INDEX((A$996:A2381&lt;&gt;""),0),0),COUNTA(B$996:B2380))),"")</f>
        <v/>
      </c>
      <c r="L2380" s="27"/>
    </row>
    <row r="2381" customFormat="false" ht="13.8" hidden="false" customHeight="false" outlineLevel="0" collapsed="false">
      <c r="A2381" s="16"/>
      <c r="B2381" s="16"/>
      <c r="C2381" s="26"/>
      <c r="D2381" s="26"/>
      <c r="E2381" s="16"/>
      <c r="F2381" s="18"/>
      <c r="G2381" s="19" t="str">
        <f aca="true">IF(F2381="", "", DATEDIF(F2381, TODAY(), "Y"))</f>
        <v/>
      </c>
      <c r="H2381" s="28"/>
      <c r="I2381" s="28"/>
      <c r="J2381" s="24" t="str">
        <f aca="true">IF(ISBLANK(H2381), "", I2381-TODAY())</f>
        <v/>
      </c>
      <c r="K2381" s="24" t="str">
        <f aca="false" t="array" ref="K2381:K2381">IF(A2381&lt;&gt;"",IF(COUNTIF(A$996:A2382,"&lt;&gt;")=0,COUNTA(B$996:B2381),IFERROR(MATCH(TRUE(),INDEX((A$996:A2382&lt;&gt;""),0),0),COUNTA(B$996:B2381))),"")</f>
        <v/>
      </c>
      <c r="L2381" s="27"/>
    </row>
    <row r="2382" customFormat="false" ht="13.8" hidden="false" customHeight="false" outlineLevel="0" collapsed="false">
      <c r="A2382" s="16"/>
      <c r="B2382" s="16"/>
      <c r="C2382" s="26"/>
      <c r="D2382" s="26"/>
      <c r="E2382" s="16"/>
      <c r="F2382" s="18"/>
      <c r="G2382" s="19" t="str">
        <f aca="true">IF(F2382="", "", DATEDIF(F2382, TODAY(), "Y"))</f>
        <v/>
      </c>
      <c r="H2382" s="28"/>
      <c r="I2382" s="28"/>
      <c r="J2382" s="24" t="str">
        <f aca="true">IF(ISBLANK(H2382), "", I2382-TODAY())</f>
        <v/>
      </c>
      <c r="K2382" s="24" t="str">
        <f aca="false" t="array" ref="K2382:K2382">IF(A2382&lt;&gt;"",IF(COUNTIF(A$996:A2383,"&lt;&gt;")=0,COUNTA(B$996:B2382),IFERROR(MATCH(TRUE(),INDEX((A$996:A2383&lt;&gt;""),0),0),COUNTA(B$996:B2382))),"")</f>
        <v/>
      </c>
      <c r="L2382" s="27"/>
    </row>
    <row r="2383" customFormat="false" ht="13.8" hidden="false" customHeight="false" outlineLevel="0" collapsed="false">
      <c r="A2383" s="16"/>
      <c r="B2383" s="16"/>
      <c r="C2383" s="26"/>
      <c r="D2383" s="26"/>
      <c r="E2383" s="16"/>
      <c r="F2383" s="18"/>
      <c r="G2383" s="19" t="str">
        <f aca="true">IF(F2383="", "", DATEDIF(F2383, TODAY(), "Y"))</f>
        <v/>
      </c>
      <c r="H2383" s="28"/>
      <c r="I2383" s="28"/>
      <c r="J2383" s="24" t="str">
        <f aca="true">IF(ISBLANK(H2383), "", I2383-TODAY())</f>
        <v/>
      </c>
      <c r="K2383" s="24" t="str">
        <f aca="false" t="array" ref="K2383:K2383">IF(A2383&lt;&gt;"",IF(COUNTIF(A$996:A2384,"&lt;&gt;")=0,COUNTA(B$996:B2383),IFERROR(MATCH(TRUE(),INDEX((A$996:A2384&lt;&gt;""),0),0),COUNTA(B$996:B2383))),"")</f>
        <v/>
      </c>
      <c r="L2383" s="27"/>
    </row>
    <row r="2384" customFormat="false" ht="13.8" hidden="false" customHeight="false" outlineLevel="0" collapsed="false">
      <c r="A2384" s="16"/>
      <c r="B2384" s="16"/>
      <c r="C2384" s="26"/>
      <c r="D2384" s="26"/>
      <c r="E2384" s="16"/>
      <c r="F2384" s="18"/>
      <c r="G2384" s="19" t="str">
        <f aca="true">IF(F2384="", "", DATEDIF(F2384, TODAY(), "Y"))</f>
        <v/>
      </c>
      <c r="H2384" s="28"/>
      <c r="I2384" s="28"/>
      <c r="J2384" s="24" t="str">
        <f aca="true">IF(ISBLANK(H2384), "", I2384-TODAY())</f>
        <v/>
      </c>
      <c r="K2384" s="24" t="str">
        <f aca="false" t="array" ref="K2384:K2384">IF(A2384&lt;&gt;"",IF(COUNTIF(A$996:A2385,"&lt;&gt;")=0,COUNTA(B$996:B2384),IFERROR(MATCH(TRUE(),INDEX((A$996:A2385&lt;&gt;""),0),0),COUNTA(B$996:B2384))),"")</f>
        <v/>
      </c>
      <c r="L2384" s="27"/>
    </row>
    <row r="2385" customFormat="false" ht="13.8" hidden="false" customHeight="false" outlineLevel="0" collapsed="false">
      <c r="A2385" s="16"/>
      <c r="B2385" s="16"/>
      <c r="C2385" s="26"/>
      <c r="D2385" s="26"/>
      <c r="E2385" s="16"/>
      <c r="F2385" s="18"/>
      <c r="G2385" s="19" t="str">
        <f aca="true">IF(F2385="", "", DATEDIF(F2385, TODAY(), "Y"))</f>
        <v/>
      </c>
      <c r="H2385" s="28"/>
      <c r="I2385" s="28"/>
      <c r="J2385" s="24" t="str">
        <f aca="true">IF(ISBLANK(H2385), "", I2385-TODAY())</f>
        <v/>
      </c>
      <c r="K2385" s="24" t="str">
        <f aca="false" t="array" ref="K2385:K2385">IF(A2385&lt;&gt;"",IF(COUNTIF(A$996:A2386,"&lt;&gt;")=0,COUNTA(B$996:B2385),IFERROR(MATCH(TRUE(),INDEX((A$996:A2386&lt;&gt;""),0),0),COUNTA(B$996:B2385))),"")</f>
        <v/>
      </c>
      <c r="L2385" s="27"/>
    </row>
    <row r="2386" customFormat="false" ht="13.8" hidden="false" customHeight="false" outlineLevel="0" collapsed="false">
      <c r="A2386" s="16"/>
      <c r="B2386" s="16"/>
      <c r="C2386" s="26"/>
      <c r="D2386" s="26"/>
      <c r="E2386" s="16"/>
      <c r="F2386" s="18"/>
      <c r="G2386" s="19" t="str">
        <f aca="true">IF(F2386="", "", DATEDIF(F2386, TODAY(), "Y"))</f>
        <v/>
      </c>
      <c r="H2386" s="28"/>
      <c r="I2386" s="28"/>
      <c r="J2386" s="24" t="str">
        <f aca="true">IF(ISBLANK(H2386), "", I2386-TODAY())</f>
        <v/>
      </c>
      <c r="K2386" s="24" t="str">
        <f aca="false" t="array" ref="K2386:K2386">IF(A2386&lt;&gt;"",IF(COUNTIF(A$996:A2387,"&lt;&gt;")=0,COUNTA(B$996:B2386),IFERROR(MATCH(TRUE(),INDEX((A$996:A2387&lt;&gt;""),0),0),COUNTA(B$996:B2386))),"")</f>
        <v/>
      </c>
      <c r="L2386" s="27"/>
    </row>
    <row r="2387" customFormat="false" ht="13.8" hidden="false" customHeight="false" outlineLevel="0" collapsed="false">
      <c r="A2387" s="16"/>
      <c r="B2387" s="16"/>
      <c r="C2387" s="26"/>
      <c r="D2387" s="26"/>
      <c r="E2387" s="16"/>
      <c r="F2387" s="18"/>
      <c r="G2387" s="19" t="str">
        <f aca="true">IF(F2387="", "", DATEDIF(F2387, TODAY(), "Y"))</f>
        <v/>
      </c>
      <c r="H2387" s="28"/>
      <c r="I2387" s="28"/>
      <c r="J2387" s="24" t="str">
        <f aca="true">IF(ISBLANK(H2387), "", I2387-TODAY())</f>
        <v/>
      </c>
      <c r="K2387" s="24" t="str">
        <f aca="false" t="array" ref="K2387:K2387">IF(A2387&lt;&gt;"",IF(COUNTIF(A$996:A2388,"&lt;&gt;")=0,COUNTA(B$996:B2387),IFERROR(MATCH(TRUE(),INDEX((A$996:A2388&lt;&gt;""),0),0),COUNTA(B$996:B2387))),"")</f>
        <v/>
      </c>
      <c r="L2387" s="27"/>
    </row>
    <row r="2388" customFormat="false" ht="13.8" hidden="false" customHeight="false" outlineLevel="0" collapsed="false">
      <c r="A2388" s="16"/>
      <c r="B2388" s="16"/>
      <c r="C2388" s="26"/>
      <c r="D2388" s="26"/>
      <c r="E2388" s="16"/>
      <c r="F2388" s="18"/>
      <c r="G2388" s="19" t="str">
        <f aca="true">IF(F2388="", "", DATEDIF(F2388, TODAY(), "Y"))</f>
        <v/>
      </c>
      <c r="H2388" s="28"/>
      <c r="I2388" s="28"/>
      <c r="J2388" s="24" t="str">
        <f aca="true">IF(ISBLANK(H2388), "", I2388-TODAY())</f>
        <v/>
      </c>
      <c r="K2388" s="24" t="str">
        <f aca="false" t="array" ref="K2388:K2388">IF(A2388&lt;&gt;"",IF(COUNTIF(A$996:A2389,"&lt;&gt;")=0,COUNTA(B$996:B2388),IFERROR(MATCH(TRUE(),INDEX((A$996:A2389&lt;&gt;""),0),0),COUNTA(B$996:B2388))),"")</f>
        <v/>
      </c>
      <c r="L2388" s="27"/>
    </row>
    <row r="2389" customFormat="false" ht="13.8" hidden="false" customHeight="false" outlineLevel="0" collapsed="false">
      <c r="A2389" s="16"/>
      <c r="B2389" s="16"/>
      <c r="C2389" s="26"/>
      <c r="D2389" s="26"/>
      <c r="E2389" s="16"/>
      <c r="F2389" s="18"/>
      <c r="G2389" s="19" t="str">
        <f aca="true">IF(F2389="", "", DATEDIF(F2389, TODAY(), "Y"))</f>
        <v/>
      </c>
      <c r="H2389" s="28"/>
      <c r="I2389" s="28"/>
      <c r="J2389" s="24" t="str">
        <f aca="true">IF(ISBLANK(H2389), "", I2389-TODAY())</f>
        <v/>
      </c>
      <c r="K2389" s="24" t="str">
        <f aca="false" t="array" ref="K2389:K2389">IF(A2389&lt;&gt;"",IF(COUNTIF(A$996:A2390,"&lt;&gt;")=0,COUNTA(B$996:B2389),IFERROR(MATCH(TRUE(),INDEX((A$996:A2390&lt;&gt;""),0),0),COUNTA(B$996:B2389))),"")</f>
        <v/>
      </c>
      <c r="L2389" s="27"/>
    </row>
    <row r="2390" customFormat="false" ht="13.8" hidden="false" customHeight="false" outlineLevel="0" collapsed="false">
      <c r="A2390" s="16"/>
      <c r="B2390" s="16"/>
      <c r="C2390" s="26"/>
      <c r="D2390" s="26"/>
      <c r="E2390" s="16"/>
      <c r="F2390" s="18"/>
      <c r="G2390" s="19" t="str">
        <f aca="true">IF(F2390="", "", DATEDIF(F2390, TODAY(), "Y"))</f>
        <v/>
      </c>
      <c r="H2390" s="28"/>
      <c r="I2390" s="28"/>
      <c r="J2390" s="24" t="str">
        <f aca="true">IF(ISBLANK(H2390), "", I2390-TODAY())</f>
        <v/>
      </c>
      <c r="K2390" s="24" t="str">
        <f aca="false" t="array" ref="K2390:K2390">IF(A2390&lt;&gt;"",IF(COUNTIF(A$996:A2391,"&lt;&gt;")=0,COUNTA(B$996:B2390),IFERROR(MATCH(TRUE(),INDEX((A$996:A2391&lt;&gt;""),0),0),COUNTA(B$996:B2390))),"")</f>
        <v/>
      </c>
      <c r="L2390" s="27"/>
    </row>
    <row r="2391" customFormat="false" ht="13.8" hidden="false" customHeight="false" outlineLevel="0" collapsed="false">
      <c r="A2391" s="16"/>
      <c r="B2391" s="16"/>
      <c r="C2391" s="26"/>
      <c r="D2391" s="26"/>
      <c r="E2391" s="16"/>
      <c r="F2391" s="18"/>
      <c r="G2391" s="19" t="str">
        <f aca="true">IF(F2391="", "", DATEDIF(F2391, TODAY(), "Y"))</f>
        <v/>
      </c>
      <c r="H2391" s="28"/>
      <c r="I2391" s="28"/>
      <c r="J2391" s="24" t="str">
        <f aca="true">IF(ISBLANK(H2391), "", I2391-TODAY())</f>
        <v/>
      </c>
      <c r="K2391" s="24" t="str">
        <f aca="false" t="array" ref="K2391:K2391">IF(A2391&lt;&gt;"",IF(COUNTIF(A$996:A2392,"&lt;&gt;")=0,COUNTA(B$996:B2391),IFERROR(MATCH(TRUE(),INDEX((A$996:A2392&lt;&gt;""),0),0),COUNTA(B$996:B2391))),"")</f>
        <v/>
      </c>
      <c r="L2391" s="27"/>
    </row>
    <row r="2392" customFormat="false" ht="13.8" hidden="false" customHeight="false" outlineLevel="0" collapsed="false">
      <c r="A2392" s="16"/>
      <c r="B2392" s="16"/>
      <c r="C2392" s="26"/>
      <c r="D2392" s="26"/>
      <c r="E2392" s="16"/>
      <c r="F2392" s="18"/>
      <c r="G2392" s="19" t="str">
        <f aca="true">IF(F2392="", "", DATEDIF(F2392, TODAY(), "Y"))</f>
        <v/>
      </c>
      <c r="H2392" s="28"/>
      <c r="I2392" s="28"/>
      <c r="J2392" s="24" t="str">
        <f aca="true">IF(ISBLANK(H2392), "", I2392-TODAY())</f>
        <v/>
      </c>
      <c r="K2392" s="24" t="str">
        <f aca="false" t="array" ref="K2392:K2392">IF(A2392&lt;&gt;"",IF(COUNTIF(A$996:A2393,"&lt;&gt;")=0,COUNTA(B$996:B2392),IFERROR(MATCH(TRUE(),INDEX((A$996:A2393&lt;&gt;""),0),0),COUNTA(B$996:B2392))),"")</f>
        <v/>
      </c>
      <c r="L2392" s="27"/>
    </row>
    <row r="2393" customFormat="false" ht="13.8" hidden="false" customHeight="false" outlineLevel="0" collapsed="false">
      <c r="A2393" s="16"/>
      <c r="B2393" s="16"/>
      <c r="C2393" s="26"/>
      <c r="D2393" s="26"/>
      <c r="E2393" s="16"/>
      <c r="F2393" s="18"/>
      <c r="G2393" s="19" t="str">
        <f aca="true">IF(F2393="", "", DATEDIF(F2393, TODAY(), "Y"))</f>
        <v/>
      </c>
      <c r="H2393" s="28"/>
      <c r="I2393" s="28"/>
      <c r="J2393" s="24" t="str">
        <f aca="true">IF(ISBLANK(H2393), "", I2393-TODAY())</f>
        <v/>
      </c>
      <c r="K2393" s="24" t="str">
        <f aca="false" t="array" ref="K2393:K2393">IF(A2393&lt;&gt;"",IF(COUNTIF(A$996:A2394,"&lt;&gt;")=0,COUNTA(B$996:B2393),IFERROR(MATCH(TRUE(),INDEX((A$996:A2394&lt;&gt;""),0),0),COUNTA(B$996:B2393))),"")</f>
        <v/>
      </c>
      <c r="L2393" s="27"/>
    </row>
    <row r="2394" customFormat="false" ht="13.8" hidden="false" customHeight="false" outlineLevel="0" collapsed="false">
      <c r="A2394" s="16"/>
      <c r="B2394" s="16"/>
      <c r="C2394" s="26"/>
      <c r="D2394" s="26"/>
      <c r="E2394" s="16"/>
      <c r="F2394" s="18"/>
      <c r="G2394" s="19" t="str">
        <f aca="true">IF(F2394="", "", DATEDIF(F2394, TODAY(), "Y"))</f>
        <v/>
      </c>
      <c r="H2394" s="28"/>
      <c r="I2394" s="28"/>
      <c r="J2394" s="24" t="str">
        <f aca="true">IF(ISBLANK(H2394), "", I2394-TODAY())</f>
        <v/>
      </c>
      <c r="K2394" s="24" t="str">
        <f aca="false" t="array" ref="K2394:K2394">IF(A2394&lt;&gt;"",IF(COUNTIF(A$996:A2395,"&lt;&gt;")=0,COUNTA(B$996:B2394),IFERROR(MATCH(TRUE(),INDEX((A$996:A2395&lt;&gt;""),0),0),COUNTA(B$996:B2394))),"")</f>
        <v/>
      </c>
      <c r="L2394" s="27"/>
    </row>
    <row r="2395" customFormat="false" ht="13.8" hidden="false" customHeight="false" outlineLevel="0" collapsed="false">
      <c r="A2395" s="16"/>
      <c r="B2395" s="16"/>
      <c r="C2395" s="26"/>
      <c r="D2395" s="26"/>
      <c r="E2395" s="16"/>
      <c r="F2395" s="18"/>
      <c r="G2395" s="19" t="str">
        <f aca="true">IF(F2395="", "", DATEDIF(F2395, TODAY(), "Y"))</f>
        <v/>
      </c>
      <c r="H2395" s="28"/>
      <c r="I2395" s="28"/>
      <c r="J2395" s="24" t="str">
        <f aca="true">IF(ISBLANK(H2395), "", I2395-TODAY())</f>
        <v/>
      </c>
      <c r="K2395" s="24" t="str">
        <f aca="false" t="array" ref="K2395:K2395">IF(A2395&lt;&gt;"",IF(COUNTIF(A$996:A2396,"&lt;&gt;")=0,COUNTA(B$996:B2395),IFERROR(MATCH(TRUE(),INDEX((A$996:A2396&lt;&gt;""),0),0),COUNTA(B$996:B2395))),"")</f>
        <v/>
      </c>
      <c r="L2395" s="27"/>
    </row>
    <row r="2396" customFormat="false" ht="13.8" hidden="false" customHeight="false" outlineLevel="0" collapsed="false">
      <c r="A2396" s="16"/>
      <c r="B2396" s="16"/>
      <c r="C2396" s="26"/>
      <c r="D2396" s="26"/>
      <c r="E2396" s="16"/>
      <c r="F2396" s="18"/>
      <c r="G2396" s="19" t="str">
        <f aca="true">IF(F2396="", "", DATEDIF(F2396, TODAY(), "Y"))</f>
        <v/>
      </c>
      <c r="H2396" s="28"/>
      <c r="I2396" s="28"/>
      <c r="J2396" s="24" t="str">
        <f aca="true">IF(ISBLANK(H2396), "", I2396-TODAY())</f>
        <v/>
      </c>
      <c r="K2396" s="24" t="str">
        <f aca="false" t="array" ref="K2396:K2396">IF(A2396&lt;&gt;"",IF(COUNTIF(A$996:A2397,"&lt;&gt;")=0,COUNTA(B$996:B2396),IFERROR(MATCH(TRUE(),INDEX((A$996:A2397&lt;&gt;""),0),0),COUNTA(B$996:B2396))),"")</f>
        <v/>
      </c>
      <c r="L2396" s="27"/>
    </row>
    <row r="2397" customFormat="false" ht="13.8" hidden="false" customHeight="false" outlineLevel="0" collapsed="false">
      <c r="A2397" s="16"/>
      <c r="B2397" s="16"/>
      <c r="C2397" s="26"/>
      <c r="D2397" s="26"/>
      <c r="E2397" s="16"/>
      <c r="F2397" s="18"/>
      <c r="G2397" s="19" t="str">
        <f aca="true">IF(F2397="", "", DATEDIF(F2397, TODAY(), "Y"))</f>
        <v/>
      </c>
      <c r="H2397" s="28"/>
      <c r="I2397" s="28"/>
      <c r="J2397" s="24" t="str">
        <f aca="true">IF(ISBLANK(H2397), "", I2397-TODAY())</f>
        <v/>
      </c>
      <c r="K2397" s="24" t="str">
        <f aca="false" t="array" ref="K2397:K2397">IF(A2397&lt;&gt;"",IF(COUNTIF(A$996:A2398,"&lt;&gt;")=0,COUNTA(B$996:B2397),IFERROR(MATCH(TRUE(),INDEX((A$996:A2398&lt;&gt;""),0),0),COUNTA(B$996:B2397))),"")</f>
        <v/>
      </c>
      <c r="L2397" s="27"/>
    </row>
    <row r="2398" customFormat="false" ht="13.8" hidden="false" customHeight="false" outlineLevel="0" collapsed="false">
      <c r="A2398" s="16"/>
      <c r="B2398" s="16"/>
      <c r="C2398" s="26"/>
      <c r="D2398" s="26"/>
      <c r="E2398" s="16"/>
      <c r="F2398" s="18"/>
      <c r="G2398" s="19" t="str">
        <f aca="true">IF(F2398="", "", DATEDIF(F2398, TODAY(), "Y"))</f>
        <v/>
      </c>
      <c r="H2398" s="28"/>
      <c r="I2398" s="28"/>
      <c r="J2398" s="24" t="str">
        <f aca="true">IF(ISBLANK(H2398), "", I2398-TODAY())</f>
        <v/>
      </c>
      <c r="K2398" s="24" t="str">
        <f aca="false" t="array" ref="K2398:K2398">IF(A2398&lt;&gt;"",IF(COUNTIF(A$996:A2399,"&lt;&gt;")=0,COUNTA(B$996:B2398),IFERROR(MATCH(TRUE(),INDEX((A$996:A2399&lt;&gt;""),0),0),COUNTA(B$996:B2398))),"")</f>
        <v/>
      </c>
      <c r="L2398" s="27"/>
    </row>
    <row r="2399" customFormat="false" ht="13.8" hidden="false" customHeight="false" outlineLevel="0" collapsed="false">
      <c r="A2399" s="16"/>
      <c r="B2399" s="16"/>
      <c r="C2399" s="26"/>
      <c r="D2399" s="26"/>
      <c r="E2399" s="16"/>
      <c r="F2399" s="18"/>
      <c r="G2399" s="19" t="str">
        <f aca="true">IF(F2399="", "", DATEDIF(F2399, TODAY(), "Y"))</f>
        <v/>
      </c>
      <c r="H2399" s="28"/>
      <c r="I2399" s="28"/>
      <c r="J2399" s="24" t="str">
        <f aca="true">IF(ISBLANK(H2399), "", I2399-TODAY())</f>
        <v/>
      </c>
      <c r="K2399" s="24" t="str">
        <f aca="false" t="array" ref="K2399:K2399">IF(A2399&lt;&gt;"",IF(COUNTIF(A$996:A2400,"&lt;&gt;")=0,COUNTA(B$996:B2399),IFERROR(MATCH(TRUE(),INDEX((A$996:A2400&lt;&gt;""),0),0),COUNTA(B$996:B2399))),"")</f>
        <v/>
      </c>
      <c r="L2399" s="27"/>
    </row>
    <row r="2400" customFormat="false" ht="13.8" hidden="false" customHeight="false" outlineLevel="0" collapsed="false">
      <c r="A2400" s="16"/>
      <c r="B2400" s="16"/>
      <c r="C2400" s="26"/>
      <c r="D2400" s="26"/>
      <c r="E2400" s="16"/>
      <c r="F2400" s="18"/>
      <c r="G2400" s="19" t="str">
        <f aca="true">IF(F2400="", "", DATEDIF(F2400, TODAY(), "Y"))</f>
        <v/>
      </c>
      <c r="H2400" s="28"/>
      <c r="I2400" s="28"/>
      <c r="J2400" s="24" t="str">
        <f aca="true">IF(ISBLANK(H2400), "", I2400-TODAY())</f>
        <v/>
      </c>
      <c r="K2400" s="24" t="str">
        <f aca="false" t="array" ref="K2400:K2400">IF(A2400&lt;&gt;"",IF(COUNTIF(A$996:A2401,"&lt;&gt;")=0,COUNTA(B$996:B2400),IFERROR(MATCH(TRUE(),INDEX((A$996:A2401&lt;&gt;""),0),0),COUNTA(B$996:B2400))),"")</f>
        <v/>
      </c>
      <c r="L2400" s="27"/>
    </row>
    <row r="2401" customFormat="false" ht="13.8" hidden="false" customHeight="false" outlineLevel="0" collapsed="false">
      <c r="A2401" s="16"/>
      <c r="B2401" s="16"/>
      <c r="C2401" s="26"/>
      <c r="D2401" s="26"/>
      <c r="E2401" s="16"/>
      <c r="F2401" s="18"/>
      <c r="G2401" s="19" t="str">
        <f aca="true">IF(F2401="", "", DATEDIF(F2401, TODAY(), "Y"))</f>
        <v/>
      </c>
      <c r="H2401" s="28"/>
      <c r="I2401" s="28"/>
      <c r="J2401" s="24" t="str">
        <f aca="true">IF(ISBLANK(H2401), "", I2401-TODAY())</f>
        <v/>
      </c>
      <c r="K2401" s="24" t="str">
        <f aca="false" t="array" ref="K2401:K2401">IF(A2401&lt;&gt;"",IF(COUNTIF(A$996:A2402,"&lt;&gt;")=0,COUNTA(B$996:B2401),IFERROR(MATCH(TRUE(),INDEX((A$996:A2402&lt;&gt;""),0),0),COUNTA(B$996:B2401))),"")</f>
        <v/>
      </c>
      <c r="L2401" s="27"/>
    </row>
    <row r="2402" customFormat="false" ht="13.8" hidden="false" customHeight="false" outlineLevel="0" collapsed="false">
      <c r="A2402" s="16"/>
      <c r="B2402" s="16"/>
      <c r="C2402" s="26"/>
      <c r="D2402" s="26"/>
      <c r="E2402" s="16"/>
      <c r="F2402" s="18"/>
      <c r="G2402" s="19" t="str">
        <f aca="true">IF(F2402="", "", DATEDIF(F2402, TODAY(), "Y"))</f>
        <v/>
      </c>
      <c r="H2402" s="28"/>
      <c r="I2402" s="28"/>
      <c r="J2402" s="24" t="str">
        <f aca="true">IF(ISBLANK(H2402), "", I2402-TODAY())</f>
        <v/>
      </c>
      <c r="K2402" s="24" t="str">
        <f aca="false" t="array" ref="K2402:K2402">IF(A2402&lt;&gt;"",IF(COUNTIF(A$996:A2403,"&lt;&gt;")=0,COUNTA(B$996:B2402),IFERROR(MATCH(TRUE(),INDEX((A$996:A2403&lt;&gt;""),0),0),COUNTA(B$996:B2402))),"")</f>
        <v/>
      </c>
      <c r="L2402" s="27"/>
    </row>
    <row r="2403" customFormat="false" ht="13.8" hidden="false" customHeight="false" outlineLevel="0" collapsed="false">
      <c r="A2403" s="16"/>
      <c r="B2403" s="16"/>
      <c r="C2403" s="26"/>
      <c r="D2403" s="26"/>
      <c r="E2403" s="16"/>
      <c r="F2403" s="18"/>
      <c r="G2403" s="19" t="str">
        <f aca="true">IF(F2403="", "", DATEDIF(F2403, TODAY(), "Y"))</f>
        <v/>
      </c>
      <c r="H2403" s="28"/>
      <c r="I2403" s="28"/>
      <c r="J2403" s="24" t="str">
        <f aca="true">IF(ISBLANK(H2403), "", I2403-TODAY())</f>
        <v/>
      </c>
      <c r="K2403" s="24" t="str">
        <f aca="false" t="array" ref="K2403:K2403">IF(A2403&lt;&gt;"",IF(COUNTIF(A$996:A2404,"&lt;&gt;")=0,COUNTA(B$996:B2403),IFERROR(MATCH(TRUE(),INDEX((A$996:A2404&lt;&gt;""),0),0),COUNTA(B$996:B2403))),"")</f>
        <v/>
      </c>
      <c r="L2403" s="27"/>
    </row>
    <row r="2404" customFormat="false" ht="13.8" hidden="false" customHeight="false" outlineLevel="0" collapsed="false">
      <c r="A2404" s="16"/>
      <c r="B2404" s="16"/>
      <c r="C2404" s="26"/>
      <c r="D2404" s="26"/>
      <c r="E2404" s="16"/>
      <c r="F2404" s="18"/>
      <c r="G2404" s="19" t="str">
        <f aca="true">IF(F2404="", "", DATEDIF(F2404, TODAY(), "Y"))</f>
        <v/>
      </c>
      <c r="H2404" s="28"/>
      <c r="I2404" s="28"/>
      <c r="J2404" s="24" t="str">
        <f aca="true">IF(ISBLANK(H2404), "", I2404-TODAY())</f>
        <v/>
      </c>
      <c r="K2404" s="24" t="str">
        <f aca="false" t="array" ref="K2404:K2404">IF(A2404&lt;&gt;"",IF(COUNTIF(A$996:A2405,"&lt;&gt;")=0,COUNTA(B$996:B2404),IFERROR(MATCH(TRUE(),INDEX((A$996:A2405&lt;&gt;""),0),0),COUNTA(B$996:B2404))),"")</f>
        <v/>
      </c>
      <c r="L2404" s="27"/>
    </row>
    <row r="2405" customFormat="false" ht="13.8" hidden="false" customHeight="false" outlineLevel="0" collapsed="false">
      <c r="A2405" s="16"/>
      <c r="B2405" s="16"/>
      <c r="C2405" s="26"/>
      <c r="D2405" s="26"/>
      <c r="E2405" s="16"/>
      <c r="F2405" s="18"/>
      <c r="G2405" s="19" t="str">
        <f aca="true">IF(F2405="", "", DATEDIF(F2405, TODAY(), "Y"))</f>
        <v/>
      </c>
      <c r="H2405" s="28"/>
      <c r="I2405" s="28"/>
      <c r="J2405" s="24" t="str">
        <f aca="true">IF(ISBLANK(H2405), "", I2405-TODAY())</f>
        <v/>
      </c>
      <c r="K2405" s="24" t="str">
        <f aca="false" t="array" ref="K2405:K2405">IF(A2405&lt;&gt;"",IF(COUNTIF(A$996:A2406,"&lt;&gt;")=0,COUNTA(B$996:B2405),IFERROR(MATCH(TRUE(),INDEX((A$996:A2406&lt;&gt;""),0),0),COUNTA(B$996:B2405))),"")</f>
        <v/>
      </c>
      <c r="L2405" s="27"/>
    </row>
    <row r="2406" customFormat="false" ht="13.8" hidden="false" customHeight="false" outlineLevel="0" collapsed="false">
      <c r="A2406" s="16"/>
      <c r="B2406" s="16"/>
      <c r="C2406" s="26"/>
      <c r="D2406" s="26"/>
      <c r="E2406" s="16"/>
      <c r="F2406" s="18"/>
      <c r="G2406" s="19" t="str">
        <f aca="true">IF(F2406="", "", DATEDIF(F2406, TODAY(), "Y"))</f>
        <v/>
      </c>
      <c r="H2406" s="28"/>
      <c r="I2406" s="28"/>
      <c r="J2406" s="24" t="str">
        <f aca="true">IF(ISBLANK(H2406), "", I2406-TODAY())</f>
        <v/>
      </c>
      <c r="K2406" s="24" t="str">
        <f aca="false" t="array" ref="K2406:K2406">IF(A2406&lt;&gt;"",IF(COUNTIF(A$996:A2407,"&lt;&gt;")=0,COUNTA(B$996:B2406),IFERROR(MATCH(TRUE(),INDEX((A$996:A2407&lt;&gt;""),0),0),COUNTA(B$996:B2406))),"")</f>
        <v/>
      </c>
      <c r="L2406" s="27"/>
    </row>
    <row r="2407" customFormat="false" ht="13.8" hidden="false" customHeight="false" outlineLevel="0" collapsed="false">
      <c r="A2407" s="16"/>
      <c r="B2407" s="16"/>
      <c r="C2407" s="26"/>
      <c r="D2407" s="26"/>
      <c r="E2407" s="16"/>
      <c r="F2407" s="18"/>
      <c r="G2407" s="19" t="str">
        <f aca="true">IF(F2407="", "", DATEDIF(F2407, TODAY(), "Y"))</f>
        <v/>
      </c>
      <c r="H2407" s="28"/>
      <c r="I2407" s="28"/>
      <c r="J2407" s="24" t="str">
        <f aca="true">IF(ISBLANK(H2407), "", I2407-TODAY())</f>
        <v/>
      </c>
      <c r="K2407" s="24" t="str">
        <f aca="false" t="array" ref="K2407:K2407">IF(A2407&lt;&gt;"",IF(COUNTIF(A$996:A2408,"&lt;&gt;")=0,COUNTA(B$996:B2407),IFERROR(MATCH(TRUE(),INDEX((A$996:A2408&lt;&gt;""),0),0),COUNTA(B$996:B2407))),"")</f>
        <v/>
      </c>
      <c r="L2407" s="27"/>
    </row>
    <row r="2408" customFormat="false" ht="13.8" hidden="false" customHeight="false" outlineLevel="0" collapsed="false">
      <c r="A2408" s="16"/>
      <c r="B2408" s="16"/>
      <c r="C2408" s="26"/>
      <c r="D2408" s="26"/>
      <c r="E2408" s="16"/>
      <c r="F2408" s="18"/>
      <c r="G2408" s="19" t="str">
        <f aca="true">IF(F2408="", "", DATEDIF(F2408, TODAY(), "Y"))</f>
        <v/>
      </c>
      <c r="H2408" s="28"/>
      <c r="I2408" s="28"/>
      <c r="J2408" s="24" t="str">
        <f aca="true">IF(ISBLANK(H2408), "", I2408-TODAY())</f>
        <v/>
      </c>
      <c r="K2408" s="24" t="str">
        <f aca="false" t="array" ref="K2408:K2408">IF(A2408&lt;&gt;"",IF(COUNTIF(A$996:A2409,"&lt;&gt;")=0,COUNTA(B$996:B2408),IFERROR(MATCH(TRUE(),INDEX((A$996:A2409&lt;&gt;""),0),0),COUNTA(B$996:B2408))),"")</f>
        <v/>
      </c>
      <c r="L2408" s="27"/>
    </row>
    <row r="2409" customFormat="false" ht="13.8" hidden="false" customHeight="false" outlineLevel="0" collapsed="false">
      <c r="A2409" s="16"/>
      <c r="B2409" s="16"/>
      <c r="C2409" s="26"/>
      <c r="D2409" s="26"/>
      <c r="E2409" s="16"/>
      <c r="F2409" s="18"/>
      <c r="G2409" s="19" t="str">
        <f aca="true">IF(F2409="", "", DATEDIF(F2409, TODAY(), "Y"))</f>
        <v/>
      </c>
      <c r="H2409" s="28"/>
      <c r="I2409" s="28"/>
      <c r="J2409" s="24" t="str">
        <f aca="true">IF(ISBLANK(H2409), "", I2409-TODAY())</f>
        <v/>
      </c>
      <c r="K2409" s="24" t="str">
        <f aca="false" t="array" ref="K2409:K2409">IF(A2409&lt;&gt;"",IF(COUNTIF(A$996:A2410,"&lt;&gt;")=0,COUNTA(B$996:B2409),IFERROR(MATCH(TRUE(),INDEX((A$996:A2410&lt;&gt;""),0),0),COUNTA(B$996:B2409))),"")</f>
        <v/>
      </c>
      <c r="L2409" s="27"/>
    </row>
    <row r="2410" customFormat="false" ht="13.8" hidden="false" customHeight="false" outlineLevel="0" collapsed="false">
      <c r="A2410" s="16"/>
      <c r="B2410" s="16"/>
      <c r="C2410" s="26"/>
      <c r="D2410" s="26"/>
      <c r="E2410" s="16"/>
      <c r="F2410" s="18"/>
      <c r="G2410" s="19" t="str">
        <f aca="true">IF(F2410="", "", DATEDIF(F2410, TODAY(), "Y"))</f>
        <v/>
      </c>
      <c r="H2410" s="28"/>
      <c r="I2410" s="28"/>
      <c r="J2410" s="24" t="str">
        <f aca="true">IF(ISBLANK(H2410), "", I2410-TODAY())</f>
        <v/>
      </c>
      <c r="K2410" s="24" t="str">
        <f aca="false" t="array" ref="K2410:K2410">IF(A2410&lt;&gt;"",IF(COUNTIF(A$996:A2411,"&lt;&gt;")=0,COUNTA(B$996:B2410),IFERROR(MATCH(TRUE(),INDEX((A$996:A2411&lt;&gt;""),0),0),COUNTA(B$996:B2410))),"")</f>
        <v/>
      </c>
      <c r="L2410" s="27"/>
    </row>
    <row r="2411" customFormat="false" ht="13.8" hidden="false" customHeight="false" outlineLevel="0" collapsed="false">
      <c r="A2411" s="16"/>
      <c r="B2411" s="16"/>
      <c r="C2411" s="26"/>
      <c r="D2411" s="26"/>
      <c r="E2411" s="16"/>
      <c r="F2411" s="18"/>
      <c r="G2411" s="19" t="str">
        <f aca="true">IF(F2411="", "", DATEDIF(F2411, TODAY(), "Y"))</f>
        <v/>
      </c>
      <c r="H2411" s="28"/>
      <c r="I2411" s="28"/>
      <c r="J2411" s="24" t="str">
        <f aca="true">IF(ISBLANK(H2411), "", I2411-TODAY())</f>
        <v/>
      </c>
      <c r="K2411" s="24" t="str">
        <f aca="false" t="array" ref="K2411:K2411">IF(A2411&lt;&gt;"",IF(COUNTIF(A$996:A2412,"&lt;&gt;")=0,COUNTA(B$996:B2411),IFERROR(MATCH(TRUE(),INDEX((A$996:A2412&lt;&gt;""),0),0),COUNTA(B$996:B2411))),"")</f>
        <v/>
      </c>
      <c r="L2411" s="27"/>
    </row>
    <row r="2412" customFormat="false" ht="13.8" hidden="false" customHeight="false" outlineLevel="0" collapsed="false">
      <c r="A2412" s="16"/>
      <c r="B2412" s="16"/>
      <c r="C2412" s="26"/>
      <c r="D2412" s="26"/>
      <c r="E2412" s="16"/>
      <c r="F2412" s="18"/>
      <c r="G2412" s="19" t="str">
        <f aca="true">IF(F2412="", "", DATEDIF(F2412, TODAY(), "Y"))</f>
        <v/>
      </c>
      <c r="H2412" s="28"/>
      <c r="I2412" s="28"/>
      <c r="J2412" s="24" t="str">
        <f aca="true">IF(ISBLANK(H2412), "", I2412-TODAY())</f>
        <v/>
      </c>
      <c r="K2412" s="24" t="str">
        <f aca="false" t="array" ref="K2412:K2412">IF(A2412&lt;&gt;"",IF(COUNTIF(A$996:A2413,"&lt;&gt;")=0,COUNTA(B$996:B2412),IFERROR(MATCH(TRUE(),INDEX((A$996:A2413&lt;&gt;""),0),0),COUNTA(B$996:B2412))),"")</f>
        <v/>
      </c>
      <c r="L2412" s="27"/>
    </row>
    <row r="2413" customFormat="false" ht="13.8" hidden="false" customHeight="false" outlineLevel="0" collapsed="false">
      <c r="A2413" s="16"/>
      <c r="B2413" s="16"/>
      <c r="C2413" s="26"/>
      <c r="D2413" s="26"/>
      <c r="E2413" s="16"/>
      <c r="F2413" s="18"/>
      <c r="G2413" s="19" t="str">
        <f aca="true">IF(F2413="", "", DATEDIF(F2413, TODAY(), "Y"))</f>
        <v/>
      </c>
      <c r="H2413" s="28"/>
      <c r="I2413" s="28"/>
      <c r="J2413" s="24" t="str">
        <f aca="true">IF(ISBLANK(H2413), "", I2413-TODAY())</f>
        <v/>
      </c>
      <c r="K2413" s="24" t="str">
        <f aca="false" t="array" ref="K2413:K2413">IF(A2413&lt;&gt;"",IF(COUNTIF(A$996:A2414,"&lt;&gt;")=0,COUNTA(B$996:B2413),IFERROR(MATCH(TRUE(),INDEX((A$996:A2414&lt;&gt;""),0),0),COUNTA(B$996:B2413))),"")</f>
        <v/>
      </c>
      <c r="L2413" s="27"/>
    </row>
    <row r="2414" customFormat="false" ht="13.8" hidden="false" customHeight="false" outlineLevel="0" collapsed="false">
      <c r="A2414" s="16"/>
      <c r="B2414" s="16"/>
      <c r="C2414" s="26"/>
      <c r="D2414" s="26"/>
      <c r="E2414" s="16"/>
      <c r="F2414" s="18"/>
      <c r="G2414" s="19" t="str">
        <f aca="true">IF(F2414="", "", DATEDIF(F2414, TODAY(), "Y"))</f>
        <v/>
      </c>
      <c r="H2414" s="28"/>
      <c r="I2414" s="28"/>
      <c r="J2414" s="24" t="str">
        <f aca="true">IF(ISBLANK(H2414), "", I2414-TODAY())</f>
        <v/>
      </c>
      <c r="K2414" s="24" t="str">
        <f aca="false" t="array" ref="K2414:K2414">IF(A2414&lt;&gt;"",IF(COUNTIF(A$996:A2415,"&lt;&gt;")=0,COUNTA(B$996:B2414),IFERROR(MATCH(TRUE(),INDEX((A$996:A2415&lt;&gt;""),0),0),COUNTA(B$996:B2414))),"")</f>
        <v/>
      </c>
      <c r="L2414" s="27"/>
    </row>
    <row r="2415" customFormat="false" ht="13.8" hidden="false" customHeight="false" outlineLevel="0" collapsed="false">
      <c r="A2415" s="16"/>
      <c r="B2415" s="16"/>
      <c r="C2415" s="26"/>
      <c r="D2415" s="26"/>
      <c r="E2415" s="16"/>
      <c r="F2415" s="18"/>
      <c r="G2415" s="19" t="str">
        <f aca="true">IF(F2415="", "", DATEDIF(F2415, TODAY(), "Y"))</f>
        <v/>
      </c>
      <c r="H2415" s="28"/>
      <c r="I2415" s="28"/>
      <c r="J2415" s="24" t="str">
        <f aca="true">IF(ISBLANK(H2415), "", I2415-TODAY())</f>
        <v/>
      </c>
      <c r="K2415" s="24" t="str">
        <f aca="false" t="array" ref="K2415:K2415">IF(A2415&lt;&gt;"",IF(COUNTIF(A$996:A2416,"&lt;&gt;")=0,COUNTA(B$996:B2415),IFERROR(MATCH(TRUE(),INDEX((A$996:A2416&lt;&gt;""),0),0),COUNTA(B$996:B2415))),"")</f>
        <v/>
      </c>
      <c r="L2415" s="27"/>
    </row>
    <row r="2416" customFormat="false" ht="13.8" hidden="false" customHeight="false" outlineLevel="0" collapsed="false">
      <c r="A2416" s="16"/>
      <c r="B2416" s="16"/>
      <c r="C2416" s="26"/>
      <c r="D2416" s="26"/>
      <c r="E2416" s="16"/>
      <c r="F2416" s="18"/>
      <c r="G2416" s="19" t="str">
        <f aca="true">IF(F2416="", "", DATEDIF(F2416, TODAY(), "Y"))</f>
        <v/>
      </c>
      <c r="H2416" s="28"/>
      <c r="I2416" s="28"/>
      <c r="J2416" s="24" t="str">
        <f aca="true">IF(ISBLANK(H2416), "", I2416-TODAY())</f>
        <v/>
      </c>
      <c r="K2416" s="24" t="str">
        <f aca="false" t="array" ref="K2416:K2416">IF(A2416&lt;&gt;"",IF(COUNTIF(A$996:A2417,"&lt;&gt;")=0,COUNTA(B$996:B2416),IFERROR(MATCH(TRUE(),INDEX((A$996:A2417&lt;&gt;""),0),0),COUNTA(B$996:B2416))),"")</f>
        <v/>
      </c>
      <c r="L2416" s="27"/>
    </row>
    <row r="2417" customFormat="false" ht="13.8" hidden="false" customHeight="false" outlineLevel="0" collapsed="false">
      <c r="A2417" s="16"/>
      <c r="B2417" s="16"/>
      <c r="C2417" s="26"/>
      <c r="D2417" s="26"/>
      <c r="E2417" s="16"/>
      <c r="F2417" s="18"/>
      <c r="G2417" s="19" t="str">
        <f aca="true">IF(F2417="", "", DATEDIF(F2417, TODAY(), "Y"))</f>
        <v/>
      </c>
      <c r="H2417" s="28"/>
      <c r="I2417" s="28"/>
      <c r="J2417" s="24" t="str">
        <f aca="true">IF(ISBLANK(H2417), "", I2417-TODAY())</f>
        <v/>
      </c>
      <c r="K2417" s="24" t="str">
        <f aca="false" t="array" ref="K2417:K2417">IF(A2417&lt;&gt;"",IF(COUNTIF(A$996:A2418,"&lt;&gt;")=0,COUNTA(B$996:B2417),IFERROR(MATCH(TRUE(),INDEX((A$996:A2418&lt;&gt;""),0),0),COUNTA(B$996:B2417))),"")</f>
        <v/>
      </c>
      <c r="L2417" s="27"/>
    </row>
    <row r="2418" customFormat="false" ht="13.8" hidden="false" customHeight="false" outlineLevel="0" collapsed="false">
      <c r="A2418" s="16"/>
      <c r="B2418" s="16"/>
      <c r="C2418" s="26"/>
      <c r="D2418" s="26"/>
      <c r="E2418" s="16"/>
      <c r="F2418" s="18"/>
      <c r="G2418" s="19" t="str">
        <f aca="true">IF(F2418="", "", DATEDIF(F2418, TODAY(), "Y"))</f>
        <v/>
      </c>
      <c r="H2418" s="28"/>
      <c r="I2418" s="28"/>
      <c r="J2418" s="24" t="str">
        <f aca="true">IF(ISBLANK(H2418), "", I2418-TODAY())</f>
        <v/>
      </c>
      <c r="K2418" s="24" t="str">
        <f aca="false" t="array" ref="K2418:K2418">IF(A2418&lt;&gt;"",IF(COUNTIF(A$996:A2419,"&lt;&gt;")=0,COUNTA(B$996:B2418),IFERROR(MATCH(TRUE(),INDEX((A$996:A2419&lt;&gt;""),0),0),COUNTA(B$996:B2418))),"")</f>
        <v/>
      </c>
      <c r="L2418" s="27"/>
    </row>
    <row r="2419" customFormat="false" ht="13.8" hidden="false" customHeight="false" outlineLevel="0" collapsed="false">
      <c r="A2419" s="16"/>
      <c r="B2419" s="16"/>
      <c r="C2419" s="26"/>
      <c r="D2419" s="26"/>
      <c r="E2419" s="16"/>
      <c r="F2419" s="18"/>
      <c r="G2419" s="19" t="str">
        <f aca="true">IF(F2419="", "", DATEDIF(F2419, TODAY(), "Y"))</f>
        <v/>
      </c>
      <c r="H2419" s="28"/>
      <c r="I2419" s="28"/>
      <c r="J2419" s="24" t="str">
        <f aca="true">IF(ISBLANK(H2419), "", I2419-TODAY())</f>
        <v/>
      </c>
      <c r="K2419" s="24" t="str">
        <f aca="false" t="array" ref="K2419:K2419">IF(A2419&lt;&gt;"",IF(COUNTIF(A$996:A2420,"&lt;&gt;")=0,COUNTA(B$996:B2419),IFERROR(MATCH(TRUE(),INDEX((A$996:A2420&lt;&gt;""),0),0),COUNTA(B$996:B2419))),"")</f>
        <v/>
      </c>
      <c r="L2419" s="27"/>
    </row>
    <row r="2420" customFormat="false" ht="13.8" hidden="false" customHeight="false" outlineLevel="0" collapsed="false">
      <c r="A2420" s="16"/>
      <c r="B2420" s="16"/>
      <c r="C2420" s="26"/>
      <c r="D2420" s="26"/>
      <c r="E2420" s="16"/>
      <c r="F2420" s="18"/>
      <c r="G2420" s="19" t="str">
        <f aca="true">IF(F2420="", "", DATEDIF(F2420, TODAY(), "Y"))</f>
        <v/>
      </c>
      <c r="H2420" s="28"/>
      <c r="I2420" s="28"/>
      <c r="J2420" s="24" t="str">
        <f aca="true">IF(ISBLANK(H2420), "", I2420-TODAY())</f>
        <v/>
      </c>
      <c r="K2420" s="24" t="str">
        <f aca="false" t="array" ref="K2420:K2420">IF(A2420&lt;&gt;"",IF(COUNTIF(A$996:A2421,"&lt;&gt;")=0,COUNTA(B$996:B2420),IFERROR(MATCH(TRUE(),INDEX((A$996:A2421&lt;&gt;""),0),0),COUNTA(B$996:B2420))),"")</f>
        <v/>
      </c>
      <c r="L2420" s="27"/>
    </row>
    <row r="2421" customFormat="false" ht="13.8" hidden="false" customHeight="false" outlineLevel="0" collapsed="false">
      <c r="A2421" s="16"/>
      <c r="B2421" s="16"/>
      <c r="C2421" s="26"/>
      <c r="D2421" s="26"/>
      <c r="E2421" s="16"/>
      <c r="F2421" s="18"/>
      <c r="G2421" s="19" t="str">
        <f aca="true">IF(F2421="", "", DATEDIF(F2421, TODAY(), "Y"))</f>
        <v/>
      </c>
      <c r="H2421" s="28"/>
      <c r="I2421" s="28"/>
      <c r="J2421" s="24" t="str">
        <f aca="true">IF(ISBLANK(H2421), "", I2421-TODAY())</f>
        <v/>
      </c>
      <c r="K2421" s="24" t="str">
        <f aca="false" t="array" ref="K2421:K2421">IF(A2421&lt;&gt;"",IF(COUNTIF(A$996:A2422,"&lt;&gt;")=0,COUNTA(B$996:B2421),IFERROR(MATCH(TRUE(),INDEX((A$996:A2422&lt;&gt;""),0),0),COUNTA(B$996:B2421))),"")</f>
        <v/>
      </c>
      <c r="L2421" s="27"/>
    </row>
    <row r="2422" customFormat="false" ht="13.8" hidden="false" customHeight="false" outlineLevel="0" collapsed="false">
      <c r="A2422" s="16"/>
      <c r="B2422" s="16"/>
      <c r="C2422" s="26"/>
      <c r="D2422" s="26"/>
      <c r="E2422" s="16"/>
      <c r="F2422" s="18"/>
      <c r="G2422" s="19" t="str">
        <f aca="true">IF(F2422="", "", DATEDIF(F2422, TODAY(), "Y"))</f>
        <v/>
      </c>
      <c r="H2422" s="28"/>
      <c r="I2422" s="28"/>
      <c r="J2422" s="24" t="str">
        <f aca="true">IF(ISBLANK(H2422), "", I2422-TODAY())</f>
        <v/>
      </c>
      <c r="K2422" s="24" t="str">
        <f aca="false" t="array" ref="K2422:K2422">IF(A2422&lt;&gt;"",IF(COUNTIF(A$996:A2423,"&lt;&gt;")=0,COUNTA(B$996:B2422),IFERROR(MATCH(TRUE(),INDEX((A$996:A2423&lt;&gt;""),0),0),COUNTA(B$996:B2422))),"")</f>
        <v/>
      </c>
      <c r="L2422" s="27"/>
    </row>
    <row r="2423" customFormat="false" ht="13.8" hidden="false" customHeight="false" outlineLevel="0" collapsed="false">
      <c r="A2423" s="16"/>
      <c r="B2423" s="16"/>
      <c r="C2423" s="26"/>
      <c r="D2423" s="26"/>
      <c r="E2423" s="16"/>
      <c r="F2423" s="18"/>
      <c r="G2423" s="19" t="str">
        <f aca="true">IF(F2423="", "", DATEDIF(F2423, TODAY(), "Y"))</f>
        <v/>
      </c>
      <c r="H2423" s="28"/>
      <c r="I2423" s="28"/>
      <c r="J2423" s="24" t="str">
        <f aca="true">IF(ISBLANK(H2423), "", I2423-TODAY())</f>
        <v/>
      </c>
      <c r="K2423" s="24" t="str">
        <f aca="false" t="array" ref="K2423:K2423">IF(A2423&lt;&gt;"",IF(COUNTIF(A$996:A2424,"&lt;&gt;")=0,COUNTA(B$996:B2423),IFERROR(MATCH(TRUE(),INDEX((A$996:A2424&lt;&gt;""),0),0),COUNTA(B$996:B2423))),"")</f>
        <v/>
      </c>
      <c r="L2423" s="27"/>
    </row>
    <row r="2424" customFormat="false" ht="13.8" hidden="false" customHeight="false" outlineLevel="0" collapsed="false">
      <c r="A2424" s="16"/>
      <c r="B2424" s="16"/>
      <c r="C2424" s="26"/>
      <c r="D2424" s="26"/>
      <c r="E2424" s="16"/>
      <c r="F2424" s="18"/>
      <c r="G2424" s="19" t="str">
        <f aca="true">IF(F2424="", "", DATEDIF(F2424, TODAY(), "Y"))</f>
        <v/>
      </c>
      <c r="H2424" s="28"/>
      <c r="I2424" s="28"/>
      <c r="J2424" s="24" t="str">
        <f aca="true">IF(ISBLANK(H2424), "", I2424-TODAY())</f>
        <v/>
      </c>
      <c r="K2424" s="24" t="str">
        <f aca="false" t="array" ref="K2424:K2424">IF(A2424&lt;&gt;"",IF(COUNTIF(A$996:A2425,"&lt;&gt;")=0,COUNTA(B$996:B2424),IFERROR(MATCH(TRUE(),INDEX((A$996:A2425&lt;&gt;""),0),0),COUNTA(B$996:B2424))),"")</f>
        <v/>
      </c>
      <c r="L2424" s="27"/>
    </row>
    <row r="2425" customFormat="false" ht="13.8" hidden="false" customHeight="false" outlineLevel="0" collapsed="false">
      <c r="A2425" s="16"/>
      <c r="B2425" s="16"/>
      <c r="C2425" s="26"/>
      <c r="D2425" s="26"/>
      <c r="E2425" s="16"/>
      <c r="F2425" s="18"/>
      <c r="G2425" s="19" t="str">
        <f aca="true">IF(F2425="", "", DATEDIF(F2425, TODAY(), "Y"))</f>
        <v/>
      </c>
      <c r="H2425" s="28"/>
      <c r="I2425" s="28"/>
      <c r="J2425" s="24" t="str">
        <f aca="true">IF(ISBLANK(H2425), "", I2425-TODAY())</f>
        <v/>
      </c>
      <c r="K2425" s="24" t="str">
        <f aca="false" t="array" ref="K2425:K2425">IF(A2425&lt;&gt;"",IF(COUNTIF(A$996:A2426,"&lt;&gt;")=0,COUNTA(B$996:B2425),IFERROR(MATCH(TRUE(),INDEX((A$996:A2426&lt;&gt;""),0),0),COUNTA(B$996:B2425))),"")</f>
        <v/>
      </c>
      <c r="L2425" s="27"/>
    </row>
    <row r="2426" customFormat="false" ht="13.8" hidden="false" customHeight="false" outlineLevel="0" collapsed="false">
      <c r="A2426" s="16"/>
      <c r="B2426" s="16"/>
      <c r="C2426" s="26"/>
      <c r="D2426" s="26"/>
      <c r="E2426" s="16"/>
      <c r="F2426" s="18"/>
      <c r="G2426" s="19" t="str">
        <f aca="true">IF(F2426="", "", DATEDIF(F2426, TODAY(), "Y"))</f>
        <v/>
      </c>
      <c r="H2426" s="28"/>
      <c r="I2426" s="28"/>
      <c r="J2426" s="24" t="str">
        <f aca="true">IF(ISBLANK(H2426), "", I2426-TODAY())</f>
        <v/>
      </c>
      <c r="K2426" s="24" t="str">
        <f aca="false" t="array" ref="K2426:K2426">IF(A2426&lt;&gt;"",IF(COUNTIF(A$996:A2427,"&lt;&gt;")=0,COUNTA(B$996:B2426),IFERROR(MATCH(TRUE(),INDEX((A$996:A2427&lt;&gt;""),0),0),COUNTA(B$996:B2426))),"")</f>
        <v/>
      </c>
      <c r="L2426" s="27"/>
    </row>
    <row r="2427" customFormat="false" ht="13.8" hidden="false" customHeight="false" outlineLevel="0" collapsed="false">
      <c r="A2427" s="16"/>
      <c r="B2427" s="16"/>
      <c r="C2427" s="26"/>
      <c r="D2427" s="26"/>
      <c r="E2427" s="16"/>
      <c r="F2427" s="18"/>
      <c r="G2427" s="19" t="str">
        <f aca="true">IF(F2427="", "", DATEDIF(F2427, TODAY(), "Y"))</f>
        <v/>
      </c>
      <c r="H2427" s="28"/>
      <c r="I2427" s="28"/>
      <c r="J2427" s="24" t="str">
        <f aca="true">IF(ISBLANK(H2427), "", I2427-TODAY())</f>
        <v/>
      </c>
      <c r="K2427" s="24" t="str">
        <f aca="false" t="array" ref="K2427:K2427">IF(A2427&lt;&gt;"",IF(COUNTIF(A$996:A2428,"&lt;&gt;")=0,COUNTA(B$996:B2427),IFERROR(MATCH(TRUE(),INDEX((A$996:A2428&lt;&gt;""),0),0),COUNTA(B$996:B2427))),"")</f>
        <v/>
      </c>
      <c r="L2427" s="27"/>
    </row>
    <row r="2428" customFormat="false" ht="13.8" hidden="false" customHeight="false" outlineLevel="0" collapsed="false">
      <c r="A2428" s="16"/>
      <c r="B2428" s="16"/>
      <c r="C2428" s="26"/>
      <c r="D2428" s="26"/>
      <c r="E2428" s="16"/>
      <c r="F2428" s="18"/>
      <c r="G2428" s="19" t="str">
        <f aca="true">IF(F2428="", "", DATEDIF(F2428, TODAY(), "Y"))</f>
        <v/>
      </c>
      <c r="H2428" s="28"/>
      <c r="I2428" s="28"/>
      <c r="J2428" s="24" t="str">
        <f aca="true">IF(ISBLANK(H2428), "", I2428-TODAY())</f>
        <v/>
      </c>
      <c r="K2428" s="24" t="str">
        <f aca="false" t="array" ref="K2428:K2428">IF(A2428&lt;&gt;"",IF(COUNTIF(A$996:A2429,"&lt;&gt;")=0,COUNTA(B$996:B2428),IFERROR(MATCH(TRUE(),INDEX((A$996:A2429&lt;&gt;""),0),0),COUNTA(B$996:B2428))),"")</f>
        <v/>
      </c>
      <c r="L2428" s="27"/>
    </row>
    <row r="2429" customFormat="false" ht="13.8" hidden="false" customHeight="false" outlineLevel="0" collapsed="false">
      <c r="A2429" s="16"/>
      <c r="B2429" s="16"/>
      <c r="C2429" s="26"/>
      <c r="D2429" s="26"/>
      <c r="E2429" s="16"/>
      <c r="F2429" s="18"/>
      <c r="G2429" s="19" t="str">
        <f aca="true">IF(F2429="", "", DATEDIF(F2429, TODAY(), "Y"))</f>
        <v/>
      </c>
      <c r="H2429" s="28"/>
      <c r="I2429" s="28"/>
      <c r="J2429" s="24" t="str">
        <f aca="true">IF(ISBLANK(H2429), "", I2429-TODAY())</f>
        <v/>
      </c>
      <c r="K2429" s="24" t="str">
        <f aca="false" t="array" ref="K2429:K2429">IF(A2429&lt;&gt;"",IF(COUNTIF(A$996:A2430,"&lt;&gt;")=0,COUNTA(B$996:B2429),IFERROR(MATCH(TRUE(),INDEX((A$996:A2430&lt;&gt;""),0),0),COUNTA(B$996:B2429))),"")</f>
        <v/>
      </c>
      <c r="L2429" s="27"/>
    </row>
    <row r="2430" customFormat="false" ht="13.8" hidden="false" customHeight="false" outlineLevel="0" collapsed="false">
      <c r="A2430" s="16"/>
      <c r="B2430" s="16"/>
      <c r="C2430" s="26"/>
      <c r="D2430" s="26"/>
      <c r="E2430" s="16"/>
      <c r="F2430" s="18"/>
      <c r="G2430" s="19" t="str">
        <f aca="true">IF(F2430="", "", DATEDIF(F2430, TODAY(), "Y"))</f>
        <v/>
      </c>
      <c r="H2430" s="28"/>
      <c r="I2430" s="28"/>
      <c r="J2430" s="24" t="str">
        <f aca="true">IF(ISBLANK(H2430), "", I2430-TODAY())</f>
        <v/>
      </c>
      <c r="K2430" s="24" t="str">
        <f aca="false" t="array" ref="K2430:K2430">IF(A2430&lt;&gt;"",IF(COUNTIF(A$996:A2431,"&lt;&gt;")=0,COUNTA(B$996:B2430),IFERROR(MATCH(TRUE(),INDEX((A$996:A2431&lt;&gt;""),0),0),COUNTA(B$996:B2430))),"")</f>
        <v/>
      </c>
      <c r="L2430" s="27"/>
    </row>
    <row r="2431" customFormat="false" ht="13.8" hidden="false" customHeight="false" outlineLevel="0" collapsed="false">
      <c r="A2431" s="16"/>
      <c r="B2431" s="16"/>
      <c r="C2431" s="26"/>
      <c r="D2431" s="26"/>
      <c r="E2431" s="16"/>
      <c r="F2431" s="18"/>
      <c r="G2431" s="19" t="str">
        <f aca="true">IF(F2431="", "", DATEDIF(F2431, TODAY(), "Y"))</f>
        <v/>
      </c>
      <c r="H2431" s="28"/>
      <c r="I2431" s="28"/>
      <c r="J2431" s="24" t="str">
        <f aca="true">IF(ISBLANK(H2431), "", I2431-TODAY())</f>
        <v/>
      </c>
      <c r="K2431" s="24" t="str">
        <f aca="false" t="array" ref="K2431:K2431">IF(A2431&lt;&gt;"",IF(COUNTIF(A$996:A2432,"&lt;&gt;")=0,COUNTA(B$996:B2431),IFERROR(MATCH(TRUE(),INDEX((A$996:A2432&lt;&gt;""),0),0),COUNTA(B$996:B2431))),"")</f>
        <v/>
      </c>
      <c r="L2431" s="27"/>
    </row>
    <row r="2432" customFormat="false" ht="13.8" hidden="false" customHeight="false" outlineLevel="0" collapsed="false">
      <c r="A2432" s="16"/>
      <c r="B2432" s="16"/>
      <c r="C2432" s="26"/>
      <c r="D2432" s="26"/>
      <c r="E2432" s="16"/>
      <c r="F2432" s="18"/>
      <c r="G2432" s="19" t="str">
        <f aca="true">IF(F2432="", "", DATEDIF(F2432, TODAY(), "Y"))</f>
        <v/>
      </c>
      <c r="H2432" s="28"/>
      <c r="I2432" s="28"/>
      <c r="J2432" s="24" t="str">
        <f aca="true">IF(ISBLANK(H2432), "", I2432-TODAY())</f>
        <v/>
      </c>
      <c r="K2432" s="24" t="str">
        <f aca="false" t="array" ref="K2432:K2432">IF(A2432&lt;&gt;"",IF(COUNTIF(A$996:A2433,"&lt;&gt;")=0,COUNTA(B$996:B2432),IFERROR(MATCH(TRUE(),INDEX((A$996:A2433&lt;&gt;""),0),0),COUNTA(B$996:B2432))),"")</f>
        <v/>
      </c>
      <c r="L2432" s="27"/>
    </row>
    <row r="2433" customFormat="false" ht="13.8" hidden="false" customHeight="false" outlineLevel="0" collapsed="false">
      <c r="A2433" s="16"/>
      <c r="B2433" s="16"/>
      <c r="C2433" s="26"/>
      <c r="D2433" s="26"/>
      <c r="E2433" s="16"/>
      <c r="F2433" s="18"/>
      <c r="G2433" s="19" t="str">
        <f aca="true">IF(F2433="", "", DATEDIF(F2433, TODAY(), "Y"))</f>
        <v/>
      </c>
      <c r="H2433" s="28"/>
      <c r="I2433" s="28"/>
      <c r="J2433" s="24" t="str">
        <f aca="true">IF(ISBLANK(H2433), "", I2433-TODAY())</f>
        <v/>
      </c>
      <c r="K2433" s="24" t="str">
        <f aca="false" t="array" ref="K2433:K2433">IF(A2433&lt;&gt;"",IF(COUNTIF(A$996:A2434,"&lt;&gt;")=0,COUNTA(B$996:B2433),IFERROR(MATCH(TRUE(),INDEX((A$996:A2434&lt;&gt;""),0),0),COUNTA(B$996:B2433))),"")</f>
        <v/>
      </c>
      <c r="L2433" s="27"/>
    </row>
    <row r="2434" customFormat="false" ht="13.8" hidden="false" customHeight="false" outlineLevel="0" collapsed="false">
      <c r="A2434" s="16"/>
      <c r="B2434" s="16"/>
      <c r="C2434" s="26"/>
      <c r="D2434" s="26"/>
      <c r="E2434" s="16"/>
      <c r="F2434" s="18"/>
      <c r="G2434" s="19" t="str">
        <f aca="true">IF(F2434="", "", DATEDIF(F2434, TODAY(), "Y"))</f>
        <v/>
      </c>
      <c r="H2434" s="28"/>
      <c r="I2434" s="28"/>
      <c r="J2434" s="24" t="str">
        <f aca="true">IF(ISBLANK(H2434), "", I2434-TODAY())</f>
        <v/>
      </c>
      <c r="K2434" s="24" t="str">
        <f aca="false" t="array" ref="K2434:K2434">IF(A2434&lt;&gt;"",IF(COUNTIF(A$996:A2435,"&lt;&gt;")=0,COUNTA(B$996:B2434),IFERROR(MATCH(TRUE(),INDEX((A$996:A2435&lt;&gt;""),0),0),COUNTA(B$996:B2434))),"")</f>
        <v/>
      </c>
      <c r="L2434" s="27"/>
    </row>
    <row r="2435" customFormat="false" ht="13.8" hidden="false" customHeight="false" outlineLevel="0" collapsed="false">
      <c r="A2435" s="16"/>
      <c r="B2435" s="16"/>
      <c r="C2435" s="26"/>
      <c r="D2435" s="26"/>
      <c r="E2435" s="16"/>
      <c r="F2435" s="18"/>
      <c r="G2435" s="19" t="str">
        <f aca="true">IF(F2435="", "", DATEDIF(F2435, TODAY(), "Y"))</f>
        <v/>
      </c>
      <c r="H2435" s="28"/>
      <c r="I2435" s="28"/>
      <c r="J2435" s="24" t="str">
        <f aca="true">IF(ISBLANK(H2435), "", I2435-TODAY())</f>
        <v/>
      </c>
      <c r="K2435" s="24" t="str">
        <f aca="false" t="array" ref="K2435:K2435">IF(A2435&lt;&gt;"",IF(COUNTIF(A$996:A2436,"&lt;&gt;")=0,COUNTA(B$996:B2435),IFERROR(MATCH(TRUE(),INDEX((A$996:A2436&lt;&gt;""),0),0),COUNTA(B$996:B2435))),"")</f>
        <v/>
      </c>
      <c r="L2435" s="27"/>
    </row>
    <row r="2436" customFormat="false" ht="13.8" hidden="false" customHeight="false" outlineLevel="0" collapsed="false">
      <c r="A2436" s="16"/>
      <c r="B2436" s="16"/>
      <c r="C2436" s="26"/>
      <c r="D2436" s="26"/>
      <c r="E2436" s="16"/>
      <c r="F2436" s="18"/>
      <c r="G2436" s="19" t="str">
        <f aca="true">IF(F2436="", "", DATEDIF(F2436, TODAY(), "Y"))</f>
        <v/>
      </c>
      <c r="H2436" s="28"/>
      <c r="I2436" s="28"/>
      <c r="J2436" s="24" t="str">
        <f aca="true">IF(ISBLANK(H2436), "", I2436-TODAY())</f>
        <v/>
      </c>
      <c r="K2436" s="24" t="str">
        <f aca="false" t="array" ref="K2436:K2436">IF(A2436&lt;&gt;"",IF(COUNTIF(A$996:A2437,"&lt;&gt;")=0,COUNTA(B$996:B2436),IFERROR(MATCH(TRUE(),INDEX((A$996:A2437&lt;&gt;""),0),0),COUNTA(B$996:B2436))),"")</f>
        <v/>
      </c>
      <c r="L2436" s="27"/>
    </row>
    <row r="2437" customFormat="false" ht="13.8" hidden="false" customHeight="false" outlineLevel="0" collapsed="false">
      <c r="A2437" s="16"/>
      <c r="B2437" s="16"/>
      <c r="C2437" s="26"/>
      <c r="D2437" s="26"/>
      <c r="E2437" s="16"/>
      <c r="F2437" s="18"/>
      <c r="G2437" s="19" t="str">
        <f aca="true">IF(F2437="", "", DATEDIF(F2437, TODAY(), "Y"))</f>
        <v/>
      </c>
      <c r="H2437" s="28"/>
      <c r="I2437" s="28"/>
      <c r="J2437" s="24" t="str">
        <f aca="true">IF(ISBLANK(H2437), "", I2437-TODAY())</f>
        <v/>
      </c>
      <c r="K2437" s="24" t="str">
        <f aca="false" t="array" ref="K2437:K2437">IF(A2437&lt;&gt;"",IF(COUNTIF(A$996:A2438,"&lt;&gt;")=0,COUNTA(B$996:B2437),IFERROR(MATCH(TRUE(),INDEX((A$996:A2438&lt;&gt;""),0),0),COUNTA(B$996:B2437))),"")</f>
        <v/>
      </c>
      <c r="L2437" s="27"/>
    </row>
    <row r="2438" customFormat="false" ht="13.8" hidden="false" customHeight="false" outlineLevel="0" collapsed="false">
      <c r="A2438" s="16"/>
      <c r="B2438" s="16"/>
      <c r="C2438" s="26"/>
      <c r="D2438" s="26"/>
      <c r="E2438" s="16"/>
      <c r="F2438" s="18"/>
      <c r="G2438" s="19" t="str">
        <f aca="true">IF(F2438="", "", DATEDIF(F2438, TODAY(), "Y"))</f>
        <v/>
      </c>
      <c r="H2438" s="28"/>
      <c r="I2438" s="28"/>
      <c r="J2438" s="24" t="str">
        <f aca="true">IF(ISBLANK(H2438), "", I2438-TODAY())</f>
        <v/>
      </c>
      <c r="K2438" s="24" t="str">
        <f aca="false" t="array" ref="K2438:K2438">IF(A2438&lt;&gt;"",IF(COUNTIF(A$996:A2439,"&lt;&gt;")=0,COUNTA(B$996:B2438),IFERROR(MATCH(TRUE(),INDEX((A$996:A2439&lt;&gt;""),0),0),COUNTA(B$996:B2438))),"")</f>
        <v/>
      </c>
      <c r="L2438" s="27"/>
    </row>
    <row r="2439" customFormat="false" ht="13.8" hidden="false" customHeight="false" outlineLevel="0" collapsed="false">
      <c r="A2439" s="16"/>
      <c r="B2439" s="16"/>
      <c r="C2439" s="26"/>
      <c r="D2439" s="26"/>
      <c r="E2439" s="16"/>
      <c r="F2439" s="18"/>
      <c r="G2439" s="19" t="str">
        <f aca="true">IF(F2439="", "", DATEDIF(F2439, TODAY(), "Y"))</f>
        <v/>
      </c>
      <c r="H2439" s="28"/>
      <c r="I2439" s="28"/>
      <c r="J2439" s="24" t="str">
        <f aca="true">IF(ISBLANK(H2439), "", I2439-TODAY())</f>
        <v/>
      </c>
      <c r="K2439" s="24" t="str">
        <f aca="false" t="array" ref="K2439:K2439">IF(A2439&lt;&gt;"",IF(COUNTIF(A$996:A2440,"&lt;&gt;")=0,COUNTA(B$996:B2439),IFERROR(MATCH(TRUE(),INDEX((A$996:A2440&lt;&gt;""),0),0),COUNTA(B$996:B2439))),"")</f>
        <v/>
      </c>
      <c r="L2439" s="27"/>
    </row>
    <row r="2440" customFormat="false" ht="13.8" hidden="false" customHeight="false" outlineLevel="0" collapsed="false">
      <c r="A2440" s="16"/>
      <c r="B2440" s="16"/>
      <c r="C2440" s="26"/>
      <c r="D2440" s="26"/>
      <c r="E2440" s="16"/>
      <c r="F2440" s="18"/>
      <c r="G2440" s="19" t="str">
        <f aca="true">IF(F2440="", "", DATEDIF(F2440, TODAY(), "Y"))</f>
        <v/>
      </c>
      <c r="H2440" s="28"/>
      <c r="I2440" s="28"/>
      <c r="J2440" s="24" t="str">
        <f aca="true">IF(ISBLANK(H2440), "", I2440-TODAY())</f>
        <v/>
      </c>
      <c r="K2440" s="24" t="str">
        <f aca="false" t="array" ref="K2440:K2440">IF(A2440&lt;&gt;"",IF(COUNTIF(A$996:A2441,"&lt;&gt;")=0,COUNTA(B$996:B2440),IFERROR(MATCH(TRUE(),INDEX((A$996:A2441&lt;&gt;""),0),0),COUNTA(B$996:B2440))),"")</f>
        <v/>
      </c>
      <c r="L2440" s="27"/>
    </row>
    <row r="2441" customFormat="false" ht="13.8" hidden="false" customHeight="false" outlineLevel="0" collapsed="false">
      <c r="A2441" s="16"/>
      <c r="B2441" s="16"/>
      <c r="C2441" s="26"/>
      <c r="D2441" s="26"/>
      <c r="E2441" s="16"/>
      <c r="F2441" s="18"/>
      <c r="G2441" s="19" t="str">
        <f aca="true">IF(F2441="", "", DATEDIF(F2441, TODAY(), "Y"))</f>
        <v/>
      </c>
      <c r="H2441" s="28"/>
      <c r="I2441" s="28"/>
      <c r="J2441" s="24" t="str">
        <f aca="true">IF(ISBLANK(H2441), "", I2441-TODAY())</f>
        <v/>
      </c>
      <c r="K2441" s="24" t="str">
        <f aca="false" t="array" ref="K2441:K2441">IF(A2441&lt;&gt;"",IF(COUNTIF(A$996:A2442,"&lt;&gt;")=0,COUNTA(B$996:B2441),IFERROR(MATCH(TRUE(),INDEX((A$996:A2442&lt;&gt;""),0),0),COUNTA(B$996:B2441))),"")</f>
        <v/>
      </c>
      <c r="L2441" s="27"/>
    </row>
    <row r="2442" customFormat="false" ht="13.8" hidden="false" customHeight="false" outlineLevel="0" collapsed="false">
      <c r="A2442" s="16"/>
      <c r="B2442" s="16"/>
      <c r="C2442" s="26"/>
      <c r="D2442" s="26"/>
      <c r="E2442" s="16"/>
      <c r="F2442" s="18"/>
      <c r="G2442" s="19" t="str">
        <f aca="true">IF(F2442="", "", DATEDIF(F2442, TODAY(), "Y"))</f>
        <v/>
      </c>
      <c r="H2442" s="28"/>
      <c r="I2442" s="28"/>
      <c r="J2442" s="24" t="str">
        <f aca="true">IF(ISBLANK(H2442), "", I2442-TODAY())</f>
        <v/>
      </c>
      <c r="K2442" s="24" t="str">
        <f aca="false" t="array" ref="K2442:K2442">IF(A2442&lt;&gt;"",IF(COUNTIF(A$996:A2443,"&lt;&gt;")=0,COUNTA(B$996:B2442),IFERROR(MATCH(TRUE(),INDEX((A$996:A2443&lt;&gt;""),0),0),COUNTA(B$996:B2442))),"")</f>
        <v/>
      </c>
      <c r="L2442" s="27"/>
    </row>
    <row r="2443" customFormat="false" ht="13.8" hidden="false" customHeight="false" outlineLevel="0" collapsed="false">
      <c r="A2443" s="16"/>
      <c r="B2443" s="16"/>
      <c r="C2443" s="26"/>
      <c r="D2443" s="26"/>
      <c r="E2443" s="16"/>
      <c r="F2443" s="18"/>
      <c r="G2443" s="19" t="str">
        <f aca="true">IF(F2443="", "", DATEDIF(F2443, TODAY(), "Y"))</f>
        <v/>
      </c>
      <c r="H2443" s="28"/>
      <c r="I2443" s="28"/>
      <c r="J2443" s="24" t="str">
        <f aca="true">IF(ISBLANK(H2443), "", I2443-TODAY())</f>
        <v/>
      </c>
      <c r="K2443" s="24" t="str">
        <f aca="false" t="array" ref="K2443:K2443">IF(A2443&lt;&gt;"",IF(COUNTIF(A$996:A2444,"&lt;&gt;")=0,COUNTA(B$996:B2443),IFERROR(MATCH(TRUE(),INDEX((A$996:A2444&lt;&gt;""),0),0),COUNTA(B$996:B2443))),"")</f>
        <v/>
      </c>
      <c r="L2443" s="27"/>
    </row>
    <row r="2444" customFormat="false" ht="13.8" hidden="false" customHeight="false" outlineLevel="0" collapsed="false">
      <c r="A2444" s="16"/>
      <c r="B2444" s="16"/>
      <c r="C2444" s="26"/>
      <c r="D2444" s="26"/>
      <c r="E2444" s="16"/>
      <c r="F2444" s="18"/>
      <c r="G2444" s="19" t="str">
        <f aca="true">IF(F2444="", "", DATEDIF(F2444, TODAY(), "Y"))</f>
        <v/>
      </c>
      <c r="H2444" s="28"/>
      <c r="I2444" s="28"/>
      <c r="J2444" s="24" t="str">
        <f aca="true">IF(ISBLANK(H2444), "", I2444-TODAY())</f>
        <v/>
      </c>
      <c r="K2444" s="24" t="str">
        <f aca="false" t="array" ref="K2444:K2444">IF(A2444&lt;&gt;"",IF(COUNTIF(A$996:A2445,"&lt;&gt;")=0,COUNTA(B$996:B2444),IFERROR(MATCH(TRUE(),INDEX((A$996:A2445&lt;&gt;""),0),0),COUNTA(B$996:B2444))),"")</f>
        <v/>
      </c>
      <c r="L2444" s="27"/>
    </row>
    <row r="2445" customFormat="false" ht="13.8" hidden="false" customHeight="false" outlineLevel="0" collapsed="false">
      <c r="A2445" s="16"/>
      <c r="B2445" s="16"/>
      <c r="C2445" s="26"/>
      <c r="D2445" s="26"/>
      <c r="E2445" s="16"/>
      <c r="F2445" s="18"/>
      <c r="G2445" s="19" t="str">
        <f aca="true">IF(F2445="", "", DATEDIF(F2445, TODAY(), "Y"))</f>
        <v/>
      </c>
      <c r="H2445" s="28"/>
      <c r="I2445" s="28"/>
      <c r="J2445" s="24" t="str">
        <f aca="true">IF(ISBLANK(H2445), "", I2445-TODAY())</f>
        <v/>
      </c>
      <c r="K2445" s="24" t="str">
        <f aca="false" t="array" ref="K2445:K2445">IF(A2445&lt;&gt;"",IF(COUNTIF(A$996:A2446,"&lt;&gt;")=0,COUNTA(B$996:B2445),IFERROR(MATCH(TRUE(),INDEX((A$996:A2446&lt;&gt;""),0),0),COUNTA(B$996:B2445))),"")</f>
        <v/>
      </c>
      <c r="L2445" s="27"/>
    </row>
    <row r="2446" customFormat="false" ht="13.8" hidden="false" customHeight="false" outlineLevel="0" collapsed="false">
      <c r="A2446" s="16"/>
      <c r="B2446" s="16"/>
      <c r="C2446" s="26"/>
      <c r="D2446" s="26"/>
      <c r="E2446" s="16"/>
      <c r="F2446" s="18"/>
      <c r="G2446" s="19" t="str">
        <f aca="true">IF(F2446="", "", DATEDIF(F2446, TODAY(), "Y"))</f>
        <v/>
      </c>
      <c r="H2446" s="28"/>
      <c r="I2446" s="28"/>
      <c r="J2446" s="24" t="str">
        <f aca="true">IF(ISBLANK(H2446), "", I2446-TODAY())</f>
        <v/>
      </c>
      <c r="K2446" s="24" t="str">
        <f aca="false" t="array" ref="K2446:K2446">IF(A2446&lt;&gt;"",IF(COUNTIF(A$996:A2447,"&lt;&gt;")=0,COUNTA(B$996:B2446),IFERROR(MATCH(TRUE(),INDEX((A$996:A2447&lt;&gt;""),0),0),COUNTA(B$996:B2446))),"")</f>
        <v/>
      </c>
      <c r="L2446" s="27"/>
    </row>
    <row r="2447" customFormat="false" ht="13.8" hidden="false" customHeight="false" outlineLevel="0" collapsed="false">
      <c r="A2447" s="16"/>
      <c r="B2447" s="16"/>
      <c r="C2447" s="26"/>
      <c r="D2447" s="26"/>
      <c r="E2447" s="16"/>
      <c r="F2447" s="18"/>
      <c r="G2447" s="19" t="str">
        <f aca="true">IF(F2447="", "", DATEDIF(F2447, TODAY(), "Y"))</f>
        <v/>
      </c>
      <c r="H2447" s="28"/>
      <c r="I2447" s="28"/>
      <c r="J2447" s="24" t="str">
        <f aca="true">IF(ISBLANK(H2447), "", I2447-TODAY())</f>
        <v/>
      </c>
      <c r="K2447" s="24" t="str">
        <f aca="false" t="array" ref="K2447:K2447">IF(A2447&lt;&gt;"",IF(COUNTIF(A$996:A2448,"&lt;&gt;")=0,COUNTA(B$996:B2447),IFERROR(MATCH(TRUE(),INDEX((A$996:A2448&lt;&gt;""),0),0),COUNTA(B$996:B2447))),"")</f>
        <v/>
      </c>
      <c r="L2447" s="27"/>
    </row>
    <row r="2448" customFormat="false" ht="13.8" hidden="false" customHeight="false" outlineLevel="0" collapsed="false">
      <c r="A2448" s="16"/>
      <c r="B2448" s="16"/>
      <c r="C2448" s="26"/>
      <c r="D2448" s="26"/>
      <c r="E2448" s="16"/>
      <c r="F2448" s="18"/>
      <c r="G2448" s="19" t="str">
        <f aca="true">IF(F2448="", "", DATEDIF(F2448, TODAY(), "Y"))</f>
        <v/>
      </c>
      <c r="H2448" s="28"/>
      <c r="I2448" s="28"/>
      <c r="J2448" s="24" t="str">
        <f aca="true">IF(ISBLANK(H2448), "", I2448-TODAY())</f>
        <v/>
      </c>
      <c r="K2448" s="24" t="str">
        <f aca="false" t="array" ref="K2448:K2448">IF(A2448&lt;&gt;"",IF(COUNTIF(A$996:A2449,"&lt;&gt;")=0,COUNTA(B$996:B2448),IFERROR(MATCH(TRUE(),INDEX((A$996:A2449&lt;&gt;""),0),0),COUNTA(B$996:B2448))),"")</f>
        <v/>
      </c>
      <c r="L2448" s="27"/>
    </row>
    <row r="2449" customFormat="false" ht="13.8" hidden="false" customHeight="false" outlineLevel="0" collapsed="false">
      <c r="A2449" s="16"/>
      <c r="B2449" s="16"/>
      <c r="C2449" s="26"/>
      <c r="D2449" s="26"/>
      <c r="E2449" s="16"/>
      <c r="F2449" s="18"/>
      <c r="G2449" s="19" t="str">
        <f aca="true">IF(F2449="", "", DATEDIF(F2449, TODAY(), "Y"))</f>
        <v/>
      </c>
      <c r="H2449" s="28"/>
      <c r="I2449" s="28"/>
      <c r="J2449" s="24" t="str">
        <f aca="true">IF(ISBLANK(H2449), "", I2449-TODAY())</f>
        <v/>
      </c>
      <c r="K2449" s="24" t="str">
        <f aca="false" t="array" ref="K2449:K2449">IF(A2449&lt;&gt;"",IF(COUNTIF(A$996:A2450,"&lt;&gt;")=0,COUNTA(B$996:B2449),IFERROR(MATCH(TRUE(),INDEX((A$996:A2450&lt;&gt;""),0),0),COUNTA(B$996:B2449))),"")</f>
        <v/>
      </c>
      <c r="L2449" s="27"/>
    </row>
    <row r="2450" customFormat="false" ht="13.8" hidden="false" customHeight="false" outlineLevel="0" collapsed="false">
      <c r="A2450" s="16"/>
      <c r="B2450" s="16"/>
      <c r="C2450" s="26"/>
      <c r="D2450" s="26"/>
      <c r="E2450" s="16"/>
      <c r="F2450" s="18"/>
      <c r="G2450" s="19" t="str">
        <f aca="true">IF(F2450="", "", DATEDIF(F2450, TODAY(), "Y"))</f>
        <v/>
      </c>
      <c r="H2450" s="28"/>
      <c r="I2450" s="28"/>
      <c r="J2450" s="24" t="str">
        <f aca="true">IF(ISBLANK(H2450), "", I2450-TODAY())</f>
        <v/>
      </c>
      <c r="K2450" s="24" t="str">
        <f aca="false" t="array" ref="K2450:K2450">IF(A2450&lt;&gt;"",IF(COUNTIF(A$996:A2451,"&lt;&gt;")=0,COUNTA(B$996:B2450),IFERROR(MATCH(TRUE(),INDEX((A$996:A2451&lt;&gt;""),0),0),COUNTA(B$996:B2450))),"")</f>
        <v/>
      </c>
      <c r="L2450" s="27"/>
    </row>
    <row r="2451" customFormat="false" ht="13.8" hidden="false" customHeight="false" outlineLevel="0" collapsed="false">
      <c r="A2451" s="16"/>
      <c r="B2451" s="16"/>
      <c r="C2451" s="26"/>
      <c r="D2451" s="26"/>
      <c r="E2451" s="16"/>
      <c r="F2451" s="18"/>
      <c r="G2451" s="19" t="str">
        <f aca="true">IF(F2451="", "", DATEDIF(F2451, TODAY(), "Y"))</f>
        <v/>
      </c>
      <c r="H2451" s="28"/>
      <c r="I2451" s="28"/>
      <c r="J2451" s="24" t="str">
        <f aca="true">IF(ISBLANK(H2451), "", I2451-TODAY())</f>
        <v/>
      </c>
      <c r="K2451" s="24" t="str">
        <f aca="false" t="array" ref="K2451:K2451">IF(A2451&lt;&gt;"",IF(COUNTIF(A$996:A2452,"&lt;&gt;")=0,COUNTA(B$996:B2451),IFERROR(MATCH(TRUE(),INDEX((A$996:A2452&lt;&gt;""),0),0),COUNTA(B$996:B2451))),"")</f>
        <v/>
      </c>
      <c r="L2451" s="27"/>
    </row>
    <row r="2452" customFormat="false" ht="13.8" hidden="false" customHeight="false" outlineLevel="0" collapsed="false">
      <c r="A2452" s="16"/>
      <c r="B2452" s="16"/>
      <c r="C2452" s="26"/>
      <c r="D2452" s="26"/>
      <c r="E2452" s="16"/>
      <c r="F2452" s="18"/>
      <c r="G2452" s="19" t="str">
        <f aca="true">IF(F2452="", "", DATEDIF(F2452, TODAY(), "Y"))</f>
        <v/>
      </c>
      <c r="H2452" s="28"/>
      <c r="I2452" s="28"/>
      <c r="J2452" s="24" t="str">
        <f aca="true">IF(ISBLANK(H2452), "", I2452-TODAY())</f>
        <v/>
      </c>
      <c r="K2452" s="24" t="str">
        <f aca="false" t="array" ref="K2452:K2452">IF(A2452&lt;&gt;"",IF(COUNTIF(A$996:A2453,"&lt;&gt;")=0,COUNTA(B$996:B2452),IFERROR(MATCH(TRUE(),INDEX((A$996:A2453&lt;&gt;""),0),0),COUNTA(B$996:B2452))),"")</f>
        <v/>
      </c>
      <c r="L2452" s="27"/>
    </row>
    <row r="2453" customFormat="false" ht="13.8" hidden="false" customHeight="false" outlineLevel="0" collapsed="false">
      <c r="A2453" s="16"/>
      <c r="B2453" s="16"/>
      <c r="C2453" s="26"/>
      <c r="D2453" s="26"/>
      <c r="E2453" s="16"/>
      <c r="F2453" s="18"/>
      <c r="G2453" s="19" t="str">
        <f aca="true">IF(F2453="", "", DATEDIF(F2453, TODAY(), "Y"))</f>
        <v/>
      </c>
      <c r="H2453" s="28"/>
      <c r="I2453" s="28"/>
      <c r="J2453" s="24" t="str">
        <f aca="true">IF(ISBLANK(H2453), "", I2453-TODAY())</f>
        <v/>
      </c>
      <c r="K2453" s="24" t="str">
        <f aca="false" t="array" ref="K2453:K2453">IF(A2453&lt;&gt;"",IF(COUNTIF(A$996:A2454,"&lt;&gt;")=0,COUNTA(B$996:B2453),IFERROR(MATCH(TRUE(),INDEX((A$996:A2454&lt;&gt;""),0),0),COUNTA(B$996:B2453))),"")</f>
        <v/>
      </c>
      <c r="L2453" s="27"/>
    </row>
    <row r="2454" customFormat="false" ht="13.8" hidden="false" customHeight="false" outlineLevel="0" collapsed="false">
      <c r="A2454" s="16"/>
      <c r="B2454" s="16"/>
      <c r="C2454" s="26"/>
      <c r="D2454" s="26"/>
      <c r="E2454" s="16"/>
      <c r="F2454" s="18"/>
      <c r="G2454" s="19" t="str">
        <f aca="true">IF(F2454="", "", DATEDIF(F2454, TODAY(), "Y"))</f>
        <v/>
      </c>
      <c r="H2454" s="28"/>
      <c r="I2454" s="28"/>
      <c r="J2454" s="24" t="str">
        <f aca="true">IF(ISBLANK(H2454), "", I2454-TODAY())</f>
        <v/>
      </c>
      <c r="K2454" s="24" t="str">
        <f aca="false" t="array" ref="K2454:K2454">IF(A2454&lt;&gt;"",IF(COUNTIF(A$996:A2455,"&lt;&gt;")=0,COUNTA(B$996:B2454),IFERROR(MATCH(TRUE(),INDEX((A$996:A2455&lt;&gt;""),0),0),COUNTA(B$996:B2454))),"")</f>
        <v/>
      </c>
      <c r="L2454" s="27"/>
    </row>
    <row r="2455" customFormat="false" ht="13.8" hidden="false" customHeight="false" outlineLevel="0" collapsed="false">
      <c r="A2455" s="16"/>
      <c r="B2455" s="16"/>
      <c r="C2455" s="26"/>
      <c r="D2455" s="26"/>
      <c r="E2455" s="16"/>
      <c r="F2455" s="18"/>
      <c r="G2455" s="19" t="str">
        <f aca="true">IF(F2455="", "", DATEDIF(F2455, TODAY(), "Y"))</f>
        <v/>
      </c>
      <c r="H2455" s="28"/>
      <c r="I2455" s="28"/>
      <c r="J2455" s="24" t="str">
        <f aca="true">IF(ISBLANK(H2455), "", I2455-TODAY())</f>
        <v/>
      </c>
      <c r="K2455" s="24" t="str">
        <f aca="false" t="array" ref="K2455:K2455">IF(A2455&lt;&gt;"",IF(COUNTIF(A$996:A2456,"&lt;&gt;")=0,COUNTA(B$996:B2455),IFERROR(MATCH(TRUE(),INDEX((A$996:A2456&lt;&gt;""),0),0),COUNTA(B$996:B2455))),"")</f>
        <v/>
      </c>
      <c r="L2455" s="27"/>
    </row>
    <row r="2456" customFormat="false" ht="13.8" hidden="false" customHeight="false" outlineLevel="0" collapsed="false">
      <c r="A2456" s="16"/>
      <c r="B2456" s="16"/>
      <c r="C2456" s="26"/>
      <c r="D2456" s="26"/>
      <c r="E2456" s="16"/>
      <c r="F2456" s="18"/>
      <c r="G2456" s="19" t="str">
        <f aca="true">IF(F2456="", "", DATEDIF(F2456, TODAY(), "Y"))</f>
        <v/>
      </c>
      <c r="H2456" s="28"/>
      <c r="I2456" s="28"/>
      <c r="J2456" s="24" t="str">
        <f aca="true">IF(ISBLANK(H2456), "", I2456-TODAY())</f>
        <v/>
      </c>
      <c r="K2456" s="24" t="str">
        <f aca="false" t="array" ref="K2456:K2456">IF(A2456&lt;&gt;"",IF(COUNTIF(A$996:A2457,"&lt;&gt;")=0,COUNTA(B$996:B2456),IFERROR(MATCH(TRUE(),INDEX((A$996:A2457&lt;&gt;""),0),0),COUNTA(B$996:B2456))),"")</f>
        <v/>
      </c>
      <c r="L2456" s="27"/>
    </row>
    <row r="2457" customFormat="false" ht="13.8" hidden="false" customHeight="false" outlineLevel="0" collapsed="false">
      <c r="A2457" s="16"/>
      <c r="B2457" s="16"/>
      <c r="C2457" s="26"/>
      <c r="D2457" s="26"/>
      <c r="E2457" s="16"/>
      <c r="F2457" s="18"/>
      <c r="G2457" s="19" t="str">
        <f aca="true">IF(F2457="", "", DATEDIF(F2457, TODAY(), "Y"))</f>
        <v/>
      </c>
      <c r="H2457" s="28"/>
      <c r="I2457" s="28"/>
      <c r="J2457" s="24" t="str">
        <f aca="true">IF(ISBLANK(H2457), "", I2457-TODAY())</f>
        <v/>
      </c>
      <c r="K2457" s="24" t="str">
        <f aca="false" t="array" ref="K2457:K2457">IF(A2457&lt;&gt;"",IF(COUNTIF(A$996:A2458,"&lt;&gt;")=0,COUNTA(B$996:B2457),IFERROR(MATCH(TRUE(),INDEX((A$996:A2458&lt;&gt;""),0),0),COUNTA(B$996:B2457))),"")</f>
        <v/>
      </c>
      <c r="L2457" s="27"/>
    </row>
    <row r="2458" customFormat="false" ht="13.8" hidden="false" customHeight="false" outlineLevel="0" collapsed="false">
      <c r="A2458" s="16"/>
      <c r="B2458" s="16"/>
      <c r="C2458" s="26"/>
      <c r="D2458" s="26"/>
      <c r="E2458" s="16"/>
      <c r="F2458" s="18"/>
      <c r="G2458" s="19" t="str">
        <f aca="true">IF(F2458="", "", DATEDIF(F2458, TODAY(), "Y"))</f>
        <v/>
      </c>
      <c r="H2458" s="28"/>
      <c r="I2458" s="28"/>
      <c r="J2458" s="24" t="str">
        <f aca="true">IF(ISBLANK(H2458), "", I2458-TODAY())</f>
        <v/>
      </c>
      <c r="K2458" s="24" t="str">
        <f aca="false" t="array" ref="K2458:K2458">IF(A2458&lt;&gt;"",IF(COUNTIF(A$996:A2459,"&lt;&gt;")=0,COUNTA(B$996:B2458),IFERROR(MATCH(TRUE(),INDEX((A$996:A2459&lt;&gt;""),0),0),COUNTA(B$996:B2458))),"")</f>
        <v/>
      </c>
      <c r="L2458" s="27"/>
    </row>
    <row r="2459" customFormat="false" ht="13.8" hidden="false" customHeight="false" outlineLevel="0" collapsed="false">
      <c r="A2459" s="16"/>
      <c r="B2459" s="16"/>
      <c r="C2459" s="26"/>
      <c r="D2459" s="26"/>
      <c r="E2459" s="16"/>
      <c r="F2459" s="18"/>
      <c r="G2459" s="19" t="str">
        <f aca="true">IF(F2459="", "", DATEDIF(F2459, TODAY(), "Y"))</f>
        <v/>
      </c>
      <c r="H2459" s="28"/>
      <c r="I2459" s="28"/>
      <c r="J2459" s="24" t="str">
        <f aca="true">IF(ISBLANK(H2459), "", I2459-TODAY())</f>
        <v/>
      </c>
      <c r="K2459" s="24" t="str">
        <f aca="false" t="array" ref="K2459:K2459">IF(A2459&lt;&gt;"",IF(COUNTIF(A$996:A2460,"&lt;&gt;")=0,COUNTA(B$996:B2459),IFERROR(MATCH(TRUE(),INDEX((A$996:A2460&lt;&gt;""),0),0),COUNTA(B$996:B2459))),"")</f>
        <v/>
      </c>
      <c r="L2459" s="27"/>
    </row>
    <row r="2460" customFormat="false" ht="13.8" hidden="false" customHeight="false" outlineLevel="0" collapsed="false">
      <c r="A2460" s="16"/>
      <c r="B2460" s="16"/>
      <c r="C2460" s="26"/>
      <c r="D2460" s="26"/>
      <c r="E2460" s="16"/>
      <c r="F2460" s="18"/>
      <c r="G2460" s="19" t="str">
        <f aca="true">IF(F2460="", "", DATEDIF(F2460, TODAY(), "Y"))</f>
        <v/>
      </c>
      <c r="H2460" s="28"/>
      <c r="I2460" s="28"/>
      <c r="J2460" s="24" t="str">
        <f aca="true">IF(ISBLANK(H2460), "", I2460-TODAY())</f>
        <v/>
      </c>
      <c r="K2460" s="24" t="str">
        <f aca="false" t="array" ref="K2460:K2460">IF(A2460&lt;&gt;"",IF(COUNTIF(A$996:A2461,"&lt;&gt;")=0,COUNTA(B$996:B2460),IFERROR(MATCH(TRUE(),INDEX((A$996:A2461&lt;&gt;""),0),0),COUNTA(B$996:B2460))),"")</f>
        <v/>
      </c>
      <c r="L2460" s="27"/>
    </row>
    <row r="2461" customFormat="false" ht="13.8" hidden="false" customHeight="false" outlineLevel="0" collapsed="false">
      <c r="A2461" s="16"/>
      <c r="B2461" s="16"/>
      <c r="C2461" s="26"/>
      <c r="D2461" s="26"/>
      <c r="E2461" s="16"/>
      <c r="F2461" s="18"/>
      <c r="G2461" s="19" t="str">
        <f aca="true">IF(F2461="", "", DATEDIF(F2461, TODAY(), "Y"))</f>
        <v/>
      </c>
      <c r="H2461" s="28"/>
      <c r="I2461" s="28"/>
      <c r="J2461" s="24" t="str">
        <f aca="true">IF(ISBLANK(H2461), "", I2461-TODAY())</f>
        <v/>
      </c>
      <c r="K2461" s="24" t="str">
        <f aca="false" t="array" ref="K2461:K2461">IF(A2461&lt;&gt;"",IF(COUNTIF(A$996:A2462,"&lt;&gt;")=0,COUNTA(B$996:B2461),IFERROR(MATCH(TRUE(),INDEX((A$996:A2462&lt;&gt;""),0),0),COUNTA(B$996:B2461))),"")</f>
        <v/>
      </c>
      <c r="L2461" s="27"/>
    </row>
    <row r="2462" customFormat="false" ht="13.8" hidden="false" customHeight="false" outlineLevel="0" collapsed="false">
      <c r="A2462" s="16"/>
      <c r="B2462" s="16"/>
      <c r="C2462" s="26"/>
      <c r="D2462" s="26"/>
      <c r="E2462" s="16"/>
      <c r="F2462" s="18"/>
      <c r="G2462" s="19" t="str">
        <f aca="true">IF(F2462="", "", DATEDIF(F2462, TODAY(), "Y"))</f>
        <v/>
      </c>
      <c r="H2462" s="28"/>
      <c r="I2462" s="28"/>
      <c r="J2462" s="24" t="str">
        <f aca="true">IF(ISBLANK(H2462), "", I2462-TODAY())</f>
        <v/>
      </c>
      <c r="K2462" s="24" t="str">
        <f aca="false" t="array" ref="K2462:K2462">IF(A2462&lt;&gt;"",IF(COUNTIF(A$996:A2463,"&lt;&gt;")=0,COUNTA(B$996:B2462),IFERROR(MATCH(TRUE(),INDEX((A$996:A2463&lt;&gt;""),0),0),COUNTA(B$996:B2462))),"")</f>
        <v/>
      </c>
      <c r="L2462" s="27"/>
    </row>
    <row r="2463" customFormat="false" ht="13.8" hidden="false" customHeight="false" outlineLevel="0" collapsed="false">
      <c r="A2463" s="16"/>
      <c r="B2463" s="16"/>
      <c r="C2463" s="26"/>
      <c r="D2463" s="26"/>
      <c r="E2463" s="16"/>
      <c r="F2463" s="18"/>
      <c r="G2463" s="19" t="str">
        <f aca="true">IF(F2463="", "", DATEDIF(F2463, TODAY(), "Y"))</f>
        <v/>
      </c>
      <c r="H2463" s="28"/>
      <c r="I2463" s="28"/>
      <c r="J2463" s="24" t="str">
        <f aca="true">IF(ISBLANK(H2463), "", I2463-TODAY())</f>
        <v/>
      </c>
      <c r="K2463" s="24" t="str">
        <f aca="false" t="array" ref="K2463:K2463">IF(A2463&lt;&gt;"",IF(COUNTIF(A$996:A2464,"&lt;&gt;")=0,COUNTA(B$996:B2463),IFERROR(MATCH(TRUE(),INDEX((A$996:A2464&lt;&gt;""),0),0),COUNTA(B$996:B2463))),"")</f>
        <v/>
      </c>
      <c r="L2463" s="27"/>
    </row>
    <row r="2464" customFormat="false" ht="13.8" hidden="false" customHeight="false" outlineLevel="0" collapsed="false">
      <c r="A2464" s="16"/>
      <c r="B2464" s="16"/>
      <c r="C2464" s="26"/>
      <c r="D2464" s="26"/>
      <c r="E2464" s="16"/>
      <c r="F2464" s="18"/>
      <c r="G2464" s="19" t="str">
        <f aca="true">IF(F2464="", "", DATEDIF(F2464, TODAY(), "Y"))</f>
        <v/>
      </c>
      <c r="H2464" s="28"/>
      <c r="I2464" s="28"/>
      <c r="J2464" s="24" t="str">
        <f aca="true">IF(ISBLANK(H2464), "", I2464-TODAY())</f>
        <v/>
      </c>
      <c r="K2464" s="24" t="str">
        <f aca="false" t="array" ref="K2464:K2464">IF(A2464&lt;&gt;"",IF(COUNTIF(A$996:A2465,"&lt;&gt;")=0,COUNTA(B$996:B2464),IFERROR(MATCH(TRUE(),INDEX((A$996:A2465&lt;&gt;""),0),0),COUNTA(B$996:B2464))),"")</f>
        <v/>
      </c>
      <c r="L2464" s="27"/>
    </row>
    <row r="2465" customFormat="false" ht="13.8" hidden="false" customHeight="false" outlineLevel="0" collapsed="false">
      <c r="A2465" s="16"/>
      <c r="B2465" s="16"/>
      <c r="C2465" s="26"/>
      <c r="D2465" s="26"/>
      <c r="E2465" s="16"/>
      <c r="F2465" s="18"/>
      <c r="G2465" s="19" t="str">
        <f aca="true">IF(F2465="", "", DATEDIF(F2465, TODAY(), "Y"))</f>
        <v/>
      </c>
      <c r="H2465" s="28"/>
      <c r="I2465" s="28"/>
      <c r="J2465" s="24" t="str">
        <f aca="true">IF(ISBLANK(H2465), "", I2465-TODAY())</f>
        <v/>
      </c>
      <c r="K2465" s="24" t="str">
        <f aca="false" t="array" ref="K2465:K2465">IF(A2465&lt;&gt;"",IF(COUNTIF(A$996:A2466,"&lt;&gt;")=0,COUNTA(B$996:B2465),IFERROR(MATCH(TRUE(),INDEX((A$996:A2466&lt;&gt;""),0),0),COUNTA(B$996:B2465))),"")</f>
        <v/>
      </c>
      <c r="L2465" s="27"/>
    </row>
    <row r="2466" customFormat="false" ht="13.8" hidden="false" customHeight="false" outlineLevel="0" collapsed="false">
      <c r="A2466" s="16"/>
      <c r="B2466" s="16"/>
      <c r="C2466" s="26"/>
      <c r="D2466" s="26"/>
      <c r="E2466" s="16"/>
      <c r="F2466" s="18"/>
      <c r="G2466" s="19" t="str">
        <f aca="true">IF(F2466="", "", DATEDIF(F2466, TODAY(), "Y"))</f>
        <v/>
      </c>
      <c r="H2466" s="28"/>
      <c r="I2466" s="28"/>
      <c r="J2466" s="24" t="str">
        <f aca="true">IF(ISBLANK(H2466), "", I2466-TODAY())</f>
        <v/>
      </c>
      <c r="K2466" s="24" t="str">
        <f aca="false" t="array" ref="K2466:K2466">IF(A2466&lt;&gt;"",IF(COUNTIF(A$996:A2467,"&lt;&gt;")=0,COUNTA(B$996:B2466),IFERROR(MATCH(TRUE(),INDEX((A$996:A2467&lt;&gt;""),0),0),COUNTA(B$996:B2466))),"")</f>
        <v/>
      </c>
      <c r="L2466" s="27"/>
    </row>
    <row r="2467" customFormat="false" ht="13.8" hidden="false" customHeight="false" outlineLevel="0" collapsed="false">
      <c r="A2467" s="16"/>
      <c r="B2467" s="16"/>
      <c r="C2467" s="26"/>
      <c r="D2467" s="26"/>
      <c r="E2467" s="16"/>
      <c r="F2467" s="18"/>
      <c r="G2467" s="19" t="str">
        <f aca="true">IF(F2467="", "", DATEDIF(F2467, TODAY(), "Y"))</f>
        <v/>
      </c>
      <c r="H2467" s="28"/>
      <c r="I2467" s="28"/>
      <c r="J2467" s="24" t="str">
        <f aca="true">IF(ISBLANK(H2467), "", I2467-TODAY())</f>
        <v/>
      </c>
      <c r="K2467" s="24" t="str">
        <f aca="false" t="array" ref="K2467:K2467">IF(A2467&lt;&gt;"",IF(COUNTIF(A$996:A2468,"&lt;&gt;")=0,COUNTA(B$996:B2467),IFERROR(MATCH(TRUE(),INDEX((A$996:A2468&lt;&gt;""),0),0),COUNTA(B$996:B2467))),"")</f>
        <v/>
      </c>
      <c r="L2467" s="27"/>
    </row>
    <row r="2468" customFormat="false" ht="13.8" hidden="false" customHeight="false" outlineLevel="0" collapsed="false">
      <c r="A2468" s="16"/>
      <c r="B2468" s="16"/>
      <c r="C2468" s="26"/>
      <c r="D2468" s="26"/>
      <c r="E2468" s="16"/>
      <c r="F2468" s="18"/>
      <c r="G2468" s="19" t="str">
        <f aca="true">IF(F2468="", "", DATEDIF(F2468, TODAY(), "Y"))</f>
        <v/>
      </c>
      <c r="H2468" s="28"/>
      <c r="I2468" s="28"/>
      <c r="J2468" s="24" t="str">
        <f aca="true">IF(ISBLANK(H2468), "", I2468-TODAY())</f>
        <v/>
      </c>
      <c r="K2468" s="24" t="str">
        <f aca="false" t="array" ref="K2468:K2468">IF(A2468&lt;&gt;"",IF(COUNTIF(A$996:A2469,"&lt;&gt;")=0,COUNTA(B$996:B2468),IFERROR(MATCH(TRUE(),INDEX((A$996:A2469&lt;&gt;""),0),0),COUNTA(B$996:B2468))),"")</f>
        <v/>
      </c>
      <c r="L2468" s="27"/>
    </row>
    <row r="2469" customFormat="false" ht="13.8" hidden="false" customHeight="false" outlineLevel="0" collapsed="false">
      <c r="A2469" s="16"/>
      <c r="B2469" s="16"/>
      <c r="C2469" s="26"/>
      <c r="D2469" s="26"/>
      <c r="E2469" s="16"/>
      <c r="F2469" s="18"/>
      <c r="G2469" s="19" t="str">
        <f aca="true">IF(F2469="", "", DATEDIF(F2469, TODAY(), "Y"))</f>
        <v/>
      </c>
      <c r="H2469" s="28"/>
      <c r="I2469" s="28"/>
      <c r="J2469" s="24" t="str">
        <f aca="true">IF(ISBLANK(H2469), "", I2469-TODAY())</f>
        <v/>
      </c>
      <c r="K2469" s="24" t="str">
        <f aca="false" t="array" ref="K2469:K2469">IF(A2469&lt;&gt;"",IF(COUNTIF(A$996:A2470,"&lt;&gt;")=0,COUNTA(B$996:B2469),IFERROR(MATCH(TRUE(),INDEX((A$996:A2470&lt;&gt;""),0),0),COUNTA(B$996:B2469))),"")</f>
        <v/>
      </c>
      <c r="L2469" s="27"/>
    </row>
    <row r="2470" customFormat="false" ht="13.8" hidden="false" customHeight="false" outlineLevel="0" collapsed="false">
      <c r="A2470" s="16"/>
      <c r="B2470" s="16"/>
      <c r="C2470" s="26"/>
      <c r="D2470" s="26"/>
      <c r="E2470" s="16"/>
      <c r="F2470" s="18"/>
      <c r="G2470" s="19" t="str">
        <f aca="true">IF(F2470="", "", DATEDIF(F2470, TODAY(), "Y"))</f>
        <v/>
      </c>
      <c r="H2470" s="28"/>
      <c r="I2470" s="28"/>
      <c r="J2470" s="24" t="str">
        <f aca="true">IF(ISBLANK(H2470), "", I2470-TODAY())</f>
        <v/>
      </c>
      <c r="K2470" s="24" t="str">
        <f aca="false" t="array" ref="K2470:K2470">IF(A2470&lt;&gt;"",IF(COUNTIF(A$996:A2471,"&lt;&gt;")=0,COUNTA(B$996:B2470),IFERROR(MATCH(TRUE(),INDEX((A$996:A2471&lt;&gt;""),0),0),COUNTA(B$996:B2470))),"")</f>
        <v/>
      </c>
      <c r="L2470" s="27"/>
    </row>
    <row r="2471" customFormat="false" ht="13.8" hidden="false" customHeight="false" outlineLevel="0" collapsed="false">
      <c r="A2471" s="16"/>
      <c r="B2471" s="16"/>
      <c r="C2471" s="26"/>
      <c r="D2471" s="26"/>
      <c r="E2471" s="16"/>
      <c r="F2471" s="18"/>
      <c r="G2471" s="19" t="str">
        <f aca="true">IF(F2471="", "", DATEDIF(F2471, TODAY(), "Y"))</f>
        <v/>
      </c>
      <c r="H2471" s="28"/>
      <c r="I2471" s="28"/>
      <c r="J2471" s="24" t="str">
        <f aca="true">IF(ISBLANK(H2471), "", I2471-TODAY())</f>
        <v/>
      </c>
      <c r="K2471" s="24" t="str">
        <f aca="false" t="array" ref="K2471:K2471">IF(A2471&lt;&gt;"",IF(COUNTIF(A$996:A2472,"&lt;&gt;")=0,COUNTA(B$996:B2471),IFERROR(MATCH(TRUE(),INDEX((A$996:A2472&lt;&gt;""),0),0),COUNTA(B$996:B2471))),"")</f>
        <v/>
      </c>
      <c r="L2471" s="27"/>
    </row>
    <row r="2472" customFormat="false" ht="13.8" hidden="false" customHeight="false" outlineLevel="0" collapsed="false">
      <c r="A2472" s="16"/>
      <c r="B2472" s="16"/>
      <c r="C2472" s="26"/>
      <c r="D2472" s="26"/>
      <c r="E2472" s="16"/>
      <c r="F2472" s="18"/>
      <c r="G2472" s="19" t="str">
        <f aca="true">IF(F2472="", "", DATEDIF(F2472, TODAY(), "Y"))</f>
        <v/>
      </c>
      <c r="H2472" s="28"/>
      <c r="I2472" s="28"/>
      <c r="J2472" s="24" t="str">
        <f aca="true">IF(ISBLANK(H2472), "", I2472-TODAY())</f>
        <v/>
      </c>
      <c r="K2472" s="24" t="str">
        <f aca="false" t="array" ref="K2472:K2472">IF(A2472&lt;&gt;"",IF(COUNTIF(A$996:A2473,"&lt;&gt;")=0,COUNTA(B$996:B2472),IFERROR(MATCH(TRUE(),INDEX((A$996:A2473&lt;&gt;""),0),0),COUNTA(B$996:B2472))),"")</f>
        <v/>
      </c>
      <c r="L2472" s="27"/>
    </row>
    <row r="2473" customFormat="false" ht="13.8" hidden="false" customHeight="false" outlineLevel="0" collapsed="false">
      <c r="A2473" s="16"/>
      <c r="B2473" s="16"/>
      <c r="C2473" s="26"/>
      <c r="D2473" s="26"/>
      <c r="E2473" s="16"/>
      <c r="F2473" s="18"/>
      <c r="G2473" s="19" t="str">
        <f aca="true">IF(F2473="", "", DATEDIF(F2473, TODAY(), "Y"))</f>
        <v/>
      </c>
      <c r="H2473" s="28"/>
      <c r="I2473" s="28"/>
      <c r="J2473" s="24" t="str">
        <f aca="true">IF(ISBLANK(H2473), "", I2473-TODAY())</f>
        <v/>
      </c>
      <c r="K2473" s="24" t="str">
        <f aca="false" t="array" ref="K2473:K2473">IF(A2473&lt;&gt;"",IF(COUNTIF(A$996:A2474,"&lt;&gt;")=0,COUNTA(B$996:B2473),IFERROR(MATCH(TRUE(),INDEX((A$996:A2474&lt;&gt;""),0),0),COUNTA(B$996:B2473))),"")</f>
        <v/>
      </c>
      <c r="L2473" s="27"/>
    </row>
    <row r="2474" customFormat="false" ht="13.8" hidden="false" customHeight="false" outlineLevel="0" collapsed="false">
      <c r="A2474" s="16"/>
      <c r="B2474" s="16"/>
      <c r="C2474" s="26"/>
      <c r="D2474" s="26"/>
      <c r="E2474" s="16"/>
      <c r="F2474" s="18"/>
      <c r="G2474" s="19" t="str">
        <f aca="true">IF(F2474="", "", DATEDIF(F2474, TODAY(), "Y"))</f>
        <v/>
      </c>
      <c r="H2474" s="28"/>
      <c r="I2474" s="28"/>
      <c r="J2474" s="24" t="str">
        <f aca="true">IF(ISBLANK(H2474), "", I2474-TODAY())</f>
        <v/>
      </c>
      <c r="K2474" s="24" t="str">
        <f aca="false" t="array" ref="K2474:K2474">IF(A2474&lt;&gt;"",IF(COUNTIF(A$996:A2475,"&lt;&gt;")=0,COUNTA(B$996:B2474),IFERROR(MATCH(TRUE(),INDEX((A$996:A2475&lt;&gt;""),0),0),COUNTA(B$996:B2474))),"")</f>
        <v/>
      </c>
      <c r="L2474" s="27"/>
    </row>
    <row r="2475" customFormat="false" ht="13.8" hidden="false" customHeight="false" outlineLevel="0" collapsed="false">
      <c r="A2475" s="16"/>
      <c r="B2475" s="16"/>
      <c r="C2475" s="26"/>
      <c r="D2475" s="26"/>
      <c r="E2475" s="16"/>
      <c r="F2475" s="18"/>
      <c r="G2475" s="19" t="str">
        <f aca="true">IF(F2475="", "", DATEDIF(F2475, TODAY(), "Y"))</f>
        <v/>
      </c>
      <c r="H2475" s="28"/>
      <c r="I2475" s="28"/>
      <c r="J2475" s="24" t="str">
        <f aca="true">IF(ISBLANK(H2475), "", I2475-TODAY())</f>
        <v/>
      </c>
      <c r="K2475" s="24" t="str">
        <f aca="false" t="array" ref="K2475:K2475">IF(A2475&lt;&gt;"",IF(COUNTIF(A$996:A2476,"&lt;&gt;")=0,COUNTA(B$996:B2475),IFERROR(MATCH(TRUE(),INDEX((A$996:A2476&lt;&gt;""),0),0),COUNTA(B$996:B2475))),"")</f>
        <v/>
      </c>
      <c r="L2475" s="27"/>
    </row>
    <row r="2476" customFormat="false" ht="13.8" hidden="false" customHeight="false" outlineLevel="0" collapsed="false">
      <c r="A2476" s="16"/>
      <c r="B2476" s="16"/>
      <c r="C2476" s="26"/>
      <c r="D2476" s="26"/>
      <c r="E2476" s="16"/>
      <c r="F2476" s="18"/>
      <c r="G2476" s="19" t="str">
        <f aca="true">IF(F2476="", "", DATEDIF(F2476, TODAY(), "Y"))</f>
        <v/>
      </c>
      <c r="H2476" s="28"/>
      <c r="I2476" s="28"/>
      <c r="J2476" s="24" t="str">
        <f aca="true">IF(ISBLANK(H2476), "", I2476-TODAY())</f>
        <v/>
      </c>
      <c r="K2476" s="24" t="str">
        <f aca="false" t="array" ref="K2476:K2476">IF(A2476&lt;&gt;"",IF(COUNTIF(A$996:A2477,"&lt;&gt;")=0,COUNTA(B$996:B2476),IFERROR(MATCH(TRUE(),INDEX((A$996:A2477&lt;&gt;""),0),0),COUNTA(B$996:B2476))),"")</f>
        <v/>
      </c>
      <c r="L2476" s="27"/>
    </row>
    <row r="2477" customFormat="false" ht="13.8" hidden="false" customHeight="false" outlineLevel="0" collapsed="false">
      <c r="A2477" s="16"/>
      <c r="B2477" s="16"/>
      <c r="C2477" s="26"/>
      <c r="D2477" s="26"/>
      <c r="E2477" s="16"/>
      <c r="F2477" s="18"/>
      <c r="G2477" s="19" t="str">
        <f aca="true">IF(F2477="", "", DATEDIF(F2477, TODAY(), "Y"))</f>
        <v/>
      </c>
      <c r="H2477" s="28"/>
      <c r="I2477" s="28"/>
      <c r="J2477" s="24" t="str">
        <f aca="true">IF(ISBLANK(H2477), "", I2477-TODAY())</f>
        <v/>
      </c>
      <c r="K2477" s="24" t="str">
        <f aca="false" t="array" ref="K2477:K2477">IF(A2477&lt;&gt;"",IF(COUNTIF(A$996:A2478,"&lt;&gt;")=0,COUNTA(B$996:B2477),IFERROR(MATCH(TRUE(),INDEX((A$996:A2478&lt;&gt;""),0),0),COUNTA(B$996:B2477))),"")</f>
        <v/>
      </c>
      <c r="L2477" s="27"/>
    </row>
    <row r="2478" customFormat="false" ht="13.8" hidden="false" customHeight="false" outlineLevel="0" collapsed="false">
      <c r="A2478" s="16"/>
      <c r="B2478" s="16"/>
      <c r="C2478" s="26"/>
      <c r="D2478" s="26"/>
      <c r="E2478" s="16"/>
      <c r="F2478" s="18"/>
      <c r="G2478" s="19" t="str">
        <f aca="true">IF(F2478="", "", DATEDIF(F2478, TODAY(), "Y"))</f>
        <v/>
      </c>
      <c r="H2478" s="28"/>
      <c r="I2478" s="28"/>
      <c r="J2478" s="24" t="str">
        <f aca="true">IF(ISBLANK(H2478), "", I2478-TODAY())</f>
        <v/>
      </c>
      <c r="K2478" s="24" t="str">
        <f aca="false" t="array" ref="K2478:K2478">IF(A2478&lt;&gt;"",IF(COUNTIF(A$996:A2479,"&lt;&gt;")=0,COUNTA(B$996:B2478),IFERROR(MATCH(TRUE(),INDEX((A$996:A2479&lt;&gt;""),0),0),COUNTA(B$996:B2478))),"")</f>
        <v/>
      </c>
      <c r="L2478" s="27"/>
    </row>
    <row r="2479" customFormat="false" ht="13.8" hidden="false" customHeight="false" outlineLevel="0" collapsed="false">
      <c r="A2479" s="16"/>
      <c r="B2479" s="16"/>
      <c r="C2479" s="26"/>
      <c r="D2479" s="26"/>
      <c r="E2479" s="16"/>
      <c r="F2479" s="18"/>
      <c r="G2479" s="19" t="str">
        <f aca="true">IF(F2479="", "", DATEDIF(F2479, TODAY(), "Y"))</f>
        <v/>
      </c>
      <c r="H2479" s="28"/>
      <c r="I2479" s="28"/>
      <c r="J2479" s="24" t="str">
        <f aca="true">IF(ISBLANK(H2479), "", I2479-TODAY())</f>
        <v/>
      </c>
      <c r="K2479" s="24" t="str">
        <f aca="false" t="array" ref="K2479:K2479">IF(A2479&lt;&gt;"",IF(COUNTIF(A$996:A2480,"&lt;&gt;")=0,COUNTA(B$996:B2479),IFERROR(MATCH(TRUE(),INDEX((A$996:A2480&lt;&gt;""),0),0),COUNTA(B$996:B2479))),"")</f>
        <v/>
      </c>
      <c r="L2479" s="27"/>
    </row>
    <row r="2480" customFormat="false" ht="13.8" hidden="false" customHeight="false" outlineLevel="0" collapsed="false">
      <c r="A2480" s="16"/>
      <c r="B2480" s="16"/>
      <c r="C2480" s="26"/>
      <c r="D2480" s="26"/>
      <c r="E2480" s="16"/>
      <c r="F2480" s="18"/>
      <c r="G2480" s="19" t="str">
        <f aca="true">IF(F2480="", "", DATEDIF(F2480, TODAY(), "Y"))</f>
        <v/>
      </c>
      <c r="H2480" s="28"/>
      <c r="I2480" s="28"/>
      <c r="J2480" s="24" t="str">
        <f aca="true">IF(ISBLANK(H2480), "", I2480-TODAY())</f>
        <v/>
      </c>
      <c r="K2480" s="24" t="str">
        <f aca="false" t="array" ref="K2480:K2480">IF(A2480&lt;&gt;"",IF(COUNTIF(A$996:A2481,"&lt;&gt;")=0,COUNTA(B$996:B2480),IFERROR(MATCH(TRUE(),INDEX((A$996:A2481&lt;&gt;""),0),0),COUNTA(B$996:B2480))),"")</f>
        <v/>
      </c>
      <c r="L2480" s="27"/>
    </row>
    <row r="2481" customFormat="false" ht="13.8" hidden="false" customHeight="false" outlineLevel="0" collapsed="false">
      <c r="A2481" s="16"/>
      <c r="B2481" s="16"/>
      <c r="C2481" s="26"/>
      <c r="D2481" s="26"/>
      <c r="E2481" s="16"/>
      <c r="F2481" s="18"/>
      <c r="G2481" s="19" t="str">
        <f aca="true">IF(F2481="", "", DATEDIF(F2481, TODAY(), "Y"))</f>
        <v/>
      </c>
      <c r="H2481" s="28"/>
      <c r="I2481" s="28"/>
      <c r="J2481" s="24" t="str">
        <f aca="true">IF(ISBLANK(H2481), "", I2481-TODAY())</f>
        <v/>
      </c>
      <c r="K2481" s="24" t="str">
        <f aca="false" t="array" ref="K2481:K2481">IF(A2481&lt;&gt;"",IF(COUNTIF(A$996:A2482,"&lt;&gt;")=0,COUNTA(B$996:B2481),IFERROR(MATCH(TRUE(),INDEX((A$996:A2482&lt;&gt;""),0),0),COUNTA(B$996:B2481))),"")</f>
        <v/>
      </c>
      <c r="L2481" s="27"/>
    </row>
    <row r="2482" customFormat="false" ht="13.8" hidden="false" customHeight="false" outlineLevel="0" collapsed="false">
      <c r="A2482" s="16"/>
      <c r="B2482" s="16"/>
      <c r="C2482" s="26"/>
      <c r="D2482" s="26"/>
      <c r="E2482" s="16"/>
      <c r="F2482" s="18"/>
      <c r="G2482" s="19" t="str">
        <f aca="true">IF(F2482="", "", DATEDIF(F2482, TODAY(), "Y"))</f>
        <v/>
      </c>
      <c r="H2482" s="28"/>
      <c r="I2482" s="28"/>
      <c r="J2482" s="24" t="str">
        <f aca="true">IF(ISBLANK(H2482), "", I2482-TODAY())</f>
        <v/>
      </c>
      <c r="K2482" s="24" t="str">
        <f aca="false" t="array" ref="K2482:K2482">IF(A2482&lt;&gt;"",IF(COUNTIF(A$996:A2483,"&lt;&gt;")=0,COUNTA(B$996:B2482),IFERROR(MATCH(TRUE(),INDEX((A$996:A2483&lt;&gt;""),0),0),COUNTA(B$996:B2482))),"")</f>
        <v/>
      </c>
      <c r="L2482" s="27"/>
    </row>
    <row r="2483" customFormat="false" ht="13.8" hidden="false" customHeight="false" outlineLevel="0" collapsed="false">
      <c r="A2483" s="16"/>
      <c r="B2483" s="16"/>
      <c r="C2483" s="26"/>
      <c r="D2483" s="26"/>
      <c r="E2483" s="16"/>
      <c r="F2483" s="18"/>
      <c r="G2483" s="19" t="str">
        <f aca="true">IF(F2483="", "", DATEDIF(F2483, TODAY(), "Y"))</f>
        <v/>
      </c>
      <c r="H2483" s="28"/>
      <c r="I2483" s="28"/>
      <c r="J2483" s="24" t="str">
        <f aca="true">IF(ISBLANK(H2483), "", I2483-TODAY())</f>
        <v/>
      </c>
      <c r="K2483" s="24" t="str">
        <f aca="false" t="array" ref="K2483:K2483">IF(A2483&lt;&gt;"",IF(COUNTIF(A$996:A2484,"&lt;&gt;")=0,COUNTA(B$996:B2483),IFERROR(MATCH(TRUE(),INDEX((A$996:A2484&lt;&gt;""),0),0),COUNTA(B$996:B2483))),"")</f>
        <v/>
      </c>
      <c r="L2483" s="27"/>
    </row>
    <row r="2484" customFormat="false" ht="13.8" hidden="false" customHeight="false" outlineLevel="0" collapsed="false">
      <c r="A2484" s="16"/>
      <c r="B2484" s="16"/>
      <c r="C2484" s="26"/>
      <c r="D2484" s="26"/>
      <c r="E2484" s="16"/>
      <c r="F2484" s="18"/>
      <c r="G2484" s="19" t="str">
        <f aca="true">IF(F2484="", "", DATEDIF(F2484, TODAY(), "Y"))</f>
        <v/>
      </c>
      <c r="H2484" s="28"/>
      <c r="I2484" s="28"/>
      <c r="J2484" s="24" t="str">
        <f aca="true">IF(ISBLANK(H2484), "", I2484-TODAY())</f>
        <v/>
      </c>
      <c r="K2484" s="24" t="str">
        <f aca="false" t="array" ref="K2484:K2484">IF(A2484&lt;&gt;"",IF(COUNTIF(A$996:A2485,"&lt;&gt;")=0,COUNTA(B$996:B2484),IFERROR(MATCH(TRUE(),INDEX((A$996:A2485&lt;&gt;""),0),0),COUNTA(B$996:B2484))),"")</f>
        <v/>
      </c>
      <c r="L2484" s="27"/>
    </row>
    <row r="2485" customFormat="false" ht="13.8" hidden="false" customHeight="false" outlineLevel="0" collapsed="false">
      <c r="A2485" s="16"/>
      <c r="B2485" s="16"/>
      <c r="C2485" s="26"/>
      <c r="D2485" s="26"/>
      <c r="E2485" s="16"/>
      <c r="F2485" s="18"/>
      <c r="G2485" s="19" t="str">
        <f aca="true">IF(F2485="", "", DATEDIF(F2485, TODAY(), "Y"))</f>
        <v/>
      </c>
      <c r="H2485" s="28"/>
      <c r="I2485" s="28"/>
      <c r="J2485" s="24" t="str">
        <f aca="true">IF(ISBLANK(H2485), "", I2485-TODAY())</f>
        <v/>
      </c>
      <c r="K2485" s="24" t="str">
        <f aca="false" t="array" ref="K2485:K2485">IF(A2485&lt;&gt;"",IF(COUNTIF(A$996:A2486,"&lt;&gt;")=0,COUNTA(B$996:B2485),IFERROR(MATCH(TRUE(),INDEX((A$996:A2486&lt;&gt;""),0),0),COUNTA(B$996:B2485))),"")</f>
        <v/>
      </c>
      <c r="L2485" s="27"/>
    </row>
    <row r="2486" customFormat="false" ht="13.8" hidden="false" customHeight="false" outlineLevel="0" collapsed="false">
      <c r="A2486" s="16"/>
      <c r="B2486" s="16"/>
      <c r="C2486" s="26"/>
      <c r="D2486" s="26"/>
      <c r="E2486" s="16"/>
      <c r="F2486" s="18"/>
      <c r="G2486" s="19" t="str">
        <f aca="true">IF(F2486="", "", DATEDIF(F2486, TODAY(), "Y"))</f>
        <v/>
      </c>
      <c r="H2486" s="28"/>
      <c r="I2486" s="28"/>
      <c r="J2486" s="24" t="str">
        <f aca="true">IF(ISBLANK(H2486), "", I2486-TODAY())</f>
        <v/>
      </c>
      <c r="K2486" s="24" t="str">
        <f aca="false" t="array" ref="K2486:K2486">IF(A2486&lt;&gt;"",IF(COUNTIF(A$996:A2487,"&lt;&gt;")=0,COUNTA(B$996:B2486),IFERROR(MATCH(TRUE(),INDEX((A$996:A2487&lt;&gt;""),0),0),COUNTA(B$996:B2486))),"")</f>
        <v/>
      </c>
      <c r="L2486" s="27"/>
    </row>
    <row r="2487" customFormat="false" ht="13.8" hidden="false" customHeight="false" outlineLevel="0" collapsed="false">
      <c r="A2487" s="16"/>
      <c r="B2487" s="16"/>
      <c r="C2487" s="26"/>
      <c r="D2487" s="26"/>
      <c r="E2487" s="16"/>
      <c r="F2487" s="18"/>
      <c r="G2487" s="19" t="str">
        <f aca="true">IF(F2487="", "", DATEDIF(F2487, TODAY(), "Y"))</f>
        <v/>
      </c>
      <c r="H2487" s="28"/>
      <c r="I2487" s="28"/>
      <c r="J2487" s="24" t="str">
        <f aca="true">IF(ISBLANK(H2487), "", I2487-TODAY())</f>
        <v/>
      </c>
      <c r="K2487" s="24" t="str">
        <f aca="false" t="array" ref="K2487:K2487">IF(A2487&lt;&gt;"",IF(COUNTIF(A$996:A2488,"&lt;&gt;")=0,COUNTA(B$996:B2487),IFERROR(MATCH(TRUE(),INDEX((A$996:A2488&lt;&gt;""),0),0),COUNTA(B$996:B2487))),"")</f>
        <v/>
      </c>
      <c r="L2487" s="27"/>
    </row>
    <row r="2488" customFormat="false" ht="13.8" hidden="false" customHeight="false" outlineLevel="0" collapsed="false">
      <c r="A2488" s="16"/>
      <c r="B2488" s="16"/>
      <c r="C2488" s="26"/>
      <c r="D2488" s="26"/>
      <c r="E2488" s="16"/>
      <c r="F2488" s="18"/>
      <c r="G2488" s="19" t="str">
        <f aca="true">IF(F2488="", "", DATEDIF(F2488, TODAY(), "Y"))</f>
        <v/>
      </c>
      <c r="H2488" s="28"/>
      <c r="I2488" s="28"/>
      <c r="J2488" s="24" t="str">
        <f aca="true">IF(ISBLANK(H2488), "", I2488-TODAY())</f>
        <v/>
      </c>
      <c r="K2488" s="24" t="str">
        <f aca="false" t="array" ref="K2488:K2488">IF(A2488&lt;&gt;"",IF(COUNTIF(A$996:A2489,"&lt;&gt;")=0,COUNTA(B$996:B2488),IFERROR(MATCH(TRUE(),INDEX((A$996:A2489&lt;&gt;""),0),0),COUNTA(B$996:B2488))),"")</f>
        <v/>
      </c>
      <c r="L2488" s="27"/>
    </row>
    <row r="2489" customFormat="false" ht="13.8" hidden="false" customHeight="false" outlineLevel="0" collapsed="false">
      <c r="A2489" s="16"/>
      <c r="B2489" s="16"/>
      <c r="C2489" s="26"/>
      <c r="D2489" s="26"/>
      <c r="E2489" s="16"/>
      <c r="F2489" s="18"/>
      <c r="G2489" s="19" t="str">
        <f aca="true">IF(F2489="", "", DATEDIF(F2489, TODAY(), "Y"))</f>
        <v/>
      </c>
      <c r="H2489" s="28"/>
      <c r="I2489" s="28"/>
      <c r="J2489" s="24" t="str">
        <f aca="true">IF(ISBLANK(H2489), "", I2489-TODAY())</f>
        <v/>
      </c>
      <c r="K2489" s="24" t="str">
        <f aca="false" t="array" ref="K2489:K2489">IF(A2489&lt;&gt;"",IF(COUNTIF(A$996:A2490,"&lt;&gt;")=0,COUNTA(B$996:B2489),IFERROR(MATCH(TRUE(),INDEX((A$996:A2490&lt;&gt;""),0),0),COUNTA(B$996:B2489))),"")</f>
        <v/>
      </c>
      <c r="L2489" s="27"/>
    </row>
    <row r="2490" customFormat="false" ht="13.8" hidden="false" customHeight="false" outlineLevel="0" collapsed="false">
      <c r="A2490" s="16"/>
      <c r="B2490" s="16"/>
      <c r="C2490" s="26"/>
      <c r="D2490" s="26"/>
      <c r="E2490" s="16"/>
      <c r="F2490" s="18"/>
      <c r="G2490" s="19" t="str">
        <f aca="true">IF(F2490="", "", DATEDIF(F2490, TODAY(), "Y"))</f>
        <v/>
      </c>
      <c r="H2490" s="28"/>
      <c r="I2490" s="28"/>
      <c r="J2490" s="24" t="str">
        <f aca="true">IF(ISBLANK(H2490), "", I2490-TODAY())</f>
        <v/>
      </c>
      <c r="K2490" s="24" t="str">
        <f aca="false" t="array" ref="K2490:K2490">IF(A2490&lt;&gt;"",IF(COUNTIF(A$996:A2491,"&lt;&gt;")=0,COUNTA(B$996:B2490),IFERROR(MATCH(TRUE(),INDEX((A$996:A2491&lt;&gt;""),0),0),COUNTA(B$996:B2490))),"")</f>
        <v/>
      </c>
      <c r="L2490" s="27"/>
    </row>
    <row r="2491" customFormat="false" ht="13.8" hidden="false" customHeight="false" outlineLevel="0" collapsed="false">
      <c r="A2491" s="16"/>
      <c r="B2491" s="16"/>
      <c r="C2491" s="26"/>
      <c r="D2491" s="26"/>
      <c r="E2491" s="16"/>
      <c r="F2491" s="18"/>
      <c r="G2491" s="19" t="str">
        <f aca="true">IF(F2491="", "", DATEDIF(F2491, TODAY(), "Y"))</f>
        <v/>
      </c>
      <c r="H2491" s="28"/>
      <c r="I2491" s="28"/>
      <c r="J2491" s="24" t="str">
        <f aca="true">IF(ISBLANK(H2491), "", I2491-TODAY())</f>
        <v/>
      </c>
      <c r="K2491" s="24" t="str">
        <f aca="false" t="array" ref="K2491:K2491">IF(A2491&lt;&gt;"",IF(COUNTIF(A$996:A2492,"&lt;&gt;")=0,COUNTA(B$996:B2491),IFERROR(MATCH(TRUE(),INDEX((A$996:A2492&lt;&gt;""),0),0),COUNTA(B$996:B2491))),"")</f>
        <v/>
      </c>
      <c r="L2491" s="27"/>
    </row>
    <row r="2492" customFormat="false" ht="13.8" hidden="false" customHeight="false" outlineLevel="0" collapsed="false">
      <c r="A2492" s="16"/>
      <c r="B2492" s="16"/>
      <c r="C2492" s="26"/>
      <c r="D2492" s="26"/>
      <c r="E2492" s="16"/>
      <c r="F2492" s="18"/>
      <c r="G2492" s="19" t="str">
        <f aca="true">IF(F2492="", "", DATEDIF(F2492, TODAY(), "Y"))</f>
        <v/>
      </c>
      <c r="H2492" s="28"/>
      <c r="I2492" s="28"/>
      <c r="J2492" s="24" t="str">
        <f aca="true">IF(ISBLANK(H2492), "", I2492-TODAY())</f>
        <v/>
      </c>
      <c r="K2492" s="24" t="str">
        <f aca="false" t="array" ref="K2492:K2492">IF(A2492&lt;&gt;"",IF(COUNTIF(A$996:A2493,"&lt;&gt;")=0,COUNTA(B$996:B2492),IFERROR(MATCH(TRUE(),INDEX((A$996:A2493&lt;&gt;""),0),0),COUNTA(B$996:B2492))),"")</f>
        <v/>
      </c>
      <c r="L2492" s="27"/>
    </row>
    <row r="2493" customFormat="false" ht="13.8" hidden="false" customHeight="false" outlineLevel="0" collapsed="false">
      <c r="A2493" s="16"/>
      <c r="B2493" s="16"/>
      <c r="C2493" s="26"/>
      <c r="D2493" s="26"/>
      <c r="E2493" s="16"/>
      <c r="F2493" s="18"/>
      <c r="G2493" s="19" t="str">
        <f aca="true">IF(F2493="", "", DATEDIF(F2493, TODAY(), "Y"))</f>
        <v/>
      </c>
      <c r="H2493" s="28"/>
      <c r="I2493" s="28"/>
      <c r="J2493" s="24" t="str">
        <f aca="true">IF(ISBLANK(H2493), "", I2493-TODAY())</f>
        <v/>
      </c>
      <c r="K2493" s="24" t="str">
        <f aca="false" t="array" ref="K2493:K2493">IF(A2493&lt;&gt;"",IF(COUNTIF(A$996:A2494,"&lt;&gt;")=0,COUNTA(B$996:B2493),IFERROR(MATCH(TRUE(),INDEX((A$996:A2494&lt;&gt;""),0),0),COUNTA(B$996:B2493))),"")</f>
        <v/>
      </c>
      <c r="L2493" s="27"/>
    </row>
    <row r="2494" customFormat="false" ht="13.8" hidden="false" customHeight="false" outlineLevel="0" collapsed="false">
      <c r="A2494" s="16"/>
      <c r="B2494" s="16"/>
      <c r="C2494" s="26"/>
      <c r="D2494" s="26"/>
      <c r="E2494" s="16"/>
      <c r="F2494" s="18"/>
      <c r="G2494" s="19" t="str">
        <f aca="true">IF(F2494="", "", DATEDIF(F2494, TODAY(), "Y"))</f>
        <v/>
      </c>
      <c r="H2494" s="28"/>
      <c r="I2494" s="28"/>
      <c r="J2494" s="24" t="str">
        <f aca="true">IF(ISBLANK(H2494), "", I2494-TODAY())</f>
        <v/>
      </c>
      <c r="K2494" s="24" t="str">
        <f aca="false" t="array" ref="K2494:K2494">IF(A2494&lt;&gt;"",IF(COUNTIF(A$996:A2495,"&lt;&gt;")=0,COUNTA(B$996:B2494),IFERROR(MATCH(TRUE(),INDEX((A$996:A2495&lt;&gt;""),0),0),COUNTA(B$996:B2494))),"")</f>
        <v/>
      </c>
      <c r="L2494" s="27"/>
    </row>
    <row r="2495" customFormat="false" ht="13.8" hidden="false" customHeight="false" outlineLevel="0" collapsed="false">
      <c r="A2495" s="16"/>
      <c r="B2495" s="16"/>
      <c r="C2495" s="26"/>
      <c r="D2495" s="26"/>
      <c r="E2495" s="16"/>
      <c r="F2495" s="18"/>
      <c r="G2495" s="19" t="str">
        <f aca="true">IF(F2495="", "", DATEDIF(F2495, TODAY(), "Y"))</f>
        <v/>
      </c>
      <c r="H2495" s="28"/>
      <c r="I2495" s="28"/>
      <c r="J2495" s="24" t="str">
        <f aca="true">IF(ISBLANK(H2495), "", I2495-TODAY())</f>
        <v/>
      </c>
      <c r="K2495" s="24" t="str">
        <f aca="false" t="array" ref="K2495:K2495">IF(A2495&lt;&gt;"",IF(COUNTIF(A$996:A2496,"&lt;&gt;")=0,COUNTA(B$996:B2495),IFERROR(MATCH(TRUE(),INDEX((A$996:A2496&lt;&gt;""),0),0),COUNTA(B$996:B2495))),"")</f>
        <v/>
      </c>
      <c r="L2495" s="27"/>
    </row>
    <row r="2496" customFormat="false" ht="13.8" hidden="false" customHeight="false" outlineLevel="0" collapsed="false">
      <c r="A2496" s="16"/>
      <c r="B2496" s="16"/>
      <c r="C2496" s="26"/>
      <c r="D2496" s="26"/>
      <c r="E2496" s="16"/>
      <c r="F2496" s="18"/>
      <c r="G2496" s="19" t="str">
        <f aca="true">IF(F2496="", "", DATEDIF(F2496, TODAY(), "Y"))</f>
        <v/>
      </c>
      <c r="H2496" s="28"/>
      <c r="I2496" s="28"/>
      <c r="J2496" s="24" t="str">
        <f aca="true">IF(ISBLANK(H2496), "", I2496-TODAY())</f>
        <v/>
      </c>
      <c r="K2496" s="24" t="str">
        <f aca="false" t="array" ref="K2496:K2496">IF(A2496&lt;&gt;"",IF(COUNTIF(A$996:A2497,"&lt;&gt;")=0,COUNTA(B$996:B2496),IFERROR(MATCH(TRUE(),INDEX((A$996:A2497&lt;&gt;""),0),0),COUNTA(B$996:B2496))),"")</f>
        <v/>
      </c>
      <c r="L2496" s="27"/>
    </row>
    <row r="2497" customFormat="false" ht="13.8" hidden="false" customHeight="false" outlineLevel="0" collapsed="false">
      <c r="A2497" s="16"/>
      <c r="B2497" s="16"/>
      <c r="C2497" s="26"/>
      <c r="D2497" s="26"/>
      <c r="E2497" s="16"/>
      <c r="F2497" s="18"/>
      <c r="G2497" s="19" t="str">
        <f aca="true">IF(F2497="", "", DATEDIF(F2497, TODAY(), "Y"))</f>
        <v/>
      </c>
      <c r="H2497" s="28"/>
      <c r="I2497" s="28"/>
      <c r="J2497" s="24" t="str">
        <f aca="true">IF(ISBLANK(H2497), "", I2497-TODAY())</f>
        <v/>
      </c>
      <c r="K2497" s="24" t="str">
        <f aca="false" t="array" ref="K2497:K2497">IF(A2497&lt;&gt;"",IF(COUNTIF(A$996:A2498,"&lt;&gt;")=0,COUNTA(B$996:B2497),IFERROR(MATCH(TRUE(),INDEX((A$996:A2498&lt;&gt;""),0),0),COUNTA(B$996:B2497))),"")</f>
        <v/>
      </c>
      <c r="L2497" s="27"/>
    </row>
    <row r="2498" customFormat="false" ht="13.8" hidden="false" customHeight="false" outlineLevel="0" collapsed="false">
      <c r="A2498" s="16"/>
      <c r="B2498" s="16"/>
      <c r="C2498" s="26"/>
      <c r="D2498" s="26"/>
      <c r="E2498" s="16"/>
      <c r="F2498" s="18"/>
      <c r="G2498" s="19" t="str">
        <f aca="true">IF(F2498="", "", DATEDIF(F2498, TODAY(), "Y"))</f>
        <v/>
      </c>
      <c r="H2498" s="28"/>
      <c r="I2498" s="28"/>
      <c r="J2498" s="24" t="str">
        <f aca="true">IF(ISBLANK(H2498), "", I2498-TODAY())</f>
        <v/>
      </c>
      <c r="K2498" s="24" t="str">
        <f aca="false" t="array" ref="K2498:K2498">IF(A2498&lt;&gt;"",IF(COUNTIF(A$996:A2499,"&lt;&gt;")=0,COUNTA(B$996:B2498),IFERROR(MATCH(TRUE(),INDEX((A$996:A2499&lt;&gt;""),0),0),COUNTA(B$996:B2498))),"")</f>
        <v/>
      </c>
      <c r="L2498" s="27"/>
    </row>
    <row r="2499" customFormat="false" ht="13.8" hidden="false" customHeight="false" outlineLevel="0" collapsed="false">
      <c r="A2499" s="16"/>
      <c r="B2499" s="16"/>
      <c r="C2499" s="26"/>
      <c r="D2499" s="26"/>
      <c r="E2499" s="16"/>
      <c r="F2499" s="18"/>
      <c r="G2499" s="19" t="str">
        <f aca="true">IF(F2499="", "", DATEDIF(F2499, TODAY(), "Y"))</f>
        <v/>
      </c>
      <c r="H2499" s="28"/>
      <c r="I2499" s="28"/>
      <c r="J2499" s="24" t="str">
        <f aca="true">IF(ISBLANK(H2499), "", I2499-TODAY())</f>
        <v/>
      </c>
      <c r="K2499" s="24" t="str">
        <f aca="false" t="array" ref="K2499:K2499">IF(A2499&lt;&gt;"",IF(COUNTIF(A$996:A2500,"&lt;&gt;")=0,COUNTA(B$996:B2499),IFERROR(MATCH(TRUE(),INDEX((A$996:A2500&lt;&gt;""),0),0),COUNTA(B$996:B2499))),"")</f>
        <v/>
      </c>
      <c r="L2499" s="27"/>
    </row>
    <row r="2500" customFormat="false" ht="13.8" hidden="false" customHeight="false" outlineLevel="0" collapsed="false">
      <c r="A2500" s="16"/>
      <c r="B2500" s="16"/>
      <c r="C2500" s="26"/>
      <c r="D2500" s="26"/>
      <c r="E2500" s="16"/>
      <c r="F2500" s="18"/>
      <c r="G2500" s="19" t="str">
        <f aca="true">IF(F2500="", "", DATEDIF(F2500, TODAY(), "Y"))</f>
        <v/>
      </c>
      <c r="H2500" s="28"/>
      <c r="I2500" s="28"/>
      <c r="J2500" s="24" t="str">
        <f aca="true">IF(ISBLANK(H2500), "", I2500-TODAY())</f>
        <v/>
      </c>
      <c r="K2500" s="24" t="str">
        <f aca="false" t="array" ref="K2500:K2500">IF(A2500&lt;&gt;"",IF(COUNTIF(A$996:A2501,"&lt;&gt;")=0,COUNTA(B$996:B2500),IFERROR(MATCH(TRUE(),INDEX((A$996:A2501&lt;&gt;""),0),0),COUNTA(B$996:B2500))),"")</f>
        <v/>
      </c>
      <c r="L2500" s="27"/>
    </row>
    <row r="2501" customFormat="false" ht="13.8" hidden="false" customHeight="false" outlineLevel="0" collapsed="false">
      <c r="A2501" s="16"/>
      <c r="B2501" s="16"/>
      <c r="C2501" s="26"/>
      <c r="D2501" s="26"/>
      <c r="E2501" s="16"/>
      <c r="F2501" s="18"/>
      <c r="G2501" s="19" t="str">
        <f aca="true">IF(F2501="", "", DATEDIF(F2501, TODAY(), "Y"))</f>
        <v/>
      </c>
      <c r="H2501" s="28"/>
      <c r="I2501" s="28"/>
      <c r="J2501" s="24" t="str">
        <f aca="true">IF(ISBLANK(H2501), "", I2501-TODAY())</f>
        <v/>
      </c>
      <c r="K2501" s="24" t="str">
        <f aca="false" t="array" ref="K2501:K2501">IF(A2501&lt;&gt;"",IF(COUNTIF(A$996:A2502,"&lt;&gt;")=0,COUNTA(B$996:B2501),IFERROR(MATCH(TRUE(),INDEX((A$996:A2502&lt;&gt;""),0),0),COUNTA(B$996:B2501))),"")</f>
        <v/>
      </c>
      <c r="L2501" s="27"/>
    </row>
    <row r="2502" customFormat="false" ht="13.8" hidden="false" customHeight="false" outlineLevel="0" collapsed="false">
      <c r="A2502" s="16"/>
      <c r="B2502" s="16"/>
      <c r="C2502" s="26"/>
      <c r="D2502" s="26"/>
      <c r="E2502" s="16"/>
      <c r="F2502" s="18"/>
      <c r="G2502" s="19" t="str">
        <f aca="true">IF(F2502="", "", DATEDIF(F2502, TODAY(), "Y"))</f>
        <v/>
      </c>
      <c r="H2502" s="28"/>
      <c r="I2502" s="28"/>
      <c r="J2502" s="24" t="str">
        <f aca="true">IF(ISBLANK(H2502), "", I2502-TODAY())</f>
        <v/>
      </c>
      <c r="K2502" s="24" t="str">
        <f aca="false" t="array" ref="K2502:K2502">IF(A2502&lt;&gt;"",IF(COUNTIF(A$996:A2503,"&lt;&gt;")=0,COUNTA(B$996:B2502),IFERROR(MATCH(TRUE(),INDEX((A$996:A2503&lt;&gt;""),0),0),COUNTA(B$996:B2502))),"")</f>
        <v/>
      </c>
      <c r="L2502" s="27"/>
    </row>
    <row r="2503" customFormat="false" ht="13.8" hidden="false" customHeight="false" outlineLevel="0" collapsed="false">
      <c r="A2503" s="16"/>
      <c r="B2503" s="16"/>
      <c r="C2503" s="26"/>
      <c r="D2503" s="26"/>
      <c r="E2503" s="16"/>
      <c r="F2503" s="18"/>
      <c r="G2503" s="19" t="str">
        <f aca="true">IF(F2503="", "", DATEDIF(F2503, TODAY(), "Y"))</f>
        <v/>
      </c>
      <c r="H2503" s="28"/>
      <c r="I2503" s="28"/>
      <c r="J2503" s="24" t="str">
        <f aca="true">IF(ISBLANK(H2503), "", I2503-TODAY())</f>
        <v/>
      </c>
      <c r="K2503" s="24" t="str">
        <f aca="false" t="array" ref="K2503:K2503">IF(A2503&lt;&gt;"",IF(COUNTIF(A$996:A2504,"&lt;&gt;")=0,COUNTA(B$996:B2503),IFERROR(MATCH(TRUE(),INDEX((A$996:A2504&lt;&gt;""),0),0),COUNTA(B$996:B2503))),"")</f>
        <v/>
      </c>
      <c r="L2503" s="27"/>
    </row>
    <row r="2504" customFormat="false" ht="13.8" hidden="false" customHeight="false" outlineLevel="0" collapsed="false">
      <c r="A2504" s="16"/>
      <c r="B2504" s="16"/>
      <c r="C2504" s="26"/>
      <c r="D2504" s="26"/>
      <c r="E2504" s="16"/>
      <c r="F2504" s="18"/>
      <c r="G2504" s="19" t="str">
        <f aca="true">IF(F2504="", "", DATEDIF(F2504, TODAY(), "Y"))</f>
        <v/>
      </c>
      <c r="H2504" s="28"/>
      <c r="I2504" s="28"/>
      <c r="J2504" s="24" t="str">
        <f aca="true">IF(ISBLANK(H2504), "", I2504-TODAY())</f>
        <v/>
      </c>
      <c r="K2504" s="24" t="str">
        <f aca="false" t="array" ref="K2504:K2504">IF(A2504&lt;&gt;"",IF(COUNTIF(A$996:A2505,"&lt;&gt;")=0,COUNTA(B$996:B2504),IFERROR(MATCH(TRUE(),INDEX((A$996:A2505&lt;&gt;""),0),0),COUNTA(B$996:B2504))),"")</f>
        <v/>
      </c>
      <c r="L2504" s="27"/>
    </row>
    <row r="2505" customFormat="false" ht="13.8" hidden="false" customHeight="false" outlineLevel="0" collapsed="false">
      <c r="A2505" s="16"/>
      <c r="B2505" s="16"/>
      <c r="C2505" s="26"/>
      <c r="D2505" s="26"/>
      <c r="E2505" s="16"/>
      <c r="F2505" s="18"/>
      <c r="G2505" s="19" t="str">
        <f aca="true">IF(F2505="", "", DATEDIF(F2505, TODAY(), "Y"))</f>
        <v/>
      </c>
      <c r="H2505" s="28"/>
      <c r="I2505" s="28"/>
      <c r="J2505" s="24" t="str">
        <f aca="true">IF(ISBLANK(H2505), "", I2505-TODAY())</f>
        <v/>
      </c>
      <c r="K2505" s="24" t="str">
        <f aca="false" t="array" ref="K2505:K2505">IF(A2505&lt;&gt;"",IF(COUNTIF(A$996:A2506,"&lt;&gt;")=0,COUNTA(B$996:B2505),IFERROR(MATCH(TRUE(),INDEX((A$996:A2506&lt;&gt;""),0),0),COUNTA(B$996:B2505))),"")</f>
        <v/>
      </c>
      <c r="L2505" s="27"/>
    </row>
    <row r="2506" customFormat="false" ht="13.8" hidden="false" customHeight="false" outlineLevel="0" collapsed="false">
      <c r="A2506" s="16"/>
      <c r="B2506" s="16"/>
      <c r="C2506" s="26"/>
      <c r="D2506" s="26"/>
      <c r="E2506" s="16"/>
      <c r="F2506" s="18"/>
      <c r="G2506" s="19" t="str">
        <f aca="true">IF(F2506="", "", DATEDIF(F2506, TODAY(), "Y"))</f>
        <v/>
      </c>
      <c r="H2506" s="28"/>
      <c r="I2506" s="28"/>
      <c r="J2506" s="24" t="str">
        <f aca="true">IF(ISBLANK(H2506), "", I2506-TODAY())</f>
        <v/>
      </c>
      <c r="K2506" s="24" t="str">
        <f aca="false" t="array" ref="K2506:K2506">IF(A2506&lt;&gt;"",IF(COUNTIF(A$996:A2507,"&lt;&gt;")=0,COUNTA(B$996:B2506),IFERROR(MATCH(TRUE(),INDEX((A$996:A2507&lt;&gt;""),0),0),COUNTA(B$996:B2506))),"")</f>
        <v/>
      </c>
      <c r="L2506" s="27"/>
    </row>
    <row r="2507" customFormat="false" ht="13.8" hidden="false" customHeight="false" outlineLevel="0" collapsed="false">
      <c r="A2507" s="16"/>
      <c r="B2507" s="16"/>
      <c r="C2507" s="26"/>
      <c r="D2507" s="26"/>
      <c r="E2507" s="16"/>
      <c r="F2507" s="18"/>
      <c r="G2507" s="19" t="str">
        <f aca="true">IF(F2507="", "", DATEDIF(F2507, TODAY(), "Y"))</f>
        <v/>
      </c>
      <c r="H2507" s="28"/>
      <c r="I2507" s="28"/>
      <c r="J2507" s="24" t="str">
        <f aca="true">IF(ISBLANK(H2507), "", I2507-TODAY())</f>
        <v/>
      </c>
      <c r="K2507" s="24" t="str">
        <f aca="false" t="array" ref="K2507:K2507">IF(A2507&lt;&gt;"",IF(COUNTIF(A$996:A2508,"&lt;&gt;")=0,COUNTA(B$996:B2507),IFERROR(MATCH(TRUE(),INDEX((A$996:A2508&lt;&gt;""),0),0),COUNTA(B$996:B2507))),"")</f>
        <v/>
      </c>
      <c r="L2507" s="27"/>
    </row>
    <row r="2508" customFormat="false" ht="13.8" hidden="false" customHeight="false" outlineLevel="0" collapsed="false">
      <c r="A2508" s="16"/>
      <c r="B2508" s="16"/>
      <c r="C2508" s="26"/>
      <c r="D2508" s="26"/>
      <c r="E2508" s="16"/>
      <c r="F2508" s="18"/>
      <c r="G2508" s="19" t="str">
        <f aca="true">IF(F2508="", "", DATEDIF(F2508, TODAY(), "Y"))</f>
        <v/>
      </c>
      <c r="H2508" s="28"/>
      <c r="I2508" s="28"/>
      <c r="J2508" s="24" t="str">
        <f aca="true">IF(ISBLANK(H2508), "", I2508-TODAY())</f>
        <v/>
      </c>
      <c r="K2508" s="24" t="str">
        <f aca="false" t="array" ref="K2508:K2508">IF(A2508&lt;&gt;"",IF(COUNTIF(A$996:A2509,"&lt;&gt;")=0,COUNTA(B$996:B2508),IFERROR(MATCH(TRUE(),INDEX((A$996:A2509&lt;&gt;""),0),0),COUNTA(B$996:B2508))),"")</f>
        <v/>
      </c>
      <c r="L2508" s="27"/>
    </row>
    <row r="2509" customFormat="false" ht="13.8" hidden="false" customHeight="false" outlineLevel="0" collapsed="false">
      <c r="A2509" s="16"/>
      <c r="B2509" s="16"/>
      <c r="C2509" s="26"/>
      <c r="D2509" s="26"/>
      <c r="E2509" s="16"/>
      <c r="F2509" s="18"/>
      <c r="G2509" s="19" t="str">
        <f aca="true">IF(F2509="", "", DATEDIF(F2509, TODAY(), "Y"))</f>
        <v/>
      </c>
      <c r="H2509" s="28"/>
      <c r="I2509" s="28"/>
      <c r="J2509" s="24" t="str">
        <f aca="true">IF(ISBLANK(H2509), "", I2509-TODAY())</f>
        <v/>
      </c>
      <c r="K2509" s="24" t="str">
        <f aca="false" t="array" ref="K2509:K2509">IF(A2509&lt;&gt;"",IF(COUNTIF(A$996:A2510,"&lt;&gt;")=0,COUNTA(B$996:B2509),IFERROR(MATCH(TRUE(),INDEX((A$996:A2510&lt;&gt;""),0),0),COUNTA(B$996:B2509))),"")</f>
        <v/>
      </c>
      <c r="L2509" s="27"/>
    </row>
    <row r="2510" customFormat="false" ht="13.8" hidden="false" customHeight="false" outlineLevel="0" collapsed="false">
      <c r="A2510" s="16"/>
      <c r="B2510" s="16"/>
      <c r="C2510" s="26"/>
      <c r="D2510" s="26"/>
      <c r="E2510" s="16"/>
      <c r="F2510" s="18"/>
      <c r="G2510" s="19" t="str">
        <f aca="true">IF(F2510="", "", DATEDIF(F2510, TODAY(), "Y"))</f>
        <v/>
      </c>
      <c r="H2510" s="28"/>
      <c r="I2510" s="28"/>
      <c r="J2510" s="24" t="str">
        <f aca="true">IF(ISBLANK(H2510), "", I2510-TODAY())</f>
        <v/>
      </c>
      <c r="K2510" s="24" t="str">
        <f aca="false" t="array" ref="K2510:K2510">IF(A2510&lt;&gt;"",IF(COUNTIF(A$996:A2511,"&lt;&gt;")=0,COUNTA(B$996:B2510),IFERROR(MATCH(TRUE(),INDEX((A$996:A2511&lt;&gt;""),0),0),COUNTA(B$996:B2510))),"")</f>
        <v/>
      </c>
      <c r="L2510" s="27"/>
    </row>
    <row r="2511" customFormat="false" ht="13.8" hidden="false" customHeight="false" outlineLevel="0" collapsed="false">
      <c r="A2511" s="16"/>
      <c r="B2511" s="16"/>
      <c r="C2511" s="26"/>
      <c r="D2511" s="26"/>
      <c r="E2511" s="16"/>
      <c r="F2511" s="18"/>
      <c r="G2511" s="19" t="str">
        <f aca="true">IF(F2511="", "", DATEDIF(F2511, TODAY(), "Y"))</f>
        <v/>
      </c>
      <c r="H2511" s="28"/>
      <c r="I2511" s="28"/>
      <c r="J2511" s="24" t="str">
        <f aca="true">IF(ISBLANK(H2511), "", I2511-TODAY())</f>
        <v/>
      </c>
      <c r="K2511" s="24" t="str">
        <f aca="false" t="array" ref="K2511:K2511">IF(A2511&lt;&gt;"",IF(COUNTIF(A$996:A2512,"&lt;&gt;")=0,COUNTA(B$996:B2511),IFERROR(MATCH(TRUE(),INDEX((A$996:A2512&lt;&gt;""),0),0),COUNTA(B$996:B2511))),"")</f>
        <v/>
      </c>
      <c r="L2511" s="27"/>
    </row>
    <row r="2512" customFormat="false" ht="13.8" hidden="false" customHeight="false" outlineLevel="0" collapsed="false">
      <c r="A2512" s="16"/>
      <c r="B2512" s="16"/>
      <c r="C2512" s="26"/>
      <c r="D2512" s="26"/>
      <c r="E2512" s="16"/>
      <c r="F2512" s="18"/>
      <c r="G2512" s="19" t="str">
        <f aca="true">IF(F2512="", "", DATEDIF(F2512, TODAY(), "Y"))</f>
        <v/>
      </c>
      <c r="H2512" s="28"/>
      <c r="I2512" s="28"/>
      <c r="J2512" s="24" t="str">
        <f aca="true">IF(ISBLANK(H2512), "", I2512-TODAY())</f>
        <v/>
      </c>
      <c r="K2512" s="24" t="str">
        <f aca="false" t="array" ref="K2512:K2512">IF(A2512&lt;&gt;"",IF(COUNTIF(A$996:A2513,"&lt;&gt;")=0,COUNTA(B$996:B2512),IFERROR(MATCH(TRUE(),INDEX((A$996:A2513&lt;&gt;""),0),0),COUNTA(B$996:B2512))),"")</f>
        <v/>
      </c>
      <c r="L2512" s="27"/>
    </row>
    <row r="2513" customFormat="false" ht="13.8" hidden="false" customHeight="false" outlineLevel="0" collapsed="false">
      <c r="A2513" s="16"/>
      <c r="B2513" s="16"/>
      <c r="C2513" s="26"/>
      <c r="D2513" s="26"/>
      <c r="E2513" s="16"/>
      <c r="F2513" s="18"/>
      <c r="G2513" s="19" t="str">
        <f aca="true">IF(F2513="", "", DATEDIF(F2513, TODAY(), "Y"))</f>
        <v/>
      </c>
      <c r="H2513" s="28"/>
      <c r="I2513" s="28"/>
      <c r="J2513" s="24" t="str">
        <f aca="true">IF(ISBLANK(H2513), "", I2513-TODAY())</f>
        <v/>
      </c>
      <c r="K2513" s="24" t="str">
        <f aca="false" t="array" ref="K2513:K2513">IF(A2513&lt;&gt;"",IF(COUNTIF(A$996:A2514,"&lt;&gt;")=0,COUNTA(B$996:B2513),IFERROR(MATCH(TRUE(),INDEX((A$996:A2514&lt;&gt;""),0),0),COUNTA(B$996:B2513))),"")</f>
        <v/>
      </c>
      <c r="L2513" s="27"/>
    </row>
    <row r="2514" customFormat="false" ht="13.8" hidden="false" customHeight="false" outlineLevel="0" collapsed="false">
      <c r="A2514" s="16"/>
      <c r="B2514" s="16"/>
      <c r="C2514" s="26"/>
      <c r="D2514" s="26"/>
      <c r="E2514" s="16"/>
      <c r="F2514" s="18"/>
      <c r="G2514" s="19" t="str">
        <f aca="true">IF(F2514="", "", DATEDIF(F2514, TODAY(), "Y"))</f>
        <v/>
      </c>
      <c r="H2514" s="28"/>
      <c r="I2514" s="28"/>
      <c r="J2514" s="24" t="str">
        <f aca="true">IF(ISBLANK(H2514), "", I2514-TODAY())</f>
        <v/>
      </c>
      <c r="K2514" s="24" t="str">
        <f aca="false" t="array" ref="K2514:K2514">IF(A2514&lt;&gt;"",IF(COUNTIF(A$996:A2515,"&lt;&gt;")=0,COUNTA(B$996:B2514),IFERROR(MATCH(TRUE(),INDEX((A$996:A2515&lt;&gt;""),0),0),COUNTA(B$996:B2514))),"")</f>
        <v/>
      </c>
      <c r="L2514" s="27"/>
    </row>
    <row r="2515" customFormat="false" ht="13.8" hidden="false" customHeight="false" outlineLevel="0" collapsed="false">
      <c r="A2515" s="16"/>
      <c r="B2515" s="16"/>
      <c r="C2515" s="26"/>
      <c r="D2515" s="26"/>
      <c r="E2515" s="16"/>
      <c r="F2515" s="18"/>
      <c r="G2515" s="19" t="str">
        <f aca="true">IF(F2515="", "", DATEDIF(F2515, TODAY(), "Y"))</f>
        <v/>
      </c>
      <c r="H2515" s="28"/>
      <c r="I2515" s="28"/>
      <c r="J2515" s="24" t="str">
        <f aca="true">IF(ISBLANK(H2515), "", I2515-TODAY())</f>
        <v/>
      </c>
      <c r="K2515" s="24" t="str">
        <f aca="false" t="array" ref="K2515:K2515">IF(A2515&lt;&gt;"",IF(COUNTIF(A$996:A2516,"&lt;&gt;")=0,COUNTA(B$996:B2515),IFERROR(MATCH(TRUE(),INDEX((A$996:A2516&lt;&gt;""),0),0),COUNTA(B$996:B2515))),"")</f>
        <v/>
      </c>
      <c r="L2515" s="27"/>
    </row>
    <row r="2516" customFormat="false" ht="13.8" hidden="false" customHeight="false" outlineLevel="0" collapsed="false">
      <c r="A2516" s="16"/>
      <c r="B2516" s="16"/>
      <c r="C2516" s="26"/>
      <c r="D2516" s="26"/>
      <c r="E2516" s="16"/>
      <c r="F2516" s="18"/>
      <c r="G2516" s="19" t="str">
        <f aca="true">IF(F2516="", "", DATEDIF(F2516, TODAY(), "Y"))</f>
        <v/>
      </c>
      <c r="H2516" s="28"/>
      <c r="I2516" s="28"/>
      <c r="J2516" s="24" t="str">
        <f aca="true">IF(ISBLANK(H2516), "", I2516-TODAY())</f>
        <v/>
      </c>
      <c r="K2516" s="24" t="str">
        <f aca="false" t="array" ref="K2516:K2516">IF(A2516&lt;&gt;"",IF(COUNTIF(A$996:A2517,"&lt;&gt;")=0,COUNTA(B$996:B2516),IFERROR(MATCH(TRUE(),INDEX((A$996:A2517&lt;&gt;""),0),0),COUNTA(B$996:B2516))),"")</f>
        <v/>
      </c>
      <c r="L2516" s="27"/>
    </row>
    <row r="2517" customFormat="false" ht="13.8" hidden="false" customHeight="false" outlineLevel="0" collapsed="false">
      <c r="A2517" s="16"/>
      <c r="B2517" s="16"/>
      <c r="C2517" s="26"/>
      <c r="D2517" s="26"/>
      <c r="E2517" s="16"/>
      <c r="F2517" s="18"/>
      <c r="G2517" s="19" t="str">
        <f aca="true">IF(F2517="", "", DATEDIF(F2517, TODAY(), "Y"))</f>
        <v/>
      </c>
      <c r="H2517" s="28"/>
      <c r="I2517" s="28"/>
      <c r="J2517" s="24" t="str">
        <f aca="true">IF(ISBLANK(H2517), "", I2517-TODAY())</f>
        <v/>
      </c>
      <c r="K2517" s="24" t="str">
        <f aca="false" t="array" ref="K2517:K2517">IF(A2517&lt;&gt;"",IF(COUNTIF(A$996:A2518,"&lt;&gt;")=0,COUNTA(B$996:B2517),IFERROR(MATCH(TRUE(),INDEX((A$996:A2518&lt;&gt;""),0),0),COUNTA(B$996:B2517))),"")</f>
        <v/>
      </c>
      <c r="L2517" s="27"/>
    </row>
    <row r="2518" customFormat="false" ht="13.8" hidden="false" customHeight="false" outlineLevel="0" collapsed="false">
      <c r="A2518" s="16"/>
      <c r="B2518" s="16"/>
      <c r="C2518" s="26"/>
      <c r="D2518" s="26"/>
      <c r="E2518" s="16"/>
      <c r="F2518" s="18"/>
      <c r="G2518" s="19" t="str">
        <f aca="true">IF(F2518="", "", DATEDIF(F2518, TODAY(), "Y"))</f>
        <v/>
      </c>
      <c r="H2518" s="28"/>
      <c r="I2518" s="28"/>
      <c r="J2518" s="24" t="str">
        <f aca="true">IF(ISBLANK(H2518), "", I2518-TODAY())</f>
        <v/>
      </c>
      <c r="K2518" s="24" t="str">
        <f aca="false" t="array" ref="K2518:K2518">IF(A2518&lt;&gt;"",IF(COUNTIF(A$996:A2519,"&lt;&gt;")=0,COUNTA(B$996:B2518),IFERROR(MATCH(TRUE(),INDEX((A$996:A2519&lt;&gt;""),0),0),COUNTA(B$996:B2518))),"")</f>
        <v/>
      </c>
      <c r="L2518" s="27"/>
    </row>
    <row r="2519" customFormat="false" ht="13.8" hidden="false" customHeight="false" outlineLevel="0" collapsed="false">
      <c r="A2519" s="16"/>
      <c r="B2519" s="16"/>
      <c r="C2519" s="26"/>
      <c r="D2519" s="26"/>
      <c r="E2519" s="16"/>
      <c r="F2519" s="18"/>
      <c r="G2519" s="19" t="str">
        <f aca="true">IF(F2519="", "", DATEDIF(F2519, TODAY(), "Y"))</f>
        <v/>
      </c>
      <c r="H2519" s="28"/>
      <c r="I2519" s="28"/>
      <c r="J2519" s="24" t="str">
        <f aca="true">IF(ISBLANK(H2519), "", I2519-TODAY())</f>
        <v/>
      </c>
      <c r="K2519" s="24" t="str">
        <f aca="false" t="array" ref="K2519:K2519">IF(A2519&lt;&gt;"",IF(COUNTIF(A$996:A2520,"&lt;&gt;")=0,COUNTA(B$996:B2519),IFERROR(MATCH(TRUE(),INDEX((A$996:A2520&lt;&gt;""),0),0),COUNTA(B$996:B2519))),"")</f>
        <v/>
      </c>
      <c r="L2519" s="27"/>
    </row>
    <row r="2520" customFormat="false" ht="13.8" hidden="false" customHeight="false" outlineLevel="0" collapsed="false">
      <c r="A2520" s="16"/>
      <c r="B2520" s="16"/>
      <c r="C2520" s="26"/>
      <c r="D2520" s="26"/>
      <c r="E2520" s="16"/>
      <c r="F2520" s="18"/>
      <c r="G2520" s="19" t="str">
        <f aca="true">IF(F2520="", "", DATEDIF(F2520, TODAY(), "Y"))</f>
        <v/>
      </c>
      <c r="H2520" s="28"/>
      <c r="I2520" s="28"/>
      <c r="J2520" s="24" t="str">
        <f aca="true">IF(ISBLANK(H2520), "", I2520-TODAY())</f>
        <v/>
      </c>
      <c r="K2520" s="24" t="str">
        <f aca="false" t="array" ref="K2520:K2520">IF(A2520&lt;&gt;"",IF(COUNTIF(A$996:A2521,"&lt;&gt;")=0,COUNTA(B$996:B2520),IFERROR(MATCH(TRUE(),INDEX((A$996:A2521&lt;&gt;""),0),0),COUNTA(B$996:B2520))),"")</f>
        <v/>
      </c>
      <c r="L2520" s="27"/>
    </row>
    <row r="2521" customFormat="false" ht="13.8" hidden="false" customHeight="false" outlineLevel="0" collapsed="false">
      <c r="A2521" s="16"/>
      <c r="B2521" s="16"/>
      <c r="C2521" s="26"/>
      <c r="D2521" s="26"/>
      <c r="E2521" s="16"/>
      <c r="F2521" s="18"/>
      <c r="G2521" s="19" t="str">
        <f aca="true">IF(F2521="", "", DATEDIF(F2521, TODAY(), "Y"))</f>
        <v/>
      </c>
      <c r="H2521" s="28"/>
      <c r="I2521" s="28"/>
      <c r="J2521" s="24" t="str">
        <f aca="true">IF(ISBLANK(H2521), "", I2521-TODAY())</f>
        <v/>
      </c>
      <c r="K2521" s="24" t="str">
        <f aca="false" t="array" ref="K2521:K2521">IF(A2521&lt;&gt;"",IF(COUNTIF(A$996:A2522,"&lt;&gt;")=0,COUNTA(B$996:B2521),IFERROR(MATCH(TRUE(),INDEX((A$996:A2522&lt;&gt;""),0),0),COUNTA(B$996:B2521))),"")</f>
        <v/>
      </c>
      <c r="L2521" s="27"/>
    </row>
    <row r="2522" customFormat="false" ht="13.8" hidden="false" customHeight="false" outlineLevel="0" collapsed="false">
      <c r="A2522" s="16"/>
      <c r="B2522" s="16"/>
      <c r="C2522" s="26"/>
      <c r="D2522" s="26"/>
      <c r="E2522" s="16"/>
      <c r="F2522" s="18"/>
      <c r="G2522" s="19" t="str">
        <f aca="true">IF(F2522="", "", DATEDIF(F2522, TODAY(), "Y"))</f>
        <v/>
      </c>
      <c r="H2522" s="28"/>
      <c r="I2522" s="28"/>
      <c r="J2522" s="24" t="str">
        <f aca="true">IF(ISBLANK(H2522), "", I2522-TODAY())</f>
        <v/>
      </c>
      <c r="K2522" s="24" t="str">
        <f aca="false" t="array" ref="K2522:K2522">IF(A2522&lt;&gt;"",IF(COUNTIF(A$996:A2523,"&lt;&gt;")=0,COUNTA(B$996:B2522),IFERROR(MATCH(TRUE(),INDEX((A$996:A2523&lt;&gt;""),0),0),COUNTA(B$996:B2522))),"")</f>
        <v/>
      </c>
      <c r="L2522" s="27"/>
    </row>
    <row r="2523" customFormat="false" ht="13.8" hidden="false" customHeight="false" outlineLevel="0" collapsed="false">
      <c r="A2523" s="16"/>
      <c r="B2523" s="16"/>
      <c r="C2523" s="26"/>
      <c r="D2523" s="26"/>
      <c r="E2523" s="16"/>
      <c r="F2523" s="18"/>
      <c r="G2523" s="19" t="str">
        <f aca="true">IF(F2523="", "", DATEDIF(F2523, TODAY(), "Y"))</f>
        <v/>
      </c>
      <c r="H2523" s="28"/>
      <c r="I2523" s="28"/>
      <c r="J2523" s="24" t="str">
        <f aca="true">IF(ISBLANK(H2523), "", I2523-TODAY())</f>
        <v/>
      </c>
      <c r="K2523" s="24" t="str">
        <f aca="false" t="array" ref="K2523:K2523">IF(A2523&lt;&gt;"",IF(COUNTIF(A$996:A2524,"&lt;&gt;")=0,COUNTA(B$996:B2523),IFERROR(MATCH(TRUE(),INDEX((A$996:A2524&lt;&gt;""),0),0),COUNTA(B$996:B2523))),"")</f>
        <v/>
      </c>
      <c r="L2523" s="27"/>
    </row>
    <row r="2524" customFormat="false" ht="13.8" hidden="false" customHeight="false" outlineLevel="0" collapsed="false">
      <c r="A2524" s="16"/>
      <c r="B2524" s="16"/>
      <c r="C2524" s="26"/>
      <c r="D2524" s="26"/>
      <c r="E2524" s="16"/>
      <c r="F2524" s="18"/>
      <c r="G2524" s="19" t="str">
        <f aca="true">IF(F2524="", "", DATEDIF(F2524, TODAY(), "Y"))</f>
        <v/>
      </c>
      <c r="H2524" s="28"/>
      <c r="I2524" s="28"/>
      <c r="J2524" s="24" t="str">
        <f aca="true">IF(ISBLANK(H2524), "", I2524-TODAY())</f>
        <v/>
      </c>
      <c r="K2524" s="24" t="str">
        <f aca="false" t="array" ref="K2524:K2524">IF(A2524&lt;&gt;"",IF(COUNTIF(A$996:A2525,"&lt;&gt;")=0,COUNTA(B$996:B2524),IFERROR(MATCH(TRUE(),INDEX((A$996:A2525&lt;&gt;""),0),0),COUNTA(B$996:B2524))),"")</f>
        <v/>
      </c>
      <c r="L2524" s="27"/>
    </row>
    <row r="2525" customFormat="false" ht="13.8" hidden="false" customHeight="false" outlineLevel="0" collapsed="false">
      <c r="A2525" s="16"/>
      <c r="B2525" s="16"/>
      <c r="C2525" s="26"/>
      <c r="D2525" s="26"/>
      <c r="E2525" s="16"/>
      <c r="F2525" s="18"/>
      <c r="G2525" s="19" t="str">
        <f aca="true">IF(F2525="", "", DATEDIF(F2525, TODAY(), "Y"))</f>
        <v/>
      </c>
      <c r="H2525" s="28"/>
      <c r="I2525" s="28"/>
      <c r="J2525" s="24" t="str">
        <f aca="true">IF(ISBLANK(H2525), "", I2525-TODAY())</f>
        <v/>
      </c>
      <c r="K2525" s="24" t="str">
        <f aca="false" t="array" ref="K2525:K2525">IF(A2525&lt;&gt;"",IF(COUNTIF(A$996:A2526,"&lt;&gt;")=0,COUNTA(B$996:B2525),IFERROR(MATCH(TRUE(),INDEX((A$996:A2526&lt;&gt;""),0),0),COUNTA(B$996:B2525))),"")</f>
        <v/>
      </c>
      <c r="L2525" s="27"/>
    </row>
    <row r="2526" customFormat="false" ht="13.8" hidden="false" customHeight="false" outlineLevel="0" collapsed="false">
      <c r="A2526" s="16"/>
      <c r="B2526" s="16"/>
      <c r="C2526" s="26"/>
      <c r="D2526" s="26"/>
      <c r="E2526" s="16"/>
      <c r="F2526" s="18"/>
      <c r="G2526" s="19" t="str">
        <f aca="true">IF(F2526="", "", DATEDIF(F2526, TODAY(), "Y"))</f>
        <v/>
      </c>
      <c r="H2526" s="28"/>
      <c r="I2526" s="28"/>
      <c r="J2526" s="24" t="str">
        <f aca="true">IF(ISBLANK(H2526), "", I2526-TODAY())</f>
        <v/>
      </c>
      <c r="K2526" s="24" t="str">
        <f aca="false" t="array" ref="K2526:K2526">IF(A2526&lt;&gt;"",IF(COUNTIF(A$996:A2527,"&lt;&gt;")=0,COUNTA(B$996:B2526),IFERROR(MATCH(TRUE(),INDEX((A$996:A2527&lt;&gt;""),0),0),COUNTA(B$996:B2526))),"")</f>
        <v/>
      </c>
      <c r="L2526" s="27"/>
    </row>
    <row r="2527" customFormat="false" ht="13.8" hidden="false" customHeight="false" outlineLevel="0" collapsed="false">
      <c r="A2527" s="16"/>
      <c r="B2527" s="16"/>
      <c r="C2527" s="26"/>
      <c r="D2527" s="26"/>
      <c r="E2527" s="16"/>
      <c r="F2527" s="18"/>
      <c r="G2527" s="19" t="str">
        <f aca="true">IF(F2527="", "", DATEDIF(F2527, TODAY(), "Y"))</f>
        <v/>
      </c>
      <c r="H2527" s="28"/>
      <c r="I2527" s="28"/>
      <c r="J2527" s="24" t="str">
        <f aca="true">IF(ISBLANK(H2527), "", I2527-TODAY())</f>
        <v/>
      </c>
      <c r="K2527" s="24" t="str">
        <f aca="false" t="array" ref="K2527:K2527">IF(A2527&lt;&gt;"",IF(COUNTIF(A$996:A2528,"&lt;&gt;")=0,COUNTA(B$996:B2527),IFERROR(MATCH(TRUE(),INDEX((A$996:A2528&lt;&gt;""),0),0),COUNTA(B$996:B2527))),"")</f>
        <v/>
      </c>
      <c r="L2527" s="27"/>
    </row>
    <row r="2528" customFormat="false" ht="13.8" hidden="false" customHeight="false" outlineLevel="0" collapsed="false">
      <c r="A2528" s="16"/>
      <c r="B2528" s="16"/>
      <c r="C2528" s="26"/>
      <c r="D2528" s="26"/>
      <c r="E2528" s="16"/>
      <c r="F2528" s="18"/>
      <c r="G2528" s="19" t="str">
        <f aca="true">IF(F2528="", "", DATEDIF(F2528, TODAY(), "Y"))</f>
        <v/>
      </c>
      <c r="H2528" s="28"/>
      <c r="I2528" s="28"/>
      <c r="J2528" s="24" t="str">
        <f aca="true">IF(ISBLANK(H2528), "", I2528-TODAY())</f>
        <v/>
      </c>
      <c r="K2528" s="24" t="str">
        <f aca="false" t="array" ref="K2528:K2528">IF(A2528&lt;&gt;"",IF(COUNTIF(A$996:A2529,"&lt;&gt;")=0,COUNTA(B$996:B2528),IFERROR(MATCH(TRUE(),INDEX((A$996:A2529&lt;&gt;""),0),0),COUNTA(B$996:B2528))),"")</f>
        <v/>
      </c>
      <c r="L2528" s="27"/>
    </row>
    <row r="2529" customFormat="false" ht="13.8" hidden="false" customHeight="false" outlineLevel="0" collapsed="false">
      <c r="A2529" s="16"/>
      <c r="B2529" s="16"/>
      <c r="C2529" s="26"/>
      <c r="D2529" s="26"/>
      <c r="E2529" s="16"/>
      <c r="F2529" s="18"/>
      <c r="G2529" s="19" t="str">
        <f aca="true">IF(F2529="", "", DATEDIF(F2529, TODAY(), "Y"))</f>
        <v/>
      </c>
      <c r="H2529" s="28"/>
      <c r="I2529" s="28"/>
      <c r="J2529" s="24" t="str">
        <f aca="true">IF(ISBLANK(H2529), "", I2529-TODAY())</f>
        <v/>
      </c>
      <c r="K2529" s="24" t="str">
        <f aca="false" t="array" ref="K2529:K2529">IF(A2529&lt;&gt;"",IF(COUNTIF(A$996:A2530,"&lt;&gt;")=0,COUNTA(B$996:B2529),IFERROR(MATCH(TRUE(),INDEX((A$996:A2530&lt;&gt;""),0),0),COUNTA(B$996:B2529))),"")</f>
        <v/>
      </c>
      <c r="L2529" s="27"/>
    </row>
    <row r="2530" customFormat="false" ht="13.8" hidden="false" customHeight="false" outlineLevel="0" collapsed="false">
      <c r="A2530" s="16"/>
      <c r="B2530" s="16"/>
      <c r="C2530" s="26"/>
      <c r="D2530" s="26"/>
      <c r="E2530" s="16"/>
      <c r="F2530" s="18"/>
      <c r="G2530" s="19" t="str">
        <f aca="true">IF(F2530="", "", DATEDIF(F2530, TODAY(), "Y"))</f>
        <v/>
      </c>
      <c r="H2530" s="28"/>
      <c r="I2530" s="28"/>
      <c r="J2530" s="24" t="str">
        <f aca="true">IF(ISBLANK(H2530), "", I2530-TODAY())</f>
        <v/>
      </c>
      <c r="K2530" s="24" t="str">
        <f aca="false" t="array" ref="K2530:K2530">IF(A2530&lt;&gt;"",IF(COUNTIF(A$996:A2531,"&lt;&gt;")=0,COUNTA(B$996:B2530),IFERROR(MATCH(TRUE(),INDEX((A$996:A2531&lt;&gt;""),0),0),COUNTA(B$996:B2530))),"")</f>
        <v/>
      </c>
      <c r="L2530" s="27"/>
    </row>
    <row r="2531" customFormat="false" ht="13.8" hidden="false" customHeight="false" outlineLevel="0" collapsed="false">
      <c r="A2531" s="16"/>
      <c r="B2531" s="16"/>
      <c r="C2531" s="26"/>
      <c r="D2531" s="26"/>
      <c r="E2531" s="16"/>
      <c r="F2531" s="18"/>
      <c r="G2531" s="19" t="str">
        <f aca="true">IF(F2531="", "", DATEDIF(F2531, TODAY(), "Y"))</f>
        <v/>
      </c>
      <c r="H2531" s="28"/>
      <c r="I2531" s="28"/>
      <c r="J2531" s="24" t="str">
        <f aca="true">IF(ISBLANK(H2531), "", I2531-TODAY())</f>
        <v/>
      </c>
      <c r="K2531" s="24" t="str">
        <f aca="false" t="array" ref="K2531:K2531">IF(A2531&lt;&gt;"",IF(COUNTIF(A$996:A2532,"&lt;&gt;")=0,COUNTA(B$996:B2531),IFERROR(MATCH(TRUE(),INDEX((A$996:A2532&lt;&gt;""),0),0),COUNTA(B$996:B2531))),"")</f>
        <v/>
      </c>
      <c r="L2531" s="27"/>
    </row>
    <row r="2532" customFormat="false" ht="13.8" hidden="false" customHeight="false" outlineLevel="0" collapsed="false">
      <c r="A2532" s="16"/>
      <c r="B2532" s="16"/>
      <c r="C2532" s="26"/>
      <c r="D2532" s="26"/>
      <c r="E2532" s="16"/>
      <c r="F2532" s="18"/>
      <c r="G2532" s="19" t="str">
        <f aca="true">IF(F2532="", "", DATEDIF(F2532, TODAY(), "Y"))</f>
        <v/>
      </c>
      <c r="H2532" s="28"/>
      <c r="I2532" s="28"/>
      <c r="J2532" s="24" t="str">
        <f aca="true">IF(ISBLANK(H2532), "", I2532-TODAY())</f>
        <v/>
      </c>
      <c r="K2532" s="24" t="str">
        <f aca="false" t="array" ref="K2532:K2532">IF(A2532&lt;&gt;"",IF(COUNTIF(A$996:A2533,"&lt;&gt;")=0,COUNTA(B$996:B2532),IFERROR(MATCH(TRUE(),INDEX((A$996:A2533&lt;&gt;""),0),0),COUNTA(B$996:B2532))),"")</f>
        <v/>
      </c>
      <c r="L2532" s="27"/>
    </row>
    <row r="2533" customFormat="false" ht="13.8" hidden="false" customHeight="false" outlineLevel="0" collapsed="false">
      <c r="A2533" s="16"/>
      <c r="B2533" s="16"/>
      <c r="C2533" s="26"/>
      <c r="D2533" s="26"/>
      <c r="E2533" s="16"/>
      <c r="F2533" s="18"/>
      <c r="G2533" s="19" t="str">
        <f aca="true">IF(F2533="", "", DATEDIF(F2533, TODAY(), "Y"))</f>
        <v/>
      </c>
      <c r="H2533" s="28"/>
      <c r="I2533" s="28"/>
      <c r="J2533" s="24" t="str">
        <f aca="true">IF(ISBLANK(H2533), "", I2533-TODAY())</f>
        <v/>
      </c>
      <c r="K2533" s="24" t="str">
        <f aca="false" t="array" ref="K2533:K2533">IF(A2533&lt;&gt;"",IF(COUNTIF(A$996:A2534,"&lt;&gt;")=0,COUNTA(B$996:B2533),IFERROR(MATCH(TRUE(),INDEX((A$996:A2534&lt;&gt;""),0),0),COUNTA(B$996:B2533))),"")</f>
        <v/>
      </c>
      <c r="L2533" s="27"/>
    </row>
    <row r="2534" customFormat="false" ht="13.8" hidden="false" customHeight="false" outlineLevel="0" collapsed="false">
      <c r="A2534" s="16"/>
      <c r="B2534" s="16"/>
      <c r="C2534" s="26"/>
      <c r="D2534" s="26"/>
      <c r="E2534" s="16"/>
      <c r="F2534" s="18"/>
      <c r="G2534" s="19" t="str">
        <f aca="true">IF(F2534="", "", DATEDIF(F2534, TODAY(), "Y"))</f>
        <v/>
      </c>
      <c r="H2534" s="28"/>
      <c r="I2534" s="28"/>
      <c r="J2534" s="24" t="str">
        <f aca="true">IF(ISBLANK(H2534), "", I2534-TODAY())</f>
        <v/>
      </c>
      <c r="K2534" s="24" t="str">
        <f aca="false" t="array" ref="K2534:K2534">IF(A2534&lt;&gt;"",IF(COUNTIF(A$996:A2535,"&lt;&gt;")=0,COUNTA(B$996:B2534),IFERROR(MATCH(TRUE(),INDEX((A$996:A2535&lt;&gt;""),0),0),COUNTA(B$996:B2534))),"")</f>
        <v/>
      </c>
      <c r="L2534" s="27"/>
    </row>
    <row r="2535" customFormat="false" ht="13.8" hidden="false" customHeight="false" outlineLevel="0" collapsed="false">
      <c r="A2535" s="16"/>
      <c r="B2535" s="16"/>
      <c r="C2535" s="26"/>
      <c r="D2535" s="26"/>
      <c r="E2535" s="16"/>
      <c r="F2535" s="18"/>
      <c r="G2535" s="19" t="str">
        <f aca="true">IF(F2535="", "", DATEDIF(F2535, TODAY(), "Y"))</f>
        <v/>
      </c>
      <c r="H2535" s="28"/>
      <c r="I2535" s="28"/>
      <c r="J2535" s="24" t="str">
        <f aca="true">IF(ISBLANK(H2535), "", I2535-TODAY())</f>
        <v/>
      </c>
      <c r="K2535" s="24" t="str">
        <f aca="false" t="array" ref="K2535:K2535">IF(A2535&lt;&gt;"",IF(COUNTIF(A$996:A2536,"&lt;&gt;")=0,COUNTA(B$996:B2535),IFERROR(MATCH(TRUE(),INDEX((A$996:A2536&lt;&gt;""),0),0),COUNTA(B$996:B2535))),"")</f>
        <v/>
      </c>
      <c r="L2535" s="27"/>
    </row>
    <row r="2536" customFormat="false" ht="13.8" hidden="false" customHeight="false" outlineLevel="0" collapsed="false">
      <c r="A2536" s="16"/>
      <c r="B2536" s="16"/>
      <c r="C2536" s="26"/>
      <c r="D2536" s="26"/>
      <c r="E2536" s="16"/>
      <c r="F2536" s="18"/>
      <c r="G2536" s="19" t="str">
        <f aca="true">IF(F2536="", "", DATEDIF(F2536, TODAY(), "Y"))</f>
        <v/>
      </c>
      <c r="H2536" s="28"/>
      <c r="I2536" s="28"/>
      <c r="J2536" s="24" t="str">
        <f aca="true">IF(ISBLANK(H2536), "", I2536-TODAY())</f>
        <v/>
      </c>
      <c r="K2536" s="24" t="str">
        <f aca="false" t="array" ref="K2536:K2536">IF(A2536&lt;&gt;"",IF(COUNTIF(A$996:A2537,"&lt;&gt;")=0,COUNTA(B$996:B2536),IFERROR(MATCH(TRUE(),INDEX((A$996:A2537&lt;&gt;""),0),0),COUNTA(B$996:B2536))),"")</f>
        <v/>
      </c>
      <c r="L2536" s="27"/>
    </row>
    <row r="2537" customFormat="false" ht="13.8" hidden="false" customHeight="false" outlineLevel="0" collapsed="false">
      <c r="A2537" s="16"/>
      <c r="B2537" s="16"/>
      <c r="C2537" s="26"/>
      <c r="D2537" s="26"/>
      <c r="E2537" s="16"/>
      <c r="F2537" s="18"/>
      <c r="G2537" s="19" t="str">
        <f aca="true">IF(F2537="", "", DATEDIF(F2537, TODAY(), "Y"))</f>
        <v/>
      </c>
      <c r="H2537" s="28"/>
      <c r="I2537" s="28"/>
      <c r="J2537" s="24" t="str">
        <f aca="true">IF(ISBLANK(H2537), "", I2537-TODAY())</f>
        <v/>
      </c>
      <c r="K2537" s="24" t="str">
        <f aca="false" t="array" ref="K2537:K2537">IF(A2537&lt;&gt;"",IF(COUNTIF(A$996:A2538,"&lt;&gt;")=0,COUNTA(B$996:B2537),IFERROR(MATCH(TRUE(),INDEX((A$996:A2538&lt;&gt;""),0),0),COUNTA(B$996:B2537))),"")</f>
        <v/>
      </c>
      <c r="L2537" s="27"/>
    </row>
    <row r="2538" customFormat="false" ht="13.8" hidden="false" customHeight="false" outlineLevel="0" collapsed="false">
      <c r="A2538" s="16"/>
      <c r="B2538" s="16"/>
      <c r="C2538" s="26"/>
      <c r="D2538" s="26"/>
      <c r="E2538" s="16"/>
      <c r="F2538" s="18"/>
      <c r="G2538" s="19" t="str">
        <f aca="true">IF(F2538="", "", DATEDIF(F2538, TODAY(), "Y"))</f>
        <v/>
      </c>
      <c r="H2538" s="28"/>
      <c r="I2538" s="28"/>
      <c r="J2538" s="24" t="str">
        <f aca="true">IF(ISBLANK(H2538), "", I2538-TODAY())</f>
        <v/>
      </c>
      <c r="K2538" s="24" t="str">
        <f aca="false" t="array" ref="K2538:K2538">IF(A2538&lt;&gt;"",IF(COUNTIF(A$996:A2539,"&lt;&gt;")=0,COUNTA(B$996:B2538),IFERROR(MATCH(TRUE(),INDEX((A$996:A2539&lt;&gt;""),0),0),COUNTA(B$996:B2538))),"")</f>
        <v/>
      </c>
      <c r="L2538" s="27"/>
    </row>
    <row r="2539" customFormat="false" ht="13.8" hidden="false" customHeight="false" outlineLevel="0" collapsed="false">
      <c r="A2539" s="16"/>
      <c r="B2539" s="16"/>
      <c r="C2539" s="26"/>
      <c r="D2539" s="26"/>
      <c r="E2539" s="16"/>
      <c r="F2539" s="18"/>
      <c r="G2539" s="19" t="str">
        <f aca="true">IF(F2539="", "", DATEDIF(F2539, TODAY(), "Y"))</f>
        <v/>
      </c>
      <c r="H2539" s="28"/>
      <c r="I2539" s="28"/>
      <c r="J2539" s="24" t="str">
        <f aca="true">IF(ISBLANK(H2539), "", I2539-TODAY())</f>
        <v/>
      </c>
      <c r="K2539" s="24" t="str">
        <f aca="false" t="array" ref="K2539:K2539">IF(A2539&lt;&gt;"",IF(COUNTIF(A$996:A2540,"&lt;&gt;")=0,COUNTA(B$996:B2539),IFERROR(MATCH(TRUE(),INDEX((A$996:A2540&lt;&gt;""),0),0),COUNTA(B$996:B2539))),"")</f>
        <v/>
      </c>
      <c r="L2539" s="27"/>
    </row>
    <row r="2540" customFormat="false" ht="13.8" hidden="false" customHeight="false" outlineLevel="0" collapsed="false">
      <c r="A2540" s="16"/>
      <c r="B2540" s="16"/>
      <c r="C2540" s="26"/>
      <c r="D2540" s="26"/>
      <c r="E2540" s="16"/>
      <c r="F2540" s="18"/>
      <c r="G2540" s="19" t="str">
        <f aca="true">IF(F2540="", "", DATEDIF(F2540, TODAY(), "Y"))</f>
        <v/>
      </c>
      <c r="H2540" s="28"/>
      <c r="I2540" s="28"/>
      <c r="J2540" s="24" t="str">
        <f aca="true">IF(ISBLANK(H2540), "", I2540-TODAY())</f>
        <v/>
      </c>
      <c r="K2540" s="24" t="str">
        <f aca="false" t="array" ref="K2540:K2540">IF(A2540&lt;&gt;"",IF(COUNTIF(A$996:A2541,"&lt;&gt;")=0,COUNTA(B$996:B2540),IFERROR(MATCH(TRUE(),INDEX((A$996:A2541&lt;&gt;""),0),0),COUNTA(B$996:B2540))),"")</f>
        <v/>
      </c>
      <c r="L2540" s="27"/>
    </row>
    <row r="2541" customFormat="false" ht="13.8" hidden="false" customHeight="false" outlineLevel="0" collapsed="false">
      <c r="A2541" s="16"/>
      <c r="B2541" s="16"/>
      <c r="C2541" s="26"/>
      <c r="D2541" s="26"/>
      <c r="E2541" s="16"/>
      <c r="F2541" s="18"/>
      <c r="G2541" s="19" t="str">
        <f aca="true">IF(F2541="", "", DATEDIF(F2541, TODAY(), "Y"))</f>
        <v/>
      </c>
      <c r="H2541" s="28"/>
      <c r="I2541" s="28"/>
      <c r="J2541" s="24" t="str">
        <f aca="true">IF(ISBLANK(H2541), "", I2541-TODAY())</f>
        <v/>
      </c>
      <c r="K2541" s="24" t="str">
        <f aca="false" t="array" ref="K2541:K2541">IF(A2541&lt;&gt;"",IF(COUNTIF(A$996:A2542,"&lt;&gt;")=0,COUNTA(B$996:B2541),IFERROR(MATCH(TRUE(),INDEX((A$996:A2542&lt;&gt;""),0),0),COUNTA(B$996:B2541))),"")</f>
        <v/>
      </c>
      <c r="L2541" s="27"/>
    </row>
    <row r="2542" customFormat="false" ht="13.8" hidden="false" customHeight="false" outlineLevel="0" collapsed="false">
      <c r="A2542" s="16"/>
      <c r="B2542" s="16"/>
      <c r="C2542" s="26"/>
      <c r="D2542" s="26"/>
      <c r="E2542" s="16"/>
      <c r="F2542" s="18"/>
      <c r="G2542" s="19" t="str">
        <f aca="true">IF(F2542="", "", DATEDIF(F2542, TODAY(), "Y"))</f>
        <v/>
      </c>
      <c r="H2542" s="28"/>
      <c r="I2542" s="28"/>
      <c r="J2542" s="24" t="str">
        <f aca="true">IF(ISBLANK(H2542), "", I2542-TODAY())</f>
        <v/>
      </c>
      <c r="K2542" s="24" t="str">
        <f aca="false" t="array" ref="K2542:K2542">IF(A2542&lt;&gt;"",IF(COUNTIF(A$996:A2543,"&lt;&gt;")=0,COUNTA(B$996:B2542),IFERROR(MATCH(TRUE(),INDEX((A$996:A2543&lt;&gt;""),0),0),COUNTA(B$996:B2542))),"")</f>
        <v/>
      </c>
      <c r="L2542" s="27"/>
    </row>
    <row r="2543" customFormat="false" ht="13.8" hidden="false" customHeight="false" outlineLevel="0" collapsed="false">
      <c r="A2543" s="16"/>
      <c r="B2543" s="16"/>
      <c r="C2543" s="26"/>
      <c r="D2543" s="26"/>
      <c r="E2543" s="16"/>
      <c r="F2543" s="18"/>
      <c r="G2543" s="19" t="str">
        <f aca="true">IF(F2543="", "", DATEDIF(F2543, TODAY(), "Y"))</f>
        <v/>
      </c>
      <c r="H2543" s="28"/>
      <c r="I2543" s="28"/>
      <c r="J2543" s="24" t="str">
        <f aca="true">IF(ISBLANK(H2543), "", I2543-TODAY())</f>
        <v/>
      </c>
      <c r="K2543" s="24" t="str">
        <f aca="false" t="array" ref="K2543:K2543">IF(A2543&lt;&gt;"",IF(COUNTIF(A$996:A2544,"&lt;&gt;")=0,COUNTA(B$996:B2543),IFERROR(MATCH(TRUE(),INDEX((A$996:A2544&lt;&gt;""),0),0),COUNTA(B$996:B2543))),"")</f>
        <v/>
      </c>
      <c r="L2543" s="27"/>
    </row>
    <row r="2544" customFormat="false" ht="13.8" hidden="false" customHeight="false" outlineLevel="0" collapsed="false">
      <c r="A2544" s="16"/>
      <c r="B2544" s="16"/>
      <c r="C2544" s="26"/>
      <c r="D2544" s="26"/>
      <c r="E2544" s="16"/>
      <c r="F2544" s="18"/>
      <c r="G2544" s="19" t="str">
        <f aca="true">IF(F2544="", "", DATEDIF(F2544, TODAY(), "Y"))</f>
        <v/>
      </c>
      <c r="H2544" s="28"/>
      <c r="I2544" s="28"/>
      <c r="J2544" s="24" t="str">
        <f aca="true">IF(ISBLANK(H2544), "", I2544-TODAY())</f>
        <v/>
      </c>
      <c r="K2544" s="24" t="str">
        <f aca="false" t="array" ref="K2544:K2544">IF(A2544&lt;&gt;"",IF(COUNTIF(A$996:A2545,"&lt;&gt;")=0,COUNTA(B$996:B2544),IFERROR(MATCH(TRUE(),INDEX((A$996:A2545&lt;&gt;""),0),0),COUNTA(B$996:B2544))),"")</f>
        <v/>
      </c>
      <c r="L2544" s="27"/>
    </row>
    <row r="2545" customFormat="false" ht="13.8" hidden="false" customHeight="false" outlineLevel="0" collapsed="false">
      <c r="A2545" s="16"/>
      <c r="B2545" s="16"/>
      <c r="C2545" s="26"/>
      <c r="D2545" s="26"/>
      <c r="E2545" s="16"/>
      <c r="F2545" s="18"/>
      <c r="G2545" s="19" t="str">
        <f aca="true">IF(F2545="", "", DATEDIF(F2545, TODAY(), "Y"))</f>
        <v/>
      </c>
      <c r="H2545" s="28"/>
      <c r="I2545" s="28"/>
      <c r="J2545" s="24" t="str">
        <f aca="true">IF(ISBLANK(H2545), "", I2545-TODAY())</f>
        <v/>
      </c>
      <c r="K2545" s="24" t="str">
        <f aca="false" t="array" ref="K2545:K2545">IF(A2545&lt;&gt;"",IF(COUNTIF(A$996:A2546,"&lt;&gt;")=0,COUNTA(B$996:B2545),IFERROR(MATCH(TRUE(),INDEX((A$996:A2546&lt;&gt;""),0),0),COUNTA(B$996:B2545))),"")</f>
        <v/>
      </c>
      <c r="L2545" s="27"/>
    </row>
    <row r="2546" customFormat="false" ht="13.8" hidden="false" customHeight="false" outlineLevel="0" collapsed="false">
      <c r="A2546" s="16"/>
      <c r="B2546" s="16"/>
      <c r="C2546" s="26"/>
      <c r="D2546" s="26"/>
      <c r="E2546" s="16"/>
      <c r="F2546" s="18"/>
      <c r="G2546" s="19" t="str">
        <f aca="true">IF(F2546="", "", DATEDIF(F2546, TODAY(), "Y"))</f>
        <v/>
      </c>
      <c r="H2546" s="28"/>
      <c r="I2546" s="28"/>
      <c r="J2546" s="24" t="str">
        <f aca="true">IF(ISBLANK(H2546), "", I2546-TODAY())</f>
        <v/>
      </c>
      <c r="K2546" s="24" t="str">
        <f aca="false" t="array" ref="K2546:K2546">IF(A2546&lt;&gt;"",IF(COUNTIF(A$996:A2547,"&lt;&gt;")=0,COUNTA(B$996:B2546),IFERROR(MATCH(TRUE(),INDEX((A$996:A2547&lt;&gt;""),0),0),COUNTA(B$996:B2546))),"")</f>
        <v/>
      </c>
      <c r="L2546" s="27"/>
    </row>
    <row r="2547" customFormat="false" ht="13.8" hidden="false" customHeight="false" outlineLevel="0" collapsed="false">
      <c r="A2547" s="16"/>
      <c r="B2547" s="16"/>
      <c r="C2547" s="26"/>
      <c r="D2547" s="26"/>
      <c r="E2547" s="16"/>
      <c r="F2547" s="18"/>
      <c r="G2547" s="19" t="str">
        <f aca="true">IF(F2547="", "", DATEDIF(F2547, TODAY(), "Y"))</f>
        <v/>
      </c>
      <c r="H2547" s="28"/>
      <c r="I2547" s="28"/>
      <c r="J2547" s="24" t="str">
        <f aca="true">IF(ISBLANK(H2547), "", I2547-TODAY())</f>
        <v/>
      </c>
      <c r="K2547" s="24" t="str">
        <f aca="false" t="array" ref="K2547:K2547">IF(A2547&lt;&gt;"",IF(COUNTIF(A$996:A2548,"&lt;&gt;")=0,COUNTA(B$996:B2547),IFERROR(MATCH(TRUE(),INDEX((A$996:A2548&lt;&gt;""),0),0),COUNTA(B$996:B2547))),"")</f>
        <v/>
      </c>
      <c r="L2547" s="27"/>
    </row>
    <row r="2548" customFormat="false" ht="13.8" hidden="false" customHeight="false" outlineLevel="0" collapsed="false">
      <c r="A2548" s="16"/>
      <c r="B2548" s="16"/>
      <c r="C2548" s="26"/>
      <c r="D2548" s="26"/>
      <c r="E2548" s="16"/>
      <c r="F2548" s="18"/>
      <c r="G2548" s="19" t="str">
        <f aca="true">IF(F2548="", "", DATEDIF(F2548, TODAY(), "Y"))</f>
        <v/>
      </c>
      <c r="H2548" s="28"/>
      <c r="I2548" s="28"/>
      <c r="J2548" s="24" t="str">
        <f aca="true">IF(ISBLANK(H2548), "", I2548-TODAY())</f>
        <v/>
      </c>
      <c r="K2548" s="24" t="str">
        <f aca="false" t="array" ref="K2548:K2548">IF(A2548&lt;&gt;"",IF(COUNTIF(A$996:A2549,"&lt;&gt;")=0,COUNTA(B$996:B2548),IFERROR(MATCH(TRUE(),INDEX((A$996:A2549&lt;&gt;""),0),0),COUNTA(B$996:B2548))),"")</f>
        <v/>
      </c>
      <c r="L2548" s="27"/>
    </row>
    <row r="2549" customFormat="false" ht="13.8" hidden="false" customHeight="false" outlineLevel="0" collapsed="false">
      <c r="A2549" s="16"/>
      <c r="B2549" s="16"/>
      <c r="C2549" s="26"/>
      <c r="D2549" s="26"/>
      <c r="E2549" s="16"/>
      <c r="F2549" s="18"/>
      <c r="G2549" s="19" t="str">
        <f aca="true">IF(F2549="", "", DATEDIF(F2549, TODAY(), "Y"))</f>
        <v/>
      </c>
      <c r="H2549" s="28"/>
      <c r="I2549" s="28"/>
      <c r="J2549" s="24" t="str">
        <f aca="true">IF(ISBLANK(H2549), "", I2549-TODAY())</f>
        <v/>
      </c>
      <c r="K2549" s="24" t="str">
        <f aca="false" t="array" ref="K2549:K2549">IF(A2549&lt;&gt;"",IF(COUNTIF(A$996:A2550,"&lt;&gt;")=0,COUNTA(B$996:B2549),IFERROR(MATCH(TRUE(),INDEX((A$996:A2550&lt;&gt;""),0),0),COUNTA(B$996:B2549))),"")</f>
        <v/>
      </c>
      <c r="L2549" s="27"/>
    </row>
    <row r="2550" customFormat="false" ht="13.8" hidden="false" customHeight="false" outlineLevel="0" collapsed="false">
      <c r="A2550" s="16"/>
      <c r="B2550" s="16"/>
      <c r="C2550" s="26"/>
      <c r="D2550" s="26"/>
      <c r="E2550" s="16"/>
      <c r="F2550" s="18"/>
      <c r="G2550" s="19" t="str">
        <f aca="true">IF(F2550="", "", DATEDIF(F2550, TODAY(), "Y"))</f>
        <v/>
      </c>
      <c r="H2550" s="28"/>
      <c r="I2550" s="28"/>
      <c r="J2550" s="24" t="str">
        <f aca="true">IF(ISBLANK(H2550), "", I2550-TODAY())</f>
        <v/>
      </c>
      <c r="K2550" s="24" t="str">
        <f aca="false" t="array" ref="K2550:K2550">IF(A2550&lt;&gt;"",IF(COUNTIF(A$996:A2551,"&lt;&gt;")=0,COUNTA(B$996:B2550),IFERROR(MATCH(TRUE(),INDEX((A$996:A2551&lt;&gt;""),0),0),COUNTA(B$996:B2550))),"")</f>
        <v/>
      </c>
      <c r="L2550" s="27"/>
    </row>
    <row r="2551" customFormat="false" ht="13.8" hidden="false" customHeight="false" outlineLevel="0" collapsed="false">
      <c r="A2551" s="16"/>
      <c r="B2551" s="16"/>
      <c r="C2551" s="26"/>
      <c r="D2551" s="26"/>
      <c r="E2551" s="16"/>
      <c r="F2551" s="18"/>
      <c r="G2551" s="19" t="str">
        <f aca="true">IF(F2551="", "", DATEDIF(F2551, TODAY(), "Y"))</f>
        <v/>
      </c>
      <c r="H2551" s="28"/>
      <c r="I2551" s="28"/>
      <c r="J2551" s="24" t="str">
        <f aca="true">IF(ISBLANK(H2551), "", I2551-TODAY())</f>
        <v/>
      </c>
      <c r="K2551" s="24" t="str">
        <f aca="false" t="array" ref="K2551:K2551">IF(A2551&lt;&gt;"",IF(COUNTIF(A$996:A2552,"&lt;&gt;")=0,COUNTA(B$996:B2551),IFERROR(MATCH(TRUE(),INDEX((A$996:A2552&lt;&gt;""),0),0),COUNTA(B$996:B2551))),"")</f>
        <v/>
      </c>
      <c r="L2551" s="27"/>
    </row>
    <row r="2552" customFormat="false" ht="13.8" hidden="false" customHeight="false" outlineLevel="0" collapsed="false">
      <c r="A2552" s="16"/>
      <c r="B2552" s="16"/>
      <c r="C2552" s="26"/>
      <c r="D2552" s="26"/>
      <c r="E2552" s="16"/>
      <c r="F2552" s="18"/>
      <c r="G2552" s="19" t="str">
        <f aca="true">IF(F2552="", "", DATEDIF(F2552, TODAY(), "Y"))</f>
        <v/>
      </c>
      <c r="H2552" s="28"/>
      <c r="I2552" s="28"/>
      <c r="J2552" s="24" t="str">
        <f aca="true">IF(ISBLANK(H2552), "", I2552-TODAY())</f>
        <v/>
      </c>
      <c r="K2552" s="24" t="str">
        <f aca="false" t="array" ref="K2552:K2552">IF(A2552&lt;&gt;"",IF(COUNTIF(A$996:A2553,"&lt;&gt;")=0,COUNTA(B$996:B2552),IFERROR(MATCH(TRUE(),INDEX((A$996:A2553&lt;&gt;""),0),0),COUNTA(B$996:B2552))),"")</f>
        <v/>
      </c>
      <c r="L2552" s="27"/>
    </row>
    <row r="2553" customFormat="false" ht="13.8" hidden="false" customHeight="false" outlineLevel="0" collapsed="false">
      <c r="A2553" s="16"/>
      <c r="B2553" s="16"/>
      <c r="C2553" s="26"/>
      <c r="D2553" s="26"/>
      <c r="E2553" s="16"/>
      <c r="F2553" s="18"/>
      <c r="G2553" s="19" t="str">
        <f aca="true">IF(F2553="", "", DATEDIF(F2553, TODAY(), "Y"))</f>
        <v/>
      </c>
      <c r="H2553" s="28"/>
      <c r="I2553" s="28"/>
      <c r="J2553" s="24" t="str">
        <f aca="true">IF(ISBLANK(H2553), "", I2553-TODAY())</f>
        <v/>
      </c>
      <c r="K2553" s="24" t="str">
        <f aca="false" t="array" ref="K2553:K2553">IF(A2553&lt;&gt;"",IF(COUNTIF(A$996:A2554,"&lt;&gt;")=0,COUNTA(B$996:B2553),IFERROR(MATCH(TRUE(),INDEX((A$996:A2554&lt;&gt;""),0),0),COUNTA(B$996:B2553))),"")</f>
        <v/>
      </c>
      <c r="L2553" s="27"/>
    </row>
    <row r="2554" customFormat="false" ht="13.8" hidden="false" customHeight="false" outlineLevel="0" collapsed="false">
      <c r="A2554" s="16"/>
      <c r="B2554" s="16"/>
      <c r="C2554" s="26"/>
      <c r="D2554" s="26"/>
      <c r="E2554" s="16"/>
      <c r="F2554" s="18"/>
      <c r="G2554" s="19" t="str">
        <f aca="true">IF(F2554="", "", DATEDIF(F2554, TODAY(), "Y"))</f>
        <v/>
      </c>
      <c r="H2554" s="28"/>
      <c r="I2554" s="28"/>
      <c r="J2554" s="24" t="str">
        <f aca="true">IF(ISBLANK(H2554), "", I2554-TODAY())</f>
        <v/>
      </c>
      <c r="K2554" s="24" t="str">
        <f aca="false" t="array" ref="K2554:K2554">IF(A2554&lt;&gt;"",IF(COUNTIF(A$996:A2555,"&lt;&gt;")=0,COUNTA(B$996:B2554),IFERROR(MATCH(TRUE(),INDEX((A$996:A2555&lt;&gt;""),0),0),COUNTA(B$996:B2554))),"")</f>
        <v/>
      </c>
      <c r="L2554" s="27"/>
    </row>
    <row r="2555" customFormat="false" ht="13.8" hidden="false" customHeight="false" outlineLevel="0" collapsed="false">
      <c r="A2555" s="16"/>
      <c r="B2555" s="16"/>
      <c r="C2555" s="26"/>
      <c r="D2555" s="26"/>
      <c r="E2555" s="16"/>
      <c r="F2555" s="18"/>
      <c r="G2555" s="19" t="str">
        <f aca="true">IF(F2555="", "", DATEDIF(F2555, TODAY(), "Y"))</f>
        <v/>
      </c>
      <c r="H2555" s="28"/>
      <c r="I2555" s="28"/>
      <c r="J2555" s="24" t="str">
        <f aca="true">IF(ISBLANK(H2555), "", I2555-TODAY())</f>
        <v/>
      </c>
      <c r="K2555" s="24" t="str">
        <f aca="false" t="array" ref="K2555:K2555">IF(A2555&lt;&gt;"",IF(COUNTIF(A$996:A2556,"&lt;&gt;")=0,COUNTA(B$996:B2555),IFERROR(MATCH(TRUE(),INDEX((A$996:A2556&lt;&gt;""),0),0),COUNTA(B$996:B2555))),"")</f>
        <v/>
      </c>
      <c r="L2555" s="27"/>
    </row>
    <row r="2556" customFormat="false" ht="13.8" hidden="false" customHeight="false" outlineLevel="0" collapsed="false">
      <c r="A2556" s="16"/>
      <c r="B2556" s="16"/>
      <c r="C2556" s="26"/>
      <c r="D2556" s="26"/>
      <c r="E2556" s="16"/>
      <c r="F2556" s="18"/>
      <c r="G2556" s="19" t="str">
        <f aca="true">IF(F2556="", "", DATEDIF(F2556, TODAY(), "Y"))</f>
        <v/>
      </c>
      <c r="H2556" s="28"/>
      <c r="I2556" s="28"/>
      <c r="J2556" s="24" t="str">
        <f aca="true">IF(ISBLANK(H2556), "", I2556-TODAY())</f>
        <v/>
      </c>
      <c r="K2556" s="24" t="str">
        <f aca="false" t="array" ref="K2556:K2556">IF(A2556&lt;&gt;"",IF(COUNTIF(A$996:A2557,"&lt;&gt;")=0,COUNTA(B$996:B2556),IFERROR(MATCH(TRUE(),INDEX((A$996:A2557&lt;&gt;""),0),0),COUNTA(B$996:B2556))),"")</f>
        <v/>
      </c>
      <c r="L2556" s="27"/>
    </row>
    <row r="2557" customFormat="false" ht="13.8" hidden="false" customHeight="false" outlineLevel="0" collapsed="false">
      <c r="A2557" s="16"/>
      <c r="B2557" s="16"/>
      <c r="C2557" s="26"/>
      <c r="D2557" s="26"/>
      <c r="E2557" s="16"/>
      <c r="F2557" s="18"/>
      <c r="G2557" s="19" t="str">
        <f aca="true">IF(F2557="", "", DATEDIF(F2557, TODAY(), "Y"))</f>
        <v/>
      </c>
      <c r="H2557" s="28"/>
      <c r="I2557" s="28"/>
      <c r="J2557" s="24" t="str">
        <f aca="true">IF(ISBLANK(H2557), "", I2557-TODAY())</f>
        <v/>
      </c>
      <c r="K2557" s="24" t="str">
        <f aca="false" t="array" ref="K2557:K2557">IF(A2557&lt;&gt;"",IF(COUNTIF(A$996:A2558,"&lt;&gt;")=0,COUNTA(B$996:B2557),IFERROR(MATCH(TRUE(),INDEX((A$996:A2558&lt;&gt;""),0),0),COUNTA(B$996:B2557))),"")</f>
        <v/>
      </c>
      <c r="L2557" s="27"/>
    </row>
    <row r="2558" customFormat="false" ht="13.8" hidden="false" customHeight="false" outlineLevel="0" collapsed="false">
      <c r="A2558" s="16"/>
      <c r="B2558" s="16"/>
      <c r="C2558" s="26"/>
      <c r="D2558" s="26"/>
      <c r="E2558" s="16"/>
      <c r="F2558" s="18"/>
      <c r="G2558" s="19" t="str">
        <f aca="true">IF(F2558="", "", DATEDIF(F2558, TODAY(), "Y"))</f>
        <v/>
      </c>
      <c r="H2558" s="28"/>
      <c r="I2558" s="28"/>
      <c r="J2558" s="24" t="str">
        <f aca="true">IF(ISBLANK(H2558), "", I2558-TODAY())</f>
        <v/>
      </c>
      <c r="K2558" s="24" t="str">
        <f aca="false" t="array" ref="K2558:K2558">IF(A2558&lt;&gt;"",IF(COUNTIF(A$996:A2559,"&lt;&gt;")=0,COUNTA(B$996:B2558),IFERROR(MATCH(TRUE(),INDEX((A$996:A2559&lt;&gt;""),0),0),COUNTA(B$996:B2558))),"")</f>
        <v/>
      </c>
      <c r="L2558" s="27"/>
    </row>
    <row r="2559" customFormat="false" ht="13.8" hidden="false" customHeight="false" outlineLevel="0" collapsed="false">
      <c r="A2559" s="16"/>
      <c r="B2559" s="16"/>
      <c r="C2559" s="26"/>
      <c r="D2559" s="26"/>
      <c r="E2559" s="16"/>
      <c r="F2559" s="18"/>
      <c r="G2559" s="19" t="str">
        <f aca="true">IF(F2559="", "", DATEDIF(F2559, TODAY(), "Y"))</f>
        <v/>
      </c>
      <c r="H2559" s="28"/>
      <c r="I2559" s="28"/>
      <c r="J2559" s="24" t="str">
        <f aca="true">IF(ISBLANK(H2559), "", I2559-TODAY())</f>
        <v/>
      </c>
      <c r="K2559" s="24" t="str">
        <f aca="false" t="array" ref="K2559:K2559">IF(A2559&lt;&gt;"",IF(COUNTIF(A$996:A2560,"&lt;&gt;")=0,COUNTA(B$996:B2559),IFERROR(MATCH(TRUE(),INDEX((A$996:A2560&lt;&gt;""),0),0),COUNTA(B$996:B2559))),"")</f>
        <v/>
      </c>
      <c r="L2559" s="27"/>
    </row>
    <row r="2560" customFormat="false" ht="13.8" hidden="false" customHeight="false" outlineLevel="0" collapsed="false">
      <c r="A2560" s="16"/>
      <c r="B2560" s="16"/>
      <c r="C2560" s="26"/>
      <c r="D2560" s="26"/>
      <c r="E2560" s="16"/>
      <c r="F2560" s="18"/>
      <c r="G2560" s="19" t="str">
        <f aca="true">IF(F2560="", "", DATEDIF(F2560, TODAY(), "Y"))</f>
        <v/>
      </c>
      <c r="H2560" s="28"/>
      <c r="I2560" s="28"/>
      <c r="J2560" s="24" t="str">
        <f aca="true">IF(ISBLANK(H2560), "", I2560-TODAY())</f>
        <v/>
      </c>
      <c r="K2560" s="24" t="str">
        <f aca="false" t="array" ref="K2560:K2560">IF(A2560&lt;&gt;"",IF(COUNTIF(A$996:A2561,"&lt;&gt;")=0,COUNTA(B$996:B2560),IFERROR(MATCH(TRUE(),INDEX((A$996:A2561&lt;&gt;""),0),0),COUNTA(B$996:B2560))),"")</f>
        <v/>
      </c>
      <c r="L2560" s="27"/>
    </row>
    <row r="2561" customFormat="false" ht="13.8" hidden="false" customHeight="false" outlineLevel="0" collapsed="false">
      <c r="A2561" s="16"/>
      <c r="B2561" s="16"/>
      <c r="C2561" s="26"/>
      <c r="D2561" s="26"/>
      <c r="E2561" s="16"/>
      <c r="F2561" s="18"/>
      <c r="G2561" s="19" t="str">
        <f aca="true">IF(F2561="", "", DATEDIF(F2561, TODAY(), "Y"))</f>
        <v/>
      </c>
      <c r="H2561" s="28"/>
      <c r="I2561" s="28"/>
      <c r="J2561" s="24" t="str">
        <f aca="true">IF(ISBLANK(H2561), "", I2561-TODAY())</f>
        <v/>
      </c>
      <c r="K2561" s="24" t="str">
        <f aca="false" t="array" ref="K2561:K2561">IF(A2561&lt;&gt;"",IF(COUNTIF(A$996:A2562,"&lt;&gt;")=0,COUNTA(B$996:B2561),IFERROR(MATCH(TRUE(),INDEX((A$996:A2562&lt;&gt;""),0),0),COUNTA(B$996:B2561))),"")</f>
        <v/>
      </c>
      <c r="L2561" s="27"/>
    </row>
    <row r="2562" customFormat="false" ht="13.8" hidden="false" customHeight="false" outlineLevel="0" collapsed="false">
      <c r="A2562" s="16"/>
      <c r="B2562" s="16"/>
      <c r="C2562" s="26"/>
      <c r="D2562" s="26"/>
      <c r="E2562" s="16"/>
      <c r="F2562" s="18"/>
      <c r="G2562" s="19" t="str">
        <f aca="true">IF(F2562="", "", DATEDIF(F2562, TODAY(), "Y"))</f>
        <v/>
      </c>
      <c r="H2562" s="28"/>
      <c r="I2562" s="28"/>
      <c r="J2562" s="24" t="str">
        <f aca="true">IF(ISBLANK(H2562), "", I2562-TODAY())</f>
        <v/>
      </c>
      <c r="K2562" s="24" t="str">
        <f aca="false" t="array" ref="K2562:K2562">IF(A2562&lt;&gt;"",IF(COUNTIF(A$996:A2563,"&lt;&gt;")=0,COUNTA(B$996:B2562),IFERROR(MATCH(TRUE(),INDEX((A$996:A2563&lt;&gt;""),0),0),COUNTA(B$996:B2562))),"")</f>
        <v/>
      </c>
      <c r="L2562" s="27"/>
    </row>
    <row r="2563" customFormat="false" ht="13.8" hidden="false" customHeight="false" outlineLevel="0" collapsed="false">
      <c r="A2563" s="16"/>
      <c r="B2563" s="16"/>
      <c r="C2563" s="26"/>
      <c r="D2563" s="26"/>
      <c r="E2563" s="16"/>
      <c r="F2563" s="18"/>
      <c r="G2563" s="19" t="str">
        <f aca="true">IF(F2563="", "", DATEDIF(F2563, TODAY(), "Y"))</f>
        <v/>
      </c>
      <c r="H2563" s="28"/>
      <c r="I2563" s="28"/>
      <c r="J2563" s="24" t="str">
        <f aca="true">IF(ISBLANK(H2563), "", I2563-TODAY())</f>
        <v/>
      </c>
      <c r="K2563" s="24" t="str">
        <f aca="false" t="array" ref="K2563:K2563">IF(A2563&lt;&gt;"",IF(COUNTIF(A$996:A2564,"&lt;&gt;")=0,COUNTA(B$996:B2563),IFERROR(MATCH(TRUE(),INDEX((A$996:A2564&lt;&gt;""),0),0),COUNTA(B$996:B2563))),"")</f>
        <v/>
      </c>
      <c r="L2563" s="27"/>
    </row>
    <row r="2564" customFormat="false" ht="13.8" hidden="false" customHeight="false" outlineLevel="0" collapsed="false">
      <c r="A2564" s="16"/>
      <c r="B2564" s="16"/>
      <c r="C2564" s="26"/>
      <c r="D2564" s="26"/>
      <c r="E2564" s="16"/>
      <c r="F2564" s="18"/>
      <c r="G2564" s="19" t="str">
        <f aca="true">IF(F2564="", "", DATEDIF(F2564, TODAY(), "Y"))</f>
        <v/>
      </c>
      <c r="H2564" s="28"/>
      <c r="I2564" s="28"/>
      <c r="J2564" s="24" t="str">
        <f aca="true">IF(ISBLANK(H2564), "", I2564-TODAY())</f>
        <v/>
      </c>
      <c r="K2564" s="24" t="str">
        <f aca="false" t="array" ref="K2564:K2564">IF(A2564&lt;&gt;"",IF(COUNTIF(A$996:A2565,"&lt;&gt;")=0,COUNTA(B$996:B2564),IFERROR(MATCH(TRUE(),INDEX((A$996:A2565&lt;&gt;""),0),0),COUNTA(B$996:B2564))),"")</f>
        <v/>
      </c>
      <c r="L2564" s="27"/>
    </row>
    <row r="2565" customFormat="false" ht="13.8" hidden="false" customHeight="false" outlineLevel="0" collapsed="false">
      <c r="A2565" s="16"/>
      <c r="B2565" s="16"/>
      <c r="C2565" s="26"/>
      <c r="D2565" s="26"/>
      <c r="E2565" s="16"/>
      <c r="F2565" s="18"/>
      <c r="G2565" s="19" t="str">
        <f aca="true">IF(F2565="", "", DATEDIF(F2565, TODAY(), "Y"))</f>
        <v/>
      </c>
      <c r="H2565" s="28"/>
      <c r="I2565" s="28"/>
      <c r="J2565" s="24" t="str">
        <f aca="true">IF(ISBLANK(H2565), "", I2565-TODAY())</f>
        <v/>
      </c>
      <c r="K2565" s="24" t="str">
        <f aca="false" t="array" ref="K2565:K2565">IF(A2565&lt;&gt;"",IF(COUNTIF(A$996:A2566,"&lt;&gt;")=0,COUNTA(B$996:B2565),IFERROR(MATCH(TRUE(),INDEX((A$996:A2566&lt;&gt;""),0),0),COUNTA(B$996:B2565))),"")</f>
        <v/>
      </c>
      <c r="L2565" s="27"/>
    </row>
    <row r="2566" customFormat="false" ht="13.8" hidden="false" customHeight="false" outlineLevel="0" collapsed="false">
      <c r="A2566" s="16"/>
      <c r="B2566" s="16"/>
      <c r="C2566" s="26"/>
      <c r="D2566" s="26"/>
      <c r="E2566" s="16"/>
      <c r="F2566" s="18"/>
      <c r="G2566" s="19" t="str">
        <f aca="true">IF(F2566="", "", DATEDIF(F2566, TODAY(), "Y"))</f>
        <v/>
      </c>
      <c r="H2566" s="28"/>
      <c r="I2566" s="28"/>
      <c r="J2566" s="24" t="str">
        <f aca="true">IF(ISBLANK(H2566), "", I2566-TODAY())</f>
        <v/>
      </c>
      <c r="K2566" s="24" t="str">
        <f aca="false" t="array" ref="K2566:K2566">IF(A2566&lt;&gt;"",IF(COUNTIF(A$996:A2567,"&lt;&gt;")=0,COUNTA(B$996:B2566),IFERROR(MATCH(TRUE(),INDEX((A$996:A2567&lt;&gt;""),0),0),COUNTA(B$996:B2566))),"")</f>
        <v/>
      </c>
      <c r="L2566" s="27"/>
    </row>
    <row r="2567" customFormat="false" ht="13.8" hidden="false" customHeight="false" outlineLevel="0" collapsed="false">
      <c r="A2567" s="16"/>
      <c r="B2567" s="16"/>
      <c r="C2567" s="26"/>
      <c r="D2567" s="26"/>
      <c r="E2567" s="16"/>
      <c r="F2567" s="18"/>
      <c r="G2567" s="19" t="str">
        <f aca="true">IF(F2567="", "", DATEDIF(F2567, TODAY(), "Y"))</f>
        <v/>
      </c>
      <c r="H2567" s="28"/>
      <c r="I2567" s="28"/>
      <c r="J2567" s="24" t="str">
        <f aca="true">IF(ISBLANK(H2567), "", I2567-TODAY())</f>
        <v/>
      </c>
      <c r="K2567" s="24" t="str">
        <f aca="false" t="array" ref="K2567:K2567">IF(A2567&lt;&gt;"",IF(COUNTIF(A$996:A2568,"&lt;&gt;")=0,COUNTA(B$996:B2567),IFERROR(MATCH(TRUE(),INDEX((A$996:A2568&lt;&gt;""),0),0),COUNTA(B$996:B2567))),"")</f>
        <v/>
      </c>
      <c r="L2567" s="27"/>
    </row>
    <row r="2568" customFormat="false" ht="13.8" hidden="false" customHeight="false" outlineLevel="0" collapsed="false">
      <c r="A2568" s="16"/>
      <c r="B2568" s="16"/>
      <c r="C2568" s="26"/>
      <c r="D2568" s="26"/>
      <c r="E2568" s="16"/>
      <c r="F2568" s="18"/>
      <c r="G2568" s="19" t="str">
        <f aca="true">IF(F2568="", "", DATEDIF(F2568, TODAY(), "Y"))</f>
        <v/>
      </c>
      <c r="H2568" s="28"/>
      <c r="I2568" s="28"/>
      <c r="J2568" s="24" t="str">
        <f aca="true">IF(ISBLANK(H2568), "", I2568-TODAY())</f>
        <v/>
      </c>
      <c r="K2568" s="24" t="str">
        <f aca="false" t="array" ref="K2568:K2568">IF(A2568&lt;&gt;"",IF(COUNTIF(A$996:A2569,"&lt;&gt;")=0,COUNTA(B$996:B2568),IFERROR(MATCH(TRUE(),INDEX((A$996:A2569&lt;&gt;""),0),0),COUNTA(B$996:B2568))),"")</f>
        <v/>
      </c>
      <c r="L2568" s="27"/>
    </row>
    <row r="2569" customFormat="false" ht="13.8" hidden="false" customHeight="false" outlineLevel="0" collapsed="false">
      <c r="A2569" s="16"/>
      <c r="B2569" s="16"/>
      <c r="C2569" s="26"/>
      <c r="D2569" s="26"/>
      <c r="E2569" s="16"/>
      <c r="F2569" s="18"/>
      <c r="G2569" s="19" t="str">
        <f aca="true">IF(F2569="", "", DATEDIF(F2569, TODAY(), "Y"))</f>
        <v/>
      </c>
      <c r="H2569" s="28"/>
      <c r="I2569" s="28"/>
      <c r="J2569" s="24" t="str">
        <f aca="true">IF(ISBLANK(H2569), "", I2569-TODAY())</f>
        <v/>
      </c>
      <c r="K2569" s="24" t="str">
        <f aca="false" t="array" ref="K2569:K2569">IF(A2569&lt;&gt;"",IF(COUNTIF(A$996:A2570,"&lt;&gt;")=0,COUNTA(B$996:B2569),IFERROR(MATCH(TRUE(),INDEX((A$996:A2570&lt;&gt;""),0),0),COUNTA(B$996:B2569))),"")</f>
        <v/>
      </c>
      <c r="L2569" s="27"/>
    </row>
    <row r="2570" customFormat="false" ht="13.8" hidden="false" customHeight="false" outlineLevel="0" collapsed="false">
      <c r="A2570" s="16"/>
      <c r="B2570" s="16"/>
      <c r="C2570" s="26"/>
      <c r="D2570" s="26"/>
      <c r="E2570" s="16"/>
      <c r="F2570" s="18"/>
      <c r="G2570" s="19" t="str">
        <f aca="true">IF(F2570="", "", DATEDIF(F2570, TODAY(), "Y"))</f>
        <v/>
      </c>
      <c r="H2570" s="28"/>
      <c r="I2570" s="28"/>
      <c r="J2570" s="24" t="str">
        <f aca="true">IF(ISBLANK(H2570), "", I2570-TODAY())</f>
        <v/>
      </c>
      <c r="K2570" s="24" t="str">
        <f aca="false" t="array" ref="K2570:K2570">IF(A2570&lt;&gt;"",IF(COUNTIF(A$996:A2571,"&lt;&gt;")=0,COUNTA(B$996:B2570),IFERROR(MATCH(TRUE(),INDEX((A$996:A2571&lt;&gt;""),0),0),COUNTA(B$996:B2570))),"")</f>
        <v/>
      </c>
      <c r="L2570" s="27"/>
    </row>
    <row r="2571" customFormat="false" ht="13.8" hidden="false" customHeight="false" outlineLevel="0" collapsed="false">
      <c r="A2571" s="16"/>
      <c r="B2571" s="16"/>
      <c r="C2571" s="26"/>
      <c r="D2571" s="26"/>
      <c r="E2571" s="16"/>
      <c r="F2571" s="18"/>
      <c r="G2571" s="19" t="str">
        <f aca="true">IF(F2571="", "", DATEDIF(F2571, TODAY(), "Y"))</f>
        <v/>
      </c>
      <c r="H2571" s="28"/>
      <c r="I2571" s="28"/>
      <c r="J2571" s="24" t="str">
        <f aca="true">IF(ISBLANK(H2571), "", I2571-TODAY())</f>
        <v/>
      </c>
      <c r="K2571" s="24" t="str">
        <f aca="false" t="array" ref="K2571:K2571">IF(A2571&lt;&gt;"",IF(COUNTIF(A$996:A2572,"&lt;&gt;")=0,COUNTA(B$996:B2571),IFERROR(MATCH(TRUE(),INDEX((A$996:A2572&lt;&gt;""),0),0),COUNTA(B$996:B2571))),"")</f>
        <v/>
      </c>
      <c r="L2571" s="27"/>
    </row>
    <row r="2572" customFormat="false" ht="13.8" hidden="false" customHeight="false" outlineLevel="0" collapsed="false">
      <c r="A2572" s="16"/>
      <c r="B2572" s="16"/>
      <c r="C2572" s="26"/>
      <c r="D2572" s="26"/>
      <c r="E2572" s="16"/>
      <c r="F2572" s="18"/>
      <c r="G2572" s="19" t="str">
        <f aca="true">IF(F2572="", "", DATEDIF(F2572, TODAY(), "Y"))</f>
        <v/>
      </c>
      <c r="H2572" s="28"/>
      <c r="I2572" s="28"/>
      <c r="J2572" s="24" t="str">
        <f aca="true">IF(ISBLANK(H2572), "", I2572-TODAY())</f>
        <v/>
      </c>
      <c r="K2572" s="24" t="str">
        <f aca="false" t="array" ref="K2572:K2572">IF(A2572&lt;&gt;"",IF(COUNTIF(A$996:A2573,"&lt;&gt;")=0,COUNTA(B$996:B2572),IFERROR(MATCH(TRUE(),INDEX((A$996:A2573&lt;&gt;""),0),0),COUNTA(B$996:B2572))),"")</f>
        <v/>
      </c>
      <c r="L2572" s="27"/>
    </row>
    <row r="2573" customFormat="false" ht="13.8" hidden="false" customHeight="false" outlineLevel="0" collapsed="false">
      <c r="A2573" s="16"/>
      <c r="B2573" s="16"/>
      <c r="C2573" s="26"/>
      <c r="D2573" s="26"/>
      <c r="E2573" s="16"/>
      <c r="F2573" s="18"/>
      <c r="G2573" s="19" t="str">
        <f aca="true">IF(F2573="", "", DATEDIF(F2573, TODAY(), "Y"))</f>
        <v/>
      </c>
      <c r="H2573" s="28"/>
      <c r="I2573" s="28"/>
      <c r="J2573" s="24" t="str">
        <f aca="true">IF(ISBLANK(H2573), "", I2573-TODAY())</f>
        <v/>
      </c>
      <c r="K2573" s="24" t="str">
        <f aca="false" t="array" ref="K2573:K2573">IF(A2573&lt;&gt;"",IF(COUNTIF(A$996:A2574,"&lt;&gt;")=0,COUNTA(B$996:B2573),IFERROR(MATCH(TRUE(),INDEX((A$996:A2574&lt;&gt;""),0),0),COUNTA(B$996:B2573))),"")</f>
        <v/>
      </c>
      <c r="L2573" s="27"/>
    </row>
    <row r="2574" customFormat="false" ht="13.8" hidden="false" customHeight="false" outlineLevel="0" collapsed="false">
      <c r="A2574" s="16"/>
      <c r="B2574" s="16"/>
      <c r="C2574" s="26"/>
      <c r="D2574" s="26"/>
      <c r="E2574" s="16"/>
      <c r="F2574" s="18"/>
      <c r="G2574" s="19" t="str">
        <f aca="true">IF(F2574="", "", DATEDIF(F2574, TODAY(), "Y"))</f>
        <v/>
      </c>
      <c r="H2574" s="28"/>
      <c r="I2574" s="28"/>
      <c r="J2574" s="24" t="str">
        <f aca="true">IF(ISBLANK(H2574), "", I2574-TODAY())</f>
        <v/>
      </c>
      <c r="K2574" s="24" t="str">
        <f aca="false" t="array" ref="K2574:K2574">IF(A2574&lt;&gt;"",IF(COUNTIF(A$996:A2575,"&lt;&gt;")=0,COUNTA(B$996:B2574),IFERROR(MATCH(TRUE(),INDEX((A$996:A2575&lt;&gt;""),0),0),COUNTA(B$996:B2574))),"")</f>
        <v/>
      </c>
      <c r="L2574" s="27"/>
    </row>
    <row r="2575" customFormat="false" ht="13.8" hidden="false" customHeight="false" outlineLevel="0" collapsed="false">
      <c r="A2575" s="16"/>
      <c r="B2575" s="16"/>
      <c r="C2575" s="26"/>
      <c r="D2575" s="26"/>
      <c r="E2575" s="16"/>
      <c r="F2575" s="18"/>
      <c r="G2575" s="19" t="str">
        <f aca="true">IF(F2575="", "", DATEDIF(F2575, TODAY(), "Y"))</f>
        <v/>
      </c>
      <c r="H2575" s="28"/>
      <c r="I2575" s="28"/>
      <c r="J2575" s="24" t="str">
        <f aca="true">IF(ISBLANK(H2575), "", I2575-TODAY())</f>
        <v/>
      </c>
      <c r="K2575" s="24" t="str">
        <f aca="false" t="array" ref="K2575:K2575">IF(A2575&lt;&gt;"",IF(COUNTIF(A$996:A2576,"&lt;&gt;")=0,COUNTA(B$996:B2575),IFERROR(MATCH(TRUE(),INDEX((A$996:A2576&lt;&gt;""),0),0),COUNTA(B$996:B2575))),"")</f>
        <v/>
      </c>
      <c r="L2575" s="27"/>
    </row>
    <row r="2576" customFormat="false" ht="13.8" hidden="false" customHeight="false" outlineLevel="0" collapsed="false">
      <c r="A2576" s="16"/>
      <c r="B2576" s="16"/>
      <c r="C2576" s="26"/>
      <c r="D2576" s="26"/>
      <c r="E2576" s="16"/>
      <c r="F2576" s="18"/>
      <c r="G2576" s="19" t="str">
        <f aca="true">IF(F2576="", "", DATEDIF(F2576, TODAY(), "Y"))</f>
        <v/>
      </c>
      <c r="H2576" s="28"/>
      <c r="I2576" s="28"/>
      <c r="J2576" s="24" t="str">
        <f aca="true">IF(ISBLANK(H2576), "", I2576-TODAY())</f>
        <v/>
      </c>
      <c r="K2576" s="24" t="str">
        <f aca="false" t="array" ref="K2576:K2576">IF(A2576&lt;&gt;"",IF(COUNTIF(A$996:A2577,"&lt;&gt;")=0,COUNTA(B$996:B2576),IFERROR(MATCH(TRUE(),INDEX((A$996:A2577&lt;&gt;""),0),0),COUNTA(B$996:B2576))),"")</f>
        <v/>
      </c>
      <c r="L2576" s="27"/>
    </row>
    <row r="2577" customFormat="false" ht="13.8" hidden="false" customHeight="false" outlineLevel="0" collapsed="false">
      <c r="A2577" s="16"/>
      <c r="B2577" s="16"/>
      <c r="C2577" s="26"/>
      <c r="D2577" s="26"/>
      <c r="E2577" s="16"/>
      <c r="F2577" s="18"/>
      <c r="G2577" s="19" t="str">
        <f aca="true">IF(F2577="", "", DATEDIF(F2577, TODAY(), "Y"))</f>
        <v/>
      </c>
      <c r="H2577" s="28"/>
      <c r="I2577" s="28"/>
      <c r="J2577" s="24" t="str">
        <f aca="true">IF(ISBLANK(H2577), "", I2577-TODAY())</f>
        <v/>
      </c>
      <c r="K2577" s="24" t="str">
        <f aca="false" t="array" ref="K2577:K2577">IF(A2577&lt;&gt;"",IF(COUNTIF(A$996:A2578,"&lt;&gt;")=0,COUNTA(B$996:B2577),IFERROR(MATCH(TRUE(),INDEX((A$996:A2578&lt;&gt;""),0),0),COUNTA(B$996:B2577))),"")</f>
        <v/>
      </c>
      <c r="L2577" s="27"/>
    </row>
    <row r="2578" customFormat="false" ht="13.8" hidden="false" customHeight="false" outlineLevel="0" collapsed="false">
      <c r="A2578" s="16"/>
      <c r="B2578" s="16"/>
      <c r="C2578" s="26"/>
      <c r="D2578" s="26"/>
      <c r="E2578" s="16"/>
      <c r="F2578" s="18"/>
      <c r="G2578" s="19" t="str">
        <f aca="true">IF(F2578="", "", DATEDIF(F2578, TODAY(), "Y"))</f>
        <v/>
      </c>
      <c r="H2578" s="28"/>
      <c r="I2578" s="28"/>
      <c r="J2578" s="24" t="str">
        <f aca="true">IF(ISBLANK(H2578), "", I2578-TODAY())</f>
        <v/>
      </c>
      <c r="K2578" s="24" t="str">
        <f aca="false" t="array" ref="K2578:K2578">IF(A2578&lt;&gt;"",IF(COUNTIF(A$996:A2579,"&lt;&gt;")=0,COUNTA(B$996:B2578),IFERROR(MATCH(TRUE(),INDEX((A$996:A2579&lt;&gt;""),0),0),COUNTA(B$996:B2578))),"")</f>
        <v/>
      </c>
      <c r="L2578" s="27"/>
    </row>
    <row r="2579" customFormat="false" ht="13.8" hidden="false" customHeight="false" outlineLevel="0" collapsed="false">
      <c r="A2579" s="16"/>
      <c r="B2579" s="16"/>
      <c r="C2579" s="26"/>
      <c r="D2579" s="26"/>
      <c r="E2579" s="16"/>
      <c r="F2579" s="18"/>
      <c r="G2579" s="19" t="str">
        <f aca="true">IF(F2579="", "", DATEDIF(F2579, TODAY(), "Y"))</f>
        <v/>
      </c>
      <c r="H2579" s="28"/>
      <c r="I2579" s="28"/>
      <c r="J2579" s="24" t="str">
        <f aca="true">IF(ISBLANK(H2579), "", I2579-TODAY())</f>
        <v/>
      </c>
      <c r="K2579" s="24" t="str">
        <f aca="false" t="array" ref="K2579:K2579">IF(A2579&lt;&gt;"",IF(COUNTIF(A$996:A2580,"&lt;&gt;")=0,COUNTA(B$996:B2579),IFERROR(MATCH(TRUE(),INDEX((A$996:A2580&lt;&gt;""),0),0),COUNTA(B$996:B2579))),"")</f>
        <v/>
      </c>
      <c r="L2579" s="27"/>
    </row>
    <row r="2580" customFormat="false" ht="13.8" hidden="false" customHeight="false" outlineLevel="0" collapsed="false">
      <c r="A2580" s="16"/>
      <c r="B2580" s="16"/>
      <c r="C2580" s="26"/>
      <c r="D2580" s="26"/>
      <c r="E2580" s="16"/>
      <c r="F2580" s="18"/>
      <c r="G2580" s="19" t="str">
        <f aca="true">IF(F2580="", "", DATEDIF(F2580, TODAY(), "Y"))</f>
        <v/>
      </c>
      <c r="H2580" s="28"/>
      <c r="I2580" s="28"/>
      <c r="J2580" s="24" t="str">
        <f aca="true">IF(ISBLANK(H2580), "", I2580-TODAY())</f>
        <v/>
      </c>
      <c r="K2580" s="24" t="str">
        <f aca="false" t="array" ref="K2580:K2580">IF(A2580&lt;&gt;"",IF(COUNTIF(A$996:A2581,"&lt;&gt;")=0,COUNTA(B$996:B2580),IFERROR(MATCH(TRUE(),INDEX((A$996:A2581&lt;&gt;""),0),0),COUNTA(B$996:B2580))),"")</f>
        <v/>
      </c>
      <c r="L2580" s="27"/>
    </row>
    <row r="2581" customFormat="false" ht="13.8" hidden="false" customHeight="false" outlineLevel="0" collapsed="false">
      <c r="A2581" s="16"/>
      <c r="B2581" s="16"/>
      <c r="C2581" s="26"/>
      <c r="D2581" s="26"/>
      <c r="E2581" s="16"/>
      <c r="F2581" s="18"/>
      <c r="G2581" s="19" t="str">
        <f aca="true">IF(F2581="", "", DATEDIF(F2581, TODAY(), "Y"))</f>
        <v/>
      </c>
      <c r="H2581" s="28"/>
      <c r="I2581" s="28"/>
      <c r="J2581" s="24" t="str">
        <f aca="true">IF(ISBLANK(H2581), "", I2581-TODAY())</f>
        <v/>
      </c>
      <c r="K2581" s="24" t="str">
        <f aca="false" t="array" ref="K2581:K2581">IF(A2581&lt;&gt;"",IF(COUNTIF(A$996:A2582,"&lt;&gt;")=0,COUNTA(B$996:B2581),IFERROR(MATCH(TRUE(),INDEX((A$996:A2582&lt;&gt;""),0),0),COUNTA(B$996:B2581))),"")</f>
        <v/>
      </c>
      <c r="L2581" s="27"/>
    </row>
    <row r="2582" customFormat="false" ht="13.8" hidden="false" customHeight="false" outlineLevel="0" collapsed="false">
      <c r="A2582" s="16"/>
      <c r="B2582" s="16"/>
      <c r="C2582" s="26"/>
      <c r="D2582" s="26"/>
      <c r="E2582" s="16"/>
      <c r="F2582" s="18"/>
      <c r="G2582" s="19" t="str">
        <f aca="true">IF(F2582="", "", DATEDIF(F2582, TODAY(), "Y"))</f>
        <v/>
      </c>
      <c r="H2582" s="28"/>
      <c r="I2582" s="28"/>
      <c r="J2582" s="24" t="str">
        <f aca="true">IF(ISBLANK(H2582), "", I2582-TODAY())</f>
        <v/>
      </c>
      <c r="K2582" s="24" t="str">
        <f aca="false" t="array" ref="K2582:K2582">IF(A2582&lt;&gt;"",IF(COUNTIF(A$996:A2583,"&lt;&gt;")=0,COUNTA(B$996:B2582),IFERROR(MATCH(TRUE(),INDEX((A$996:A2583&lt;&gt;""),0),0),COUNTA(B$996:B2582))),"")</f>
        <v/>
      </c>
      <c r="L2582" s="27"/>
    </row>
    <row r="2583" customFormat="false" ht="13.8" hidden="false" customHeight="false" outlineLevel="0" collapsed="false">
      <c r="A2583" s="16"/>
      <c r="B2583" s="16"/>
      <c r="C2583" s="26"/>
      <c r="D2583" s="26"/>
      <c r="E2583" s="16"/>
      <c r="F2583" s="18"/>
      <c r="G2583" s="19" t="str">
        <f aca="true">IF(F2583="", "", DATEDIF(F2583, TODAY(), "Y"))</f>
        <v/>
      </c>
      <c r="H2583" s="28"/>
      <c r="I2583" s="28"/>
      <c r="J2583" s="24" t="str">
        <f aca="true">IF(ISBLANK(H2583), "", I2583-TODAY())</f>
        <v/>
      </c>
      <c r="K2583" s="24" t="str">
        <f aca="false" t="array" ref="K2583:K2583">IF(A2583&lt;&gt;"",IF(COUNTIF(A$996:A2584,"&lt;&gt;")=0,COUNTA(B$996:B2583),IFERROR(MATCH(TRUE(),INDEX((A$996:A2584&lt;&gt;""),0),0),COUNTA(B$996:B2583))),"")</f>
        <v/>
      </c>
      <c r="L2583" s="27"/>
    </row>
    <row r="2584" customFormat="false" ht="13.8" hidden="false" customHeight="false" outlineLevel="0" collapsed="false">
      <c r="A2584" s="16"/>
      <c r="B2584" s="16"/>
      <c r="C2584" s="26"/>
      <c r="D2584" s="26"/>
      <c r="E2584" s="16"/>
      <c r="F2584" s="18"/>
      <c r="G2584" s="19" t="str">
        <f aca="true">IF(F2584="", "", DATEDIF(F2584, TODAY(), "Y"))</f>
        <v/>
      </c>
      <c r="H2584" s="28"/>
      <c r="I2584" s="28"/>
      <c r="J2584" s="24" t="str">
        <f aca="true">IF(ISBLANK(H2584), "", I2584-TODAY())</f>
        <v/>
      </c>
      <c r="K2584" s="24" t="str">
        <f aca="false" t="array" ref="K2584:K2584">IF(A2584&lt;&gt;"",IF(COUNTIF(A$996:A2585,"&lt;&gt;")=0,COUNTA(B$996:B2584),IFERROR(MATCH(TRUE(),INDEX((A$996:A2585&lt;&gt;""),0),0),COUNTA(B$996:B2584))),"")</f>
        <v/>
      </c>
      <c r="L2584" s="27"/>
    </row>
    <row r="2585" customFormat="false" ht="13.8" hidden="false" customHeight="false" outlineLevel="0" collapsed="false">
      <c r="A2585" s="16"/>
      <c r="B2585" s="16"/>
      <c r="C2585" s="26"/>
      <c r="D2585" s="26"/>
      <c r="E2585" s="16"/>
      <c r="F2585" s="18"/>
      <c r="G2585" s="19" t="str">
        <f aca="true">IF(F2585="", "", DATEDIF(F2585, TODAY(), "Y"))</f>
        <v/>
      </c>
      <c r="H2585" s="28"/>
      <c r="I2585" s="28"/>
      <c r="J2585" s="24" t="str">
        <f aca="true">IF(ISBLANK(H2585), "", I2585-TODAY())</f>
        <v/>
      </c>
      <c r="K2585" s="24" t="str">
        <f aca="false" t="array" ref="K2585:K2585">IF(A2585&lt;&gt;"",IF(COUNTIF(A$996:A2586,"&lt;&gt;")=0,COUNTA(B$996:B2585),IFERROR(MATCH(TRUE(),INDEX((A$996:A2586&lt;&gt;""),0),0),COUNTA(B$996:B2585))),"")</f>
        <v/>
      </c>
      <c r="L2585" s="27"/>
    </row>
    <row r="2586" customFormat="false" ht="13.8" hidden="false" customHeight="false" outlineLevel="0" collapsed="false">
      <c r="A2586" s="16"/>
      <c r="B2586" s="16"/>
      <c r="C2586" s="26"/>
      <c r="D2586" s="26"/>
      <c r="E2586" s="16"/>
      <c r="F2586" s="18"/>
      <c r="G2586" s="19" t="str">
        <f aca="true">IF(F2586="", "", DATEDIF(F2586, TODAY(), "Y"))</f>
        <v/>
      </c>
      <c r="H2586" s="28"/>
      <c r="I2586" s="28"/>
      <c r="J2586" s="24" t="str">
        <f aca="true">IF(ISBLANK(H2586), "", I2586-TODAY())</f>
        <v/>
      </c>
      <c r="K2586" s="24" t="str">
        <f aca="false" t="array" ref="K2586:K2586">IF(A2586&lt;&gt;"",IF(COUNTIF(A$996:A2587,"&lt;&gt;")=0,COUNTA(B$996:B2586),IFERROR(MATCH(TRUE(),INDEX((A$996:A2587&lt;&gt;""),0),0),COUNTA(B$996:B2586))),"")</f>
        <v/>
      </c>
      <c r="L2586" s="27"/>
    </row>
    <row r="2587" customFormat="false" ht="13.8" hidden="false" customHeight="false" outlineLevel="0" collapsed="false">
      <c r="A2587" s="16"/>
      <c r="B2587" s="16"/>
      <c r="C2587" s="26"/>
      <c r="D2587" s="26"/>
      <c r="E2587" s="16"/>
      <c r="F2587" s="18"/>
      <c r="G2587" s="19" t="str">
        <f aca="true">IF(F2587="", "", DATEDIF(F2587, TODAY(), "Y"))</f>
        <v/>
      </c>
      <c r="H2587" s="28"/>
      <c r="I2587" s="28"/>
      <c r="J2587" s="24" t="str">
        <f aca="true">IF(ISBLANK(H2587), "", I2587-TODAY())</f>
        <v/>
      </c>
      <c r="K2587" s="24" t="str">
        <f aca="false" t="array" ref="K2587:K2587">IF(A2587&lt;&gt;"",IF(COUNTIF(A$996:A2588,"&lt;&gt;")=0,COUNTA(B$996:B2587),IFERROR(MATCH(TRUE(),INDEX((A$996:A2588&lt;&gt;""),0),0),COUNTA(B$996:B2587))),"")</f>
        <v/>
      </c>
      <c r="L2587" s="27"/>
    </row>
    <row r="2588" customFormat="false" ht="13.8" hidden="false" customHeight="false" outlineLevel="0" collapsed="false">
      <c r="A2588" s="16"/>
      <c r="B2588" s="16"/>
      <c r="C2588" s="26"/>
      <c r="D2588" s="26"/>
      <c r="E2588" s="16"/>
      <c r="F2588" s="18"/>
      <c r="G2588" s="19" t="str">
        <f aca="true">IF(F2588="", "", DATEDIF(F2588, TODAY(), "Y"))</f>
        <v/>
      </c>
      <c r="H2588" s="28"/>
      <c r="I2588" s="28"/>
      <c r="J2588" s="24" t="str">
        <f aca="true">IF(ISBLANK(H2588), "", I2588-TODAY())</f>
        <v/>
      </c>
      <c r="K2588" s="24" t="str">
        <f aca="false" t="array" ref="K2588:K2588">IF(A2588&lt;&gt;"",IF(COUNTIF(A$996:A2589,"&lt;&gt;")=0,COUNTA(B$996:B2588),IFERROR(MATCH(TRUE(),INDEX((A$996:A2589&lt;&gt;""),0),0),COUNTA(B$996:B2588))),"")</f>
        <v/>
      </c>
      <c r="L2588" s="27"/>
    </row>
    <row r="2589" customFormat="false" ht="13.8" hidden="false" customHeight="false" outlineLevel="0" collapsed="false">
      <c r="A2589" s="16"/>
      <c r="B2589" s="16"/>
      <c r="C2589" s="26"/>
      <c r="D2589" s="26"/>
      <c r="E2589" s="16"/>
      <c r="F2589" s="18"/>
      <c r="G2589" s="19" t="str">
        <f aca="true">IF(F2589="", "", DATEDIF(F2589, TODAY(), "Y"))</f>
        <v/>
      </c>
      <c r="H2589" s="28"/>
      <c r="I2589" s="28"/>
      <c r="J2589" s="24" t="str">
        <f aca="true">IF(ISBLANK(H2589), "", I2589-TODAY())</f>
        <v/>
      </c>
      <c r="K2589" s="24" t="str">
        <f aca="false" t="array" ref="K2589:K2589">IF(A2589&lt;&gt;"",IF(COUNTIF(A$996:A2590,"&lt;&gt;")=0,COUNTA(B$996:B2589),IFERROR(MATCH(TRUE(),INDEX((A$996:A2590&lt;&gt;""),0),0),COUNTA(B$996:B2589))),"")</f>
        <v/>
      </c>
      <c r="L2589" s="27"/>
    </row>
    <row r="2590" customFormat="false" ht="13.8" hidden="false" customHeight="false" outlineLevel="0" collapsed="false">
      <c r="A2590" s="16"/>
      <c r="B2590" s="16"/>
      <c r="C2590" s="26"/>
      <c r="D2590" s="26"/>
      <c r="E2590" s="16"/>
      <c r="F2590" s="18"/>
      <c r="G2590" s="19" t="str">
        <f aca="true">IF(F2590="", "", DATEDIF(F2590, TODAY(), "Y"))</f>
        <v/>
      </c>
      <c r="H2590" s="28"/>
      <c r="I2590" s="28"/>
      <c r="J2590" s="24" t="str">
        <f aca="true">IF(ISBLANK(H2590), "", I2590-TODAY())</f>
        <v/>
      </c>
      <c r="K2590" s="24" t="str">
        <f aca="false" t="array" ref="K2590:K2590">IF(A2590&lt;&gt;"",IF(COUNTIF(A$996:A2591,"&lt;&gt;")=0,COUNTA(B$996:B2590),IFERROR(MATCH(TRUE(),INDEX((A$996:A2591&lt;&gt;""),0),0),COUNTA(B$996:B2590))),"")</f>
        <v/>
      </c>
      <c r="L2590" s="27"/>
    </row>
    <row r="2591" customFormat="false" ht="13.8" hidden="false" customHeight="false" outlineLevel="0" collapsed="false">
      <c r="A2591" s="16"/>
      <c r="B2591" s="16"/>
      <c r="C2591" s="26"/>
      <c r="D2591" s="26"/>
      <c r="E2591" s="16"/>
      <c r="F2591" s="18"/>
      <c r="G2591" s="19" t="str">
        <f aca="true">IF(F2591="", "", DATEDIF(F2591, TODAY(), "Y"))</f>
        <v/>
      </c>
      <c r="H2591" s="28"/>
      <c r="I2591" s="28"/>
      <c r="J2591" s="24" t="str">
        <f aca="true">IF(ISBLANK(H2591), "", I2591-TODAY())</f>
        <v/>
      </c>
      <c r="K2591" s="24" t="str">
        <f aca="false" t="array" ref="K2591:K2591">IF(A2591&lt;&gt;"",IF(COUNTIF(A$996:A2592,"&lt;&gt;")=0,COUNTA(B$996:B2591),IFERROR(MATCH(TRUE(),INDEX((A$996:A2592&lt;&gt;""),0),0),COUNTA(B$996:B2591))),"")</f>
        <v/>
      </c>
      <c r="L2591" s="27"/>
    </row>
    <row r="2592" customFormat="false" ht="13.8" hidden="false" customHeight="false" outlineLevel="0" collapsed="false">
      <c r="A2592" s="16"/>
      <c r="B2592" s="16"/>
      <c r="C2592" s="26"/>
      <c r="D2592" s="26"/>
      <c r="E2592" s="16"/>
      <c r="F2592" s="18"/>
      <c r="G2592" s="19" t="str">
        <f aca="true">IF(F2592="", "", DATEDIF(F2592, TODAY(), "Y"))</f>
        <v/>
      </c>
      <c r="H2592" s="28"/>
      <c r="I2592" s="28"/>
      <c r="J2592" s="24" t="str">
        <f aca="true">IF(ISBLANK(H2592), "", I2592-TODAY())</f>
        <v/>
      </c>
      <c r="K2592" s="24" t="str">
        <f aca="false" t="array" ref="K2592:K2592">IF(A2592&lt;&gt;"",IF(COUNTIF(A$996:A2593,"&lt;&gt;")=0,COUNTA(B$996:B2592),IFERROR(MATCH(TRUE(),INDEX((A$996:A2593&lt;&gt;""),0),0),COUNTA(B$996:B2592))),"")</f>
        <v/>
      </c>
      <c r="L2592" s="27"/>
    </row>
    <row r="2593" customFormat="false" ht="13.8" hidden="false" customHeight="false" outlineLevel="0" collapsed="false">
      <c r="A2593" s="16"/>
      <c r="B2593" s="16"/>
      <c r="C2593" s="26"/>
      <c r="D2593" s="26"/>
      <c r="E2593" s="16"/>
      <c r="F2593" s="18"/>
      <c r="G2593" s="19" t="str">
        <f aca="true">IF(F2593="", "", DATEDIF(F2593, TODAY(), "Y"))</f>
        <v/>
      </c>
      <c r="H2593" s="28"/>
      <c r="I2593" s="28"/>
      <c r="J2593" s="24" t="str">
        <f aca="true">IF(ISBLANK(H2593), "", I2593-TODAY())</f>
        <v/>
      </c>
      <c r="K2593" s="24" t="str">
        <f aca="false" t="array" ref="K2593:K2593">IF(A2593&lt;&gt;"",IF(COUNTIF(A$996:A2594,"&lt;&gt;")=0,COUNTA(B$996:B2593),IFERROR(MATCH(TRUE(),INDEX((A$996:A2594&lt;&gt;""),0),0),COUNTA(B$996:B2593))),"")</f>
        <v/>
      </c>
      <c r="L2593" s="27"/>
    </row>
    <row r="2594" customFormat="false" ht="13.8" hidden="false" customHeight="false" outlineLevel="0" collapsed="false">
      <c r="A2594" s="16"/>
      <c r="B2594" s="16"/>
      <c r="C2594" s="26"/>
      <c r="D2594" s="26"/>
      <c r="E2594" s="16"/>
      <c r="F2594" s="18"/>
      <c r="G2594" s="19" t="str">
        <f aca="true">IF(F2594="", "", DATEDIF(F2594, TODAY(), "Y"))</f>
        <v/>
      </c>
      <c r="H2594" s="28"/>
      <c r="I2594" s="28"/>
      <c r="J2594" s="24" t="str">
        <f aca="true">IF(ISBLANK(H2594), "", I2594-TODAY())</f>
        <v/>
      </c>
      <c r="K2594" s="24" t="str">
        <f aca="false" t="array" ref="K2594:K2594">IF(A2594&lt;&gt;"",IF(COUNTIF(A$996:A2595,"&lt;&gt;")=0,COUNTA(B$996:B2594),IFERROR(MATCH(TRUE(),INDEX((A$996:A2595&lt;&gt;""),0),0),COUNTA(B$996:B2594))),"")</f>
        <v/>
      </c>
      <c r="L2594" s="27"/>
    </row>
    <row r="2595" customFormat="false" ht="13.8" hidden="false" customHeight="false" outlineLevel="0" collapsed="false">
      <c r="A2595" s="16"/>
      <c r="B2595" s="16"/>
      <c r="C2595" s="26"/>
      <c r="D2595" s="26"/>
      <c r="E2595" s="16"/>
      <c r="F2595" s="18"/>
      <c r="G2595" s="19" t="str">
        <f aca="true">IF(F2595="", "", DATEDIF(F2595, TODAY(), "Y"))</f>
        <v/>
      </c>
      <c r="H2595" s="28"/>
      <c r="I2595" s="28"/>
      <c r="J2595" s="24" t="str">
        <f aca="true">IF(ISBLANK(H2595), "", I2595-TODAY())</f>
        <v/>
      </c>
      <c r="K2595" s="24" t="str">
        <f aca="false" t="array" ref="K2595:K2595">IF(A2595&lt;&gt;"",IF(COUNTIF(A$996:A2596,"&lt;&gt;")=0,COUNTA(B$996:B2595),IFERROR(MATCH(TRUE(),INDEX((A$996:A2596&lt;&gt;""),0),0),COUNTA(B$996:B2595))),"")</f>
        <v/>
      </c>
      <c r="L2595" s="27"/>
    </row>
    <row r="2596" customFormat="false" ht="13.8" hidden="false" customHeight="false" outlineLevel="0" collapsed="false">
      <c r="A2596" s="16"/>
      <c r="B2596" s="16"/>
      <c r="C2596" s="26"/>
      <c r="D2596" s="26"/>
      <c r="E2596" s="16"/>
      <c r="F2596" s="18"/>
      <c r="G2596" s="19" t="str">
        <f aca="true">IF(F2596="", "", DATEDIF(F2596, TODAY(), "Y"))</f>
        <v/>
      </c>
      <c r="H2596" s="28"/>
      <c r="I2596" s="28"/>
      <c r="J2596" s="24" t="str">
        <f aca="true">IF(ISBLANK(H2596), "", I2596-TODAY())</f>
        <v/>
      </c>
      <c r="K2596" s="24" t="str">
        <f aca="false" t="array" ref="K2596:K2596">IF(A2596&lt;&gt;"",IF(COUNTIF(A$996:A2597,"&lt;&gt;")=0,COUNTA(B$996:B2596),IFERROR(MATCH(TRUE(),INDEX((A$996:A2597&lt;&gt;""),0),0),COUNTA(B$996:B2596))),"")</f>
        <v/>
      </c>
      <c r="L2596" s="27"/>
    </row>
    <row r="2597" customFormat="false" ht="13.8" hidden="false" customHeight="false" outlineLevel="0" collapsed="false">
      <c r="A2597" s="16"/>
      <c r="B2597" s="16"/>
      <c r="C2597" s="26"/>
      <c r="D2597" s="26"/>
      <c r="E2597" s="16"/>
      <c r="F2597" s="18"/>
      <c r="G2597" s="19" t="str">
        <f aca="true">IF(F2597="", "", DATEDIF(F2597, TODAY(), "Y"))</f>
        <v/>
      </c>
      <c r="H2597" s="28"/>
      <c r="I2597" s="28"/>
      <c r="J2597" s="24" t="str">
        <f aca="true">IF(ISBLANK(H2597), "", I2597-TODAY())</f>
        <v/>
      </c>
      <c r="K2597" s="24" t="str">
        <f aca="false" t="array" ref="K2597:K2597">IF(A2597&lt;&gt;"",IF(COUNTIF(A$996:A2598,"&lt;&gt;")=0,COUNTA(B$996:B2597),IFERROR(MATCH(TRUE(),INDEX((A$996:A2598&lt;&gt;""),0),0),COUNTA(B$996:B2597))),"")</f>
        <v/>
      </c>
      <c r="L2597" s="27"/>
    </row>
    <row r="2598" customFormat="false" ht="13.8" hidden="false" customHeight="false" outlineLevel="0" collapsed="false">
      <c r="A2598" s="16"/>
      <c r="B2598" s="16"/>
      <c r="C2598" s="26"/>
      <c r="D2598" s="26"/>
      <c r="E2598" s="16"/>
      <c r="F2598" s="18"/>
      <c r="G2598" s="19" t="str">
        <f aca="true">IF(F2598="", "", DATEDIF(F2598, TODAY(), "Y"))</f>
        <v/>
      </c>
      <c r="H2598" s="28"/>
      <c r="I2598" s="28"/>
      <c r="J2598" s="24" t="str">
        <f aca="true">IF(ISBLANK(H2598), "", I2598-TODAY())</f>
        <v/>
      </c>
      <c r="K2598" s="24" t="str">
        <f aca="false" t="array" ref="K2598:K2598">IF(A2598&lt;&gt;"",IF(COUNTIF(A$996:A2599,"&lt;&gt;")=0,COUNTA(B$996:B2598),IFERROR(MATCH(TRUE(),INDEX((A$996:A2599&lt;&gt;""),0),0),COUNTA(B$996:B2598))),"")</f>
        <v/>
      </c>
      <c r="L2598" s="27"/>
    </row>
    <row r="2599" customFormat="false" ht="13.8" hidden="false" customHeight="false" outlineLevel="0" collapsed="false">
      <c r="A2599" s="16"/>
      <c r="B2599" s="16"/>
      <c r="C2599" s="26"/>
      <c r="D2599" s="26"/>
      <c r="E2599" s="16"/>
      <c r="F2599" s="18"/>
      <c r="G2599" s="19" t="str">
        <f aca="true">IF(F2599="", "", DATEDIF(F2599, TODAY(), "Y"))</f>
        <v/>
      </c>
      <c r="H2599" s="28"/>
      <c r="I2599" s="28"/>
      <c r="J2599" s="24" t="str">
        <f aca="true">IF(ISBLANK(H2599), "", I2599-TODAY())</f>
        <v/>
      </c>
      <c r="K2599" s="24" t="str">
        <f aca="false" t="array" ref="K2599:K2599">IF(A2599&lt;&gt;"",IF(COUNTIF(A$996:A2600,"&lt;&gt;")=0,COUNTA(B$996:B2599),IFERROR(MATCH(TRUE(),INDEX((A$996:A2600&lt;&gt;""),0),0),COUNTA(B$996:B2599))),"")</f>
        <v/>
      </c>
      <c r="L2599" s="27"/>
    </row>
    <row r="2600" customFormat="false" ht="13.8" hidden="false" customHeight="false" outlineLevel="0" collapsed="false">
      <c r="A2600" s="16"/>
      <c r="B2600" s="16"/>
      <c r="C2600" s="26"/>
      <c r="D2600" s="26"/>
      <c r="E2600" s="16"/>
      <c r="F2600" s="18"/>
      <c r="G2600" s="19" t="str">
        <f aca="true">IF(F2600="", "", DATEDIF(F2600, TODAY(), "Y"))</f>
        <v/>
      </c>
      <c r="H2600" s="28"/>
      <c r="I2600" s="28"/>
      <c r="J2600" s="24" t="str">
        <f aca="true">IF(ISBLANK(H2600), "", I2600-TODAY())</f>
        <v/>
      </c>
      <c r="K2600" s="24" t="str">
        <f aca="false" t="array" ref="K2600:K2600">IF(A2600&lt;&gt;"",IF(COUNTIF(A$996:A2601,"&lt;&gt;")=0,COUNTA(B$996:B2600),IFERROR(MATCH(TRUE(),INDEX((A$996:A2601&lt;&gt;""),0),0),COUNTA(B$996:B2600))),"")</f>
        <v/>
      </c>
      <c r="L2600" s="27"/>
    </row>
    <row r="2601" customFormat="false" ht="13.8" hidden="false" customHeight="false" outlineLevel="0" collapsed="false">
      <c r="A2601" s="16"/>
      <c r="B2601" s="16"/>
      <c r="C2601" s="26"/>
      <c r="D2601" s="26"/>
      <c r="E2601" s="16"/>
      <c r="F2601" s="18"/>
      <c r="G2601" s="19" t="str">
        <f aca="true">IF(F2601="", "", DATEDIF(F2601, TODAY(), "Y"))</f>
        <v/>
      </c>
      <c r="H2601" s="28"/>
      <c r="I2601" s="28"/>
      <c r="J2601" s="24" t="str">
        <f aca="true">IF(ISBLANK(H2601), "", I2601-TODAY())</f>
        <v/>
      </c>
      <c r="K2601" s="24" t="str">
        <f aca="false" t="array" ref="K2601:K2601">IF(A2601&lt;&gt;"",IF(COUNTIF(A$996:A2602,"&lt;&gt;")=0,COUNTA(B$996:B2601),IFERROR(MATCH(TRUE(),INDEX((A$996:A2602&lt;&gt;""),0),0),COUNTA(B$996:B2601))),"")</f>
        <v/>
      </c>
      <c r="L2601" s="27"/>
    </row>
    <row r="2602" customFormat="false" ht="13.8" hidden="false" customHeight="false" outlineLevel="0" collapsed="false">
      <c r="A2602" s="16"/>
      <c r="B2602" s="16"/>
      <c r="C2602" s="26"/>
      <c r="D2602" s="26"/>
      <c r="E2602" s="16"/>
      <c r="F2602" s="18"/>
      <c r="G2602" s="19" t="str">
        <f aca="true">IF(F2602="", "", DATEDIF(F2602, TODAY(), "Y"))</f>
        <v/>
      </c>
      <c r="H2602" s="28"/>
      <c r="I2602" s="28"/>
      <c r="J2602" s="24" t="str">
        <f aca="true">IF(ISBLANK(H2602), "", I2602-TODAY())</f>
        <v/>
      </c>
      <c r="K2602" s="24" t="str">
        <f aca="false" t="array" ref="K2602:K2602">IF(A2602&lt;&gt;"",IF(COUNTIF(A$996:A2603,"&lt;&gt;")=0,COUNTA(B$996:B2602),IFERROR(MATCH(TRUE(),INDEX((A$996:A2603&lt;&gt;""),0),0),COUNTA(B$996:B2602))),"")</f>
        <v/>
      </c>
      <c r="L2602" s="27"/>
    </row>
    <row r="2603" customFormat="false" ht="13.8" hidden="false" customHeight="false" outlineLevel="0" collapsed="false">
      <c r="A2603" s="16"/>
      <c r="B2603" s="16"/>
      <c r="C2603" s="26"/>
      <c r="D2603" s="26"/>
      <c r="E2603" s="16"/>
      <c r="F2603" s="18"/>
      <c r="G2603" s="19" t="str">
        <f aca="true">IF(F2603="", "", DATEDIF(F2603, TODAY(), "Y"))</f>
        <v/>
      </c>
      <c r="H2603" s="28"/>
      <c r="I2603" s="28"/>
      <c r="J2603" s="24" t="str">
        <f aca="true">IF(ISBLANK(H2603), "", I2603-TODAY())</f>
        <v/>
      </c>
      <c r="K2603" s="24" t="str">
        <f aca="false" t="array" ref="K2603:K2603">IF(A2603&lt;&gt;"",IF(COUNTIF(A$996:A2604,"&lt;&gt;")=0,COUNTA(B$996:B2603),IFERROR(MATCH(TRUE(),INDEX((A$996:A2604&lt;&gt;""),0),0),COUNTA(B$996:B2603))),"")</f>
        <v/>
      </c>
      <c r="L2603" s="27"/>
    </row>
    <row r="2604" customFormat="false" ht="13.8" hidden="false" customHeight="false" outlineLevel="0" collapsed="false">
      <c r="A2604" s="16"/>
      <c r="B2604" s="16"/>
      <c r="C2604" s="26"/>
      <c r="D2604" s="26"/>
      <c r="E2604" s="16"/>
      <c r="F2604" s="18"/>
      <c r="G2604" s="19" t="str">
        <f aca="true">IF(F2604="", "", DATEDIF(F2604, TODAY(), "Y"))</f>
        <v/>
      </c>
      <c r="H2604" s="28"/>
      <c r="I2604" s="28"/>
      <c r="J2604" s="24" t="str">
        <f aca="true">IF(ISBLANK(H2604), "", I2604-TODAY())</f>
        <v/>
      </c>
      <c r="K2604" s="24" t="str">
        <f aca="false" t="array" ref="K2604:K2604">IF(A2604&lt;&gt;"",IF(COUNTIF(A$996:A2605,"&lt;&gt;")=0,COUNTA(B$996:B2604),IFERROR(MATCH(TRUE(),INDEX((A$996:A2605&lt;&gt;""),0),0),COUNTA(B$996:B2604))),"")</f>
        <v/>
      </c>
      <c r="L2604" s="27"/>
    </row>
    <row r="2605" customFormat="false" ht="13.8" hidden="false" customHeight="false" outlineLevel="0" collapsed="false">
      <c r="A2605" s="16"/>
      <c r="B2605" s="16"/>
      <c r="C2605" s="26"/>
      <c r="D2605" s="26"/>
      <c r="E2605" s="16"/>
      <c r="F2605" s="18"/>
      <c r="G2605" s="19" t="str">
        <f aca="true">IF(F2605="", "", DATEDIF(F2605, TODAY(), "Y"))</f>
        <v/>
      </c>
      <c r="H2605" s="28"/>
      <c r="I2605" s="28"/>
      <c r="J2605" s="24" t="str">
        <f aca="true">IF(ISBLANK(H2605), "", I2605-TODAY())</f>
        <v/>
      </c>
      <c r="K2605" s="24" t="str">
        <f aca="false" t="array" ref="K2605:K2605">IF(A2605&lt;&gt;"",IF(COUNTIF(A$996:A2606,"&lt;&gt;")=0,COUNTA(B$996:B2605),IFERROR(MATCH(TRUE(),INDEX((A$996:A2606&lt;&gt;""),0),0),COUNTA(B$996:B2605))),"")</f>
        <v/>
      </c>
      <c r="L2605" s="27"/>
    </row>
    <row r="2606" customFormat="false" ht="13.8" hidden="false" customHeight="false" outlineLevel="0" collapsed="false">
      <c r="A2606" s="16"/>
      <c r="B2606" s="16"/>
      <c r="C2606" s="26"/>
      <c r="D2606" s="26"/>
      <c r="E2606" s="16"/>
      <c r="F2606" s="18"/>
      <c r="G2606" s="19" t="str">
        <f aca="true">IF(F2606="", "", DATEDIF(F2606, TODAY(), "Y"))</f>
        <v/>
      </c>
      <c r="H2606" s="28"/>
      <c r="I2606" s="28"/>
      <c r="J2606" s="24" t="str">
        <f aca="true">IF(ISBLANK(H2606), "", I2606-TODAY())</f>
        <v/>
      </c>
      <c r="K2606" s="24" t="str">
        <f aca="false" t="array" ref="K2606:K2606">IF(A2606&lt;&gt;"",IF(COUNTIF(A$996:A2607,"&lt;&gt;")=0,COUNTA(B$996:B2606),IFERROR(MATCH(TRUE(),INDEX((A$996:A2607&lt;&gt;""),0),0),COUNTA(B$996:B2606))),"")</f>
        <v/>
      </c>
      <c r="L2606" s="27"/>
    </row>
    <row r="2607" customFormat="false" ht="13.8" hidden="false" customHeight="false" outlineLevel="0" collapsed="false">
      <c r="A2607" s="16"/>
      <c r="B2607" s="16"/>
      <c r="C2607" s="26"/>
      <c r="D2607" s="26"/>
      <c r="E2607" s="16"/>
      <c r="F2607" s="18"/>
      <c r="G2607" s="19" t="str">
        <f aca="true">IF(F2607="", "", DATEDIF(F2607, TODAY(), "Y"))</f>
        <v/>
      </c>
      <c r="H2607" s="28"/>
      <c r="I2607" s="28"/>
      <c r="J2607" s="24" t="str">
        <f aca="true">IF(ISBLANK(H2607), "", I2607-TODAY())</f>
        <v/>
      </c>
      <c r="K2607" s="24" t="str">
        <f aca="false" t="array" ref="K2607:K2607">IF(A2607&lt;&gt;"",IF(COUNTIF(A$996:A2608,"&lt;&gt;")=0,COUNTA(B$996:B2607),IFERROR(MATCH(TRUE(),INDEX((A$996:A2608&lt;&gt;""),0),0),COUNTA(B$996:B2607))),"")</f>
        <v/>
      </c>
      <c r="L2607" s="27"/>
    </row>
    <row r="2608" customFormat="false" ht="13.8" hidden="false" customHeight="false" outlineLevel="0" collapsed="false">
      <c r="A2608" s="16"/>
      <c r="B2608" s="16"/>
      <c r="C2608" s="26"/>
      <c r="D2608" s="26"/>
      <c r="E2608" s="16"/>
      <c r="F2608" s="18"/>
      <c r="G2608" s="19" t="str">
        <f aca="true">IF(F2608="", "", DATEDIF(F2608, TODAY(), "Y"))</f>
        <v/>
      </c>
      <c r="H2608" s="28"/>
      <c r="I2608" s="28"/>
      <c r="J2608" s="24" t="str">
        <f aca="true">IF(ISBLANK(H2608), "", I2608-TODAY())</f>
        <v/>
      </c>
      <c r="K2608" s="24" t="str">
        <f aca="false" t="array" ref="K2608:K2608">IF(A2608&lt;&gt;"",IF(COUNTIF(A$996:A2609,"&lt;&gt;")=0,COUNTA(B$996:B2608),IFERROR(MATCH(TRUE(),INDEX((A$996:A2609&lt;&gt;""),0),0),COUNTA(B$996:B2608))),"")</f>
        <v/>
      </c>
      <c r="L2608" s="27"/>
    </row>
    <row r="2609" customFormat="false" ht="13.8" hidden="false" customHeight="false" outlineLevel="0" collapsed="false">
      <c r="A2609" s="16"/>
      <c r="B2609" s="16"/>
      <c r="C2609" s="26"/>
      <c r="D2609" s="26"/>
      <c r="E2609" s="16"/>
      <c r="F2609" s="18"/>
      <c r="G2609" s="19" t="str">
        <f aca="true">IF(F2609="", "", DATEDIF(F2609, TODAY(), "Y"))</f>
        <v/>
      </c>
      <c r="H2609" s="28"/>
      <c r="I2609" s="28"/>
      <c r="J2609" s="24" t="str">
        <f aca="true">IF(ISBLANK(H2609), "", I2609-TODAY())</f>
        <v/>
      </c>
      <c r="K2609" s="24" t="str">
        <f aca="false" t="array" ref="K2609:K2609">IF(A2609&lt;&gt;"",IF(COUNTIF(A$996:A2610,"&lt;&gt;")=0,COUNTA(B$996:B2609),IFERROR(MATCH(TRUE(),INDEX((A$996:A2610&lt;&gt;""),0),0),COUNTA(B$996:B2609))),"")</f>
        <v/>
      </c>
      <c r="L2609" s="27"/>
    </row>
    <row r="2610" customFormat="false" ht="13.8" hidden="false" customHeight="false" outlineLevel="0" collapsed="false">
      <c r="A2610" s="16"/>
      <c r="B2610" s="16"/>
      <c r="C2610" s="26"/>
      <c r="D2610" s="26"/>
      <c r="E2610" s="16"/>
      <c r="F2610" s="18"/>
      <c r="G2610" s="19" t="str">
        <f aca="true">IF(F2610="", "", DATEDIF(F2610, TODAY(), "Y"))</f>
        <v/>
      </c>
      <c r="H2610" s="28"/>
      <c r="I2610" s="28"/>
      <c r="J2610" s="24" t="str">
        <f aca="true">IF(ISBLANK(H2610), "", I2610-TODAY())</f>
        <v/>
      </c>
      <c r="K2610" s="24" t="str">
        <f aca="false" t="array" ref="K2610:K2610">IF(A2610&lt;&gt;"",IF(COUNTIF(A$996:A2611,"&lt;&gt;")=0,COUNTA(B$996:B2610),IFERROR(MATCH(TRUE(),INDEX((A$996:A2611&lt;&gt;""),0),0),COUNTA(B$996:B2610))),"")</f>
        <v/>
      </c>
      <c r="L2610" s="27"/>
    </row>
    <row r="2611" customFormat="false" ht="13.8" hidden="false" customHeight="false" outlineLevel="0" collapsed="false">
      <c r="A2611" s="16"/>
      <c r="B2611" s="16"/>
      <c r="C2611" s="26"/>
      <c r="D2611" s="26"/>
      <c r="E2611" s="16"/>
      <c r="F2611" s="18"/>
      <c r="G2611" s="19" t="str">
        <f aca="true">IF(F2611="", "", DATEDIF(F2611, TODAY(), "Y"))</f>
        <v/>
      </c>
      <c r="H2611" s="28"/>
      <c r="I2611" s="28"/>
      <c r="J2611" s="24" t="str">
        <f aca="true">IF(ISBLANK(H2611), "", I2611-TODAY())</f>
        <v/>
      </c>
      <c r="K2611" s="24" t="str">
        <f aca="false" t="array" ref="K2611:K2611">IF(A2611&lt;&gt;"",IF(COUNTIF(A$996:A2612,"&lt;&gt;")=0,COUNTA(B$996:B2611),IFERROR(MATCH(TRUE(),INDEX((A$996:A2612&lt;&gt;""),0),0),COUNTA(B$996:B2611))),"")</f>
        <v/>
      </c>
      <c r="L2611" s="27"/>
    </row>
    <row r="2612" customFormat="false" ht="13.8" hidden="false" customHeight="false" outlineLevel="0" collapsed="false">
      <c r="A2612" s="16"/>
      <c r="B2612" s="16"/>
      <c r="C2612" s="26"/>
      <c r="D2612" s="26"/>
      <c r="E2612" s="16"/>
      <c r="F2612" s="18"/>
      <c r="G2612" s="19" t="str">
        <f aca="true">IF(F2612="", "", DATEDIF(F2612, TODAY(), "Y"))</f>
        <v/>
      </c>
      <c r="H2612" s="28"/>
      <c r="I2612" s="28"/>
      <c r="J2612" s="24" t="str">
        <f aca="true">IF(ISBLANK(H2612), "", I2612-TODAY())</f>
        <v/>
      </c>
      <c r="K2612" s="24" t="str">
        <f aca="false" t="array" ref="K2612:K2612">IF(A2612&lt;&gt;"",IF(COUNTIF(A$996:A2613,"&lt;&gt;")=0,COUNTA(B$996:B2612),IFERROR(MATCH(TRUE(),INDEX((A$996:A2613&lt;&gt;""),0),0),COUNTA(B$996:B2612))),"")</f>
        <v/>
      </c>
      <c r="L2612" s="27"/>
    </row>
    <row r="2613" customFormat="false" ht="13.8" hidden="false" customHeight="false" outlineLevel="0" collapsed="false">
      <c r="A2613" s="16"/>
      <c r="B2613" s="16"/>
      <c r="C2613" s="26"/>
      <c r="D2613" s="26"/>
      <c r="E2613" s="16"/>
      <c r="F2613" s="18"/>
      <c r="G2613" s="19" t="str">
        <f aca="true">IF(F2613="", "", DATEDIF(F2613, TODAY(), "Y"))</f>
        <v/>
      </c>
      <c r="H2613" s="28"/>
      <c r="I2613" s="28"/>
      <c r="J2613" s="24" t="str">
        <f aca="true">IF(ISBLANK(H2613), "", I2613-TODAY())</f>
        <v/>
      </c>
      <c r="K2613" s="24" t="str">
        <f aca="false" t="array" ref="K2613:K2613">IF(A2613&lt;&gt;"",IF(COUNTIF(A$996:A2614,"&lt;&gt;")=0,COUNTA(B$996:B2613),IFERROR(MATCH(TRUE(),INDEX((A$996:A2614&lt;&gt;""),0),0),COUNTA(B$996:B2613))),"")</f>
        <v/>
      </c>
      <c r="L2613" s="27"/>
    </row>
    <row r="2614" customFormat="false" ht="13.8" hidden="false" customHeight="false" outlineLevel="0" collapsed="false">
      <c r="A2614" s="16"/>
      <c r="B2614" s="16"/>
      <c r="C2614" s="26"/>
      <c r="D2614" s="26"/>
      <c r="E2614" s="16"/>
      <c r="F2614" s="18"/>
      <c r="G2614" s="19" t="str">
        <f aca="true">IF(F2614="", "", DATEDIF(F2614, TODAY(), "Y"))</f>
        <v/>
      </c>
      <c r="H2614" s="28"/>
      <c r="I2614" s="28"/>
      <c r="J2614" s="24" t="str">
        <f aca="true">IF(ISBLANK(H2614), "", I2614-TODAY())</f>
        <v/>
      </c>
      <c r="K2614" s="24" t="str">
        <f aca="false" t="array" ref="K2614:K2614">IF(A2614&lt;&gt;"",IF(COUNTIF(A$996:A2615,"&lt;&gt;")=0,COUNTA(B$996:B2614),IFERROR(MATCH(TRUE(),INDEX((A$996:A2615&lt;&gt;""),0),0),COUNTA(B$996:B2614))),"")</f>
        <v/>
      </c>
      <c r="L2614" s="27"/>
    </row>
    <row r="2615" customFormat="false" ht="13.8" hidden="false" customHeight="false" outlineLevel="0" collapsed="false">
      <c r="A2615" s="16"/>
      <c r="B2615" s="16"/>
      <c r="C2615" s="26"/>
      <c r="D2615" s="26"/>
      <c r="E2615" s="16"/>
      <c r="F2615" s="18"/>
      <c r="G2615" s="19" t="str">
        <f aca="true">IF(F2615="", "", DATEDIF(F2615, TODAY(), "Y"))</f>
        <v/>
      </c>
      <c r="H2615" s="28"/>
      <c r="I2615" s="28"/>
      <c r="J2615" s="24" t="str">
        <f aca="true">IF(ISBLANK(H2615), "", I2615-TODAY())</f>
        <v/>
      </c>
      <c r="K2615" s="24" t="str">
        <f aca="false" t="array" ref="K2615:K2615">IF(A2615&lt;&gt;"",IF(COUNTIF(A$996:A2616,"&lt;&gt;")=0,COUNTA(B$996:B2615),IFERROR(MATCH(TRUE(),INDEX((A$996:A2616&lt;&gt;""),0),0),COUNTA(B$996:B2615))),"")</f>
        <v/>
      </c>
      <c r="L2615" s="27"/>
    </row>
    <row r="2616" customFormat="false" ht="13.8" hidden="false" customHeight="false" outlineLevel="0" collapsed="false">
      <c r="A2616" s="16"/>
      <c r="B2616" s="16"/>
      <c r="C2616" s="26"/>
      <c r="D2616" s="26"/>
      <c r="E2616" s="16"/>
      <c r="F2616" s="18"/>
      <c r="G2616" s="19" t="str">
        <f aca="true">IF(F2616="", "", DATEDIF(F2616, TODAY(), "Y"))</f>
        <v/>
      </c>
      <c r="H2616" s="28"/>
      <c r="I2616" s="28"/>
      <c r="J2616" s="24" t="str">
        <f aca="true">IF(ISBLANK(H2616), "", I2616-TODAY())</f>
        <v/>
      </c>
      <c r="K2616" s="24" t="str">
        <f aca="false" t="array" ref="K2616:K2616">IF(A2616&lt;&gt;"",IF(COUNTIF(A$996:A2617,"&lt;&gt;")=0,COUNTA(B$996:B2616),IFERROR(MATCH(TRUE(),INDEX((A$996:A2617&lt;&gt;""),0),0),COUNTA(B$996:B2616))),"")</f>
        <v/>
      </c>
      <c r="L2616" s="27"/>
    </row>
    <row r="2617" customFormat="false" ht="13.8" hidden="false" customHeight="false" outlineLevel="0" collapsed="false">
      <c r="A2617" s="16"/>
      <c r="B2617" s="16"/>
      <c r="C2617" s="26"/>
      <c r="D2617" s="26"/>
      <c r="E2617" s="16"/>
      <c r="F2617" s="18"/>
      <c r="G2617" s="19" t="str">
        <f aca="true">IF(F2617="", "", DATEDIF(F2617, TODAY(), "Y"))</f>
        <v/>
      </c>
      <c r="H2617" s="28"/>
      <c r="I2617" s="28"/>
      <c r="J2617" s="24" t="str">
        <f aca="true">IF(ISBLANK(H2617), "", I2617-TODAY())</f>
        <v/>
      </c>
      <c r="K2617" s="24" t="str">
        <f aca="false" t="array" ref="K2617:K2617">IF(A2617&lt;&gt;"",IF(COUNTIF(A$996:A2618,"&lt;&gt;")=0,COUNTA(B$996:B2617),IFERROR(MATCH(TRUE(),INDEX((A$996:A2618&lt;&gt;""),0),0),COUNTA(B$996:B2617))),"")</f>
        <v/>
      </c>
      <c r="L2617" s="27"/>
    </row>
    <row r="2618" customFormat="false" ht="13.8" hidden="false" customHeight="false" outlineLevel="0" collapsed="false">
      <c r="A2618" s="16"/>
      <c r="B2618" s="16"/>
      <c r="C2618" s="26"/>
      <c r="D2618" s="26"/>
      <c r="E2618" s="16"/>
      <c r="F2618" s="18"/>
      <c r="G2618" s="19" t="str">
        <f aca="true">IF(F2618="", "", DATEDIF(F2618, TODAY(), "Y"))</f>
        <v/>
      </c>
      <c r="H2618" s="28"/>
      <c r="I2618" s="28"/>
      <c r="J2618" s="24" t="str">
        <f aca="true">IF(ISBLANK(H2618), "", I2618-TODAY())</f>
        <v/>
      </c>
      <c r="K2618" s="24" t="str">
        <f aca="false" t="array" ref="K2618:K2618">IF(A2618&lt;&gt;"",IF(COUNTIF(A$996:A2619,"&lt;&gt;")=0,COUNTA(B$996:B2618),IFERROR(MATCH(TRUE(),INDEX((A$996:A2619&lt;&gt;""),0),0),COUNTA(B$996:B2618))),"")</f>
        <v/>
      </c>
      <c r="L2618" s="27"/>
    </row>
    <row r="2619" customFormat="false" ht="13.8" hidden="false" customHeight="false" outlineLevel="0" collapsed="false">
      <c r="A2619" s="16"/>
      <c r="B2619" s="16"/>
      <c r="C2619" s="26"/>
      <c r="D2619" s="26"/>
      <c r="E2619" s="16"/>
      <c r="F2619" s="18"/>
      <c r="G2619" s="19" t="str">
        <f aca="true">IF(F2619="", "", DATEDIF(F2619, TODAY(), "Y"))</f>
        <v/>
      </c>
      <c r="H2619" s="28"/>
      <c r="I2619" s="28"/>
      <c r="J2619" s="24" t="str">
        <f aca="true">IF(ISBLANK(H2619), "", I2619-TODAY())</f>
        <v/>
      </c>
      <c r="K2619" s="24" t="str">
        <f aca="false" t="array" ref="K2619:K2619">IF(A2619&lt;&gt;"",IF(COUNTIF(A$996:A2620,"&lt;&gt;")=0,COUNTA(B$996:B2619),IFERROR(MATCH(TRUE(),INDEX((A$996:A2620&lt;&gt;""),0),0),COUNTA(B$996:B2619))),"")</f>
        <v/>
      </c>
      <c r="L2619" s="27"/>
    </row>
    <row r="2620" customFormat="false" ht="13.8" hidden="false" customHeight="false" outlineLevel="0" collapsed="false">
      <c r="A2620" s="16"/>
      <c r="B2620" s="16"/>
      <c r="C2620" s="26"/>
      <c r="D2620" s="26"/>
      <c r="E2620" s="16"/>
      <c r="F2620" s="18"/>
      <c r="G2620" s="19" t="str">
        <f aca="true">IF(F2620="", "", DATEDIF(F2620, TODAY(), "Y"))</f>
        <v/>
      </c>
      <c r="H2620" s="28"/>
      <c r="I2620" s="28"/>
      <c r="J2620" s="24" t="str">
        <f aca="true">IF(ISBLANK(H2620), "", I2620-TODAY())</f>
        <v/>
      </c>
      <c r="K2620" s="24" t="str">
        <f aca="false" t="array" ref="K2620:K2620">IF(A2620&lt;&gt;"",IF(COUNTIF(A$996:A2621,"&lt;&gt;")=0,COUNTA(B$996:B2620),IFERROR(MATCH(TRUE(),INDEX((A$996:A2621&lt;&gt;""),0),0),COUNTA(B$996:B2620))),"")</f>
        <v/>
      </c>
      <c r="L2620" s="27"/>
    </row>
    <row r="2621" customFormat="false" ht="13.8" hidden="false" customHeight="false" outlineLevel="0" collapsed="false">
      <c r="A2621" s="16"/>
      <c r="B2621" s="16"/>
      <c r="C2621" s="26"/>
      <c r="D2621" s="26"/>
      <c r="E2621" s="16"/>
      <c r="F2621" s="18"/>
      <c r="G2621" s="19" t="str">
        <f aca="true">IF(F2621="", "", DATEDIF(F2621, TODAY(), "Y"))</f>
        <v/>
      </c>
      <c r="H2621" s="28"/>
      <c r="I2621" s="28"/>
      <c r="J2621" s="24" t="str">
        <f aca="true">IF(ISBLANK(H2621), "", I2621-TODAY())</f>
        <v/>
      </c>
      <c r="K2621" s="24" t="str">
        <f aca="false" t="array" ref="K2621:K2621">IF(A2621&lt;&gt;"",IF(COUNTIF(A$996:A2622,"&lt;&gt;")=0,COUNTA(B$996:B2621),IFERROR(MATCH(TRUE(),INDEX((A$996:A2622&lt;&gt;""),0),0),COUNTA(B$996:B2621))),"")</f>
        <v/>
      </c>
      <c r="L2621" s="27"/>
    </row>
    <row r="2622" customFormat="false" ht="13.8" hidden="false" customHeight="false" outlineLevel="0" collapsed="false">
      <c r="A2622" s="16"/>
      <c r="B2622" s="16"/>
      <c r="C2622" s="26"/>
      <c r="D2622" s="26"/>
      <c r="E2622" s="16"/>
      <c r="F2622" s="18"/>
      <c r="G2622" s="19" t="str">
        <f aca="true">IF(F2622="", "", DATEDIF(F2622, TODAY(), "Y"))</f>
        <v/>
      </c>
      <c r="H2622" s="28"/>
      <c r="I2622" s="28"/>
      <c r="J2622" s="24" t="str">
        <f aca="true">IF(ISBLANK(H2622), "", I2622-TODAY())</f>
        <v/>
      </c>
      <c r="K2622" s="24" t="str">
        <f aca="false" t="array" ref="K2622:K2622">IF(A2622&lt;&gt;"",IF(COUNTIF(A$996:A2623,"&lt;&gt;")=0,COUNTA(B$996:B2622),IFERROR(MATCH(TRUE(),INDEX((A$996:A2623&lt;&gt;""),0),0),COUNTA(B$996:B2622))),"")</f>
        <v/>
      </c>
      <c r="L2622" s="27"/>
    </row>
    <row r="2623" customFormat="false" ht="13.8" hidden="false" customHeight="false" outlineLevel="0" collapsed="false">
      <c r="A2623" s="16"/>
      <c r="B2623" s="16"/>
      <c r="C2623" s="26"/>
      <c r="D2623" s="26"/>
      <c r="E2623" s="16"/>
      <c r="F2623" s="18"/>
      <c r="G2623" s="19" t="str">
        <f aca="true">IF(F2623="", "", DATEDIF(F2623, TODAY(), "Y"))</f>
        <v/>
      </c>
      <c r="H2623" s="28"/>
      <c r="I2623" s="28"/>
      <c r="J2623" s="24" t="str">
        <f aca="true">IF(ISBLANK(H2623), "", I2623-TODAY())</f>
        <v/>
      </c>
      <c r="K2623" s="24" t="str">
        <f aca="false" t="array" ref="K2623:K2623">IF(A2623&lt;&gt;"",IF(COUNTIF(A$996:A2624,"&lt;&gt;")=0,COUNTA(B$996:B2623),IFERROR(MATCH(TRUE(),INDEX((A$996:A2624&lt;&gt;""),0),0),COUNTA(B$996:B2623))),"")</f>
        <v/>
      </c>
      <c r="L2623" s="27"/>
    </row>
    <row r="2624" customFormat="false" ht="13.8" hidden="false" customHeight="false" outlineLevel="0" collapsed="false">
      <c r="A2624" s="16"/>
      <c r="B2624" s="16"/>
      <c r="C2624" s="26"/>
      <c r="D2624" s="26"/>
      <c r="E2624" s="16"/>
      <c r="F2624" s="18"/>
      <c r="G2624" s="19" t="str">
        <f aca="true">IF(F2624="", "", DATEDIF(F2624, TODAY(), "Y"))</f>
        <v/>
      </c>
      <c r="H2624" s="28"/>
      <c r="I2624" s="28"/>
      <c r="J2624" s="24" t="str">
        <f aca="true">IF(ISBLANK(H2624), "", I2624-TODAY())</f>
        <v/>
      </c>
      <c r="K2624" s="24" t="str">
        <f aca="false" t="array" ref="K2624:K2624">IF(A2624&lt;&gt;"",IF(COUNTIF(A$996:A2625,"&lt;&gt;")=0,COUNTA(B$996:B2624),IFERROR(MATCH(TRUE(),INDEX((A$996:A2625&lt;&gt;""),0),0),COUNTA(B$996:B2624))),"")</f>
        <v/>
      </c>
      <c r="L2624" s="27"/>
    </row>
    <row r="2625" customFormat="false" ht="13.8" hidden="false" customHeight="false" outlineLevel="0" collapsed="false">
      <c r="A2625" s="16"/>
      <c r="B2625" s="16"/>
      <c r="C2625" s="26"/>
      <c r="D2625" s="26"/>
      <c r="E2625" s="16"/>
      <c r="F2625" s="18"/>
      <c r="G2625" s="19" t="str">
        <f aca="true">IF(F2625="", "", DATEDIF(F2625, TODAY(), "Y"))</f>
        <v/>
      </c>
      <c r="H2625" s="28"/>
      <c r="I2625" s="28"/>
      <c r="J2625" s="24" t="str">
        <f aca="true">IF(ISBLANK(H2625), "", I2625-TODAY())</f>
        <v/>
      </c>
      <c r="K2625" s="24" t="str">
        <f aca="false" t="array" ref="K2625:K2625">IF(A2625&lt;&gt;"",IF(COUNTIF(A$996:A2626,"&lt;&gt;")=0,COUNTA(B$996:B2625),IFERROR(MATCH(TRUE(),INDEX((A$996:A2626&lt;&gt;""),0),0),COUNTA(B$996:B2625))),"")</f>
        <v/>
      </c>
      <c r="L2625" s="27"/>
    </row>
    <row r="2626" customFormat="false" ht="13.8" hidden="false" customHeight="false" outlineLevel="0" collapsed="false">
      <c r="A2626" s="16"/>
      <c r="B2626" s="16"/>
      <c r="C2626" s="26"/>
      <c r="D2626" s="26"/>
      <c r="E2626" s="16"/>
      <c r="F2626" s="18"/>
      <c r="G2626" s="19" t="str">
        <f aca="true">IF(F2626="", "", DATEDIF(F2626, TODAY(), "Y"))</f>
        <v/>
      </c>
      <c r="H2626" s="28"/>
      <c r="I2626" s="28"/>
      <c r="J2626" s="24" t="str">
        <f aca="true">IF(ISBLANK(H2626), "", I2626-TODAY())</f>
        <v/>
      </c>
      <c r="K2626" s="24" t="str">
        <f aca="false" t="array" ref="K2626:K2626">IF(A2626&lt;&gt;"",IF(COUNTIF(A$996:A2627,"&lt;&gt;")=0,COUNTA(B$996:B2626),IFERROR(MATCH(TRUE(),INDEX((A$996:A2627&lt;&gt;""),0),0),COUNTA(B$996:B2626))),"")</f>
        <v/>
      </c>
      <c r="L2626" s="27"/>
    </row>
    <row r="2627" customFormat="false" ht="13.8" hidden="false" customHeight="false" outlineLevel="0" collapsed="false">
      <c r="A2627" s="16"/>
      <c r="B2627" s="16"/>
      <c r="C2627" s="26"/>
      <c r="D2627" s="26"/>
      <c r="E2627" s="16"/>
      <c r="F2627" s="18"/>
      <c r="G2627" s="19" t="str">
        <f aca="true">IF(F2627="", "", DATEDIF(F2627, TODAY(), "Y"))</f>
        <v/>
      </c>
      <c r="H2627" s="28"/>
      <c r="I2627" s="28"/>
      <c r="J2627" s="24" t="str">
        <f aca="true">IF(ISBLANK(H2627), "", I2627-TODAY())</f>
        <v/>
      </c>
      <c r="K2627" s="24" t="str">
        <f aca="false" t="array" ref="K2627:K2627">IF(A2627&lt;&gt;"",IF(COUNTIF(A$996:A2628,"&lt;&gt;")=0,COUNTA(B$996:B2627),IFERROR(MATCH(TRUE(),INDEX((A$996:A2628&lt;&gt;""),0),0),COUNTA(B$996:B2627))),"")</f>
        <v/>
      </c>
      <c r="L2627" s="27"/>
    </row>
    <row r="2628" customFormat="false" ht="13.8" hidden="false" customHeight="false" outlineLevel="0" collapsed="false">
      <c r="A2628" s="16"/>
      <c r="B2628" s="16"/>
      <c r="C2628" s="26"/>
      <c r="D2628" s="26"/>
      <c r="E2628" s="16"/>
      <c r="F2628" s="18"/>
      <c r="G2628" s="19" t="str">
        <f aca="true">IF(F2628="", "", DATEDIF(F2628, TODAY(), "Y"))</f>
        <v/>
      </c>
      <c r="H2628" s="28"/>
      <c r="I2628" s="28"/>
      <c r="J2628" s="24" t="str">
        <f aca="true">IF(ISBLANK(H2628), "", I2628-TODAY())</f>
        <v/>
      </c>
      <c r="K2628" s="24" t="str">
        <f aca="false" t="array" ref="K2628:K2628">IF(A2628&lt;&gt;"",IF(COUNTIF(A$996:A2629,"&lt;&gt;")=0,COUNTA(B$996:B2628),IFERROR(MATCH(TRUE(),INDEX((A$996:A2629&lt;&gt;""),0),0),COUNTA(B$996:B2628))),"")</f>
        <v/>
      </c>
      <c r="L2628" s="27"/>
    </row>
    <row r="2629" customFormat="false" ht="13.8" hidden="false" customHeight="false" outlineLevel="0" collapsed="false">
      <c r="A2629" s="16"/>
      <c r="B2629" s="16"/>
      <c r="C2629" s="26"/>
      <c r="D2629" s="26"/>
      <c r="E2629" s="16"/>
      <c r="F2629" s="18"/>
      <c r="G2629" s="19" t="str">
        <f aca="true">IF(F2629="", "", DATEDIF(F2629, TODAY(), "Y"))</f>
        <v/>
      </c>
      <c r="H2629" s="28"/>
      <c r="I2629" s="28"/>
      <c r="J2629" s="24" t="str">
        <f aca="true">IF(ISBLANK(H2629), "", I2629-TODAY())</f>
        <v/>
      </c>
      <c r="K2629" s="24" t="str">
        <f aca="false" t="array" ref="K2629:K2629">IF(A2629&lt;&gt;"",IF(COUNTIF(A$996:A2630,"&lt;&gt;")=0,COUNTA(B$996:B2629),IFERROR(MATCH(TRUE(),INDEX((A$996:A2630&lt;&gt;""),0),0),COUNTA(B$996:B2629))),"")</f>
        <v/>
      </c>
      <c r="L2629" s="27"/>
    </row>
    <row r="2630" customFormat="false" ht="13.8" hidden="false" customHeight="false" outlineLevel="0" collapsed="false">
      <c r="A2630" s="16"/>
      <c r="B2630" s="16"/>
      <c r="C2630" s="26"/>
      <c r="D2630" s="26"/>
      <c r="E2630" s="16"/>
      <c r="F2630" s="18"/>
      <c r="G2630" s="19" t="str">
        <f aca="true">IF(F2630="", "", DATEDIF(F2630, TODAY(), "Y"))</f>
        <v/>
      </c>
      <c r="H2630" s="28"/>
      <c r="I2630" s="28"/>
      <c r="J2630" s="24" t="str">
        <f aca="true">IF(ISBLANK(H2630), "", I2630-TODAY())</f>
        <v/>
      </c>
      <c r="K2630" s="24" t="str">
        <f aca="false" t="array" ref="K2630:K2630">IF(A2630&lt;&gt;"",IF(COUNTIF(A$996:A2631,"&lt;&gt;")=0,COUNTA(B$996:B2630),IFERROR(MATCH(TRUE(),INDEX((A$996:A2631&lt;&gt;""),0),0),COUNTA(B$996:B2630))),"")</f>
        <v/>
      </c>
      <c r="L2630" s="27"/>
    </row>
    <row r="2631" customFormat="false" ht="13.8" hidden="false" customHeight="false" outlineLevel="0" collapsed="false">
      <c r="A2631" s="16"/>
      <c r="B2631" s="16"/>
      <c r="C2631" s="26"/>
      <c r="D2631" s="26"/>
      <c r="E2631" s="16"/>
      <c r="F2631" s="18"/>
      <c r="G2631" s="19" t="str">
        <f aca="true">IF(F2631="", "", DATEDIF(F2631, TODAY(), "Y"))</f>
        <v/>
      </c>
      <c r="H2631" s="28"/>
      <c r="I2631" s="28"/>
      <c r="J2631" s="24" t="str">
        <f aca="true">IF(ISBLANK(H2631), "", I2631-TODAY())</f>
        <v/>
      </c>
      <c r="K2631" s="24" t="str">
        <f aca="false" t="array" ref="K2631:K2631">IF(A2631&lt;&gt;"",IF(COUNTIF(A$996:A2632,"&lt;&gt;")=0,COUNTA(B$996:B2631),IFERROR(MATCH(TRUE(),INDEX((A$996:A2632&lt;&gt;""),0),0),COUNTA(B$996:B2631))),"")</f>
        <v/>
      </c>
      <c r="L2631" s="27"/>
    </row>
    <row r="2632" customFormat="false" ht="13.8" hidden="false" customHeight="false" outlineLevel="0" collapsed="false">
      <c r="A2632" s="16"/>
      <c r="B2632" s="16"/>
      <c r="C2632" s="26"/>
      <c r="D2632" s="26"/>
      <c r="E2632" s="16"/>
      <c r="F2632" s="18"/>
      <c r="G2632" s="19" t="str">
        <f aca="true">IF(F2632="", "", DATEDIF(F2632, TODAY(), "Y"))</f>
        <v/>
      </c>
      <c r="H2632" s="28"/>
      <c r="I2632" s="28"/>
      <c r="J2632" s="24" t="str">
        <f aca="true">IF(ISBLANK(H2632), "", I2632-TODAY())</f>
        <v/>
      </c>
      <c r="K2632" s="24" t="str">
        <f aca="false" t="array" ref="K2632:K2632">IF(A2632&lt;&gt;"",IF(COUNTIF(A$996:A2633,"&lt;&gt;")=0,COUNTA(B$996:B2632),IFERROR(MATCH(TRUE(),INDEX((A$996:A2633&lt;&gt;""),0),0),COUNTA(B$996:B2632))),"")</f>
        <v/>
      </c>
      <c r="L2632" s="27"/>
    </row>
    <row r="2633" customFormat="false" ht="13.8" hidden="false" customHeight="false" outlineLevel="0" collapsed="false">
      <c r="A2633" s="16"/>
      <c r="B2633" s="16"/>
      <c r="C2633" s="26"/>
      <c r="D2633" s="26"/>
      <c r="E2633" s="16"/>
      <c r="F2633" s="18"/>
      <c r="G2633" s="19" t="str">
        <f aca="true">IF(F2633="", "", DATEDIF(F2633, TODAY(), "Y"))</f>
        <v/>
      </c>
      <c r="H2633" s="28"/>
      <c r="I2633" s="28"/>
      <c r="J2633" s="24" t="str">
        <f aca="true">IF(ISBLANK(H2633), "", I2633-TODAY())</f>
        <v/>
      </c>
      <c r="K2633" s="24" t="str">
        <f aca="false" t="array" ref="K2633:K2633">IF(A2633&lt;&gt;"",IF(COUNTIF(A$996:A2634,"&lt;&gt;")=0,COUNTA(B$996:B2633),IFERROR(MATCH(TRUE(),INDEX((A$996:A2634&lt;&gt;""),0),0),COUNTA(B$996:B2633))),"")</f>
        <v/>
      </c>
      <c r="L2633" s="27"/>
    </row>
    <row r="2634" customFormat="false" ht="13.8" hidden="false" customHeight="false" outlineLevel="0" collapsed="false">
      <c r="A2634" s="16"/>
      <c r="B2634" s="16"/>
      <c r="C2634" s="26"/>
      <c r="D2634" s="26"/>
      <c r="E2634" s="16"/>
      <c r="F2634" s="18"/>
      <c r="G2634" s="19" t="str">
        <f aca="true">IF(F2634="", "", DATEDIF(F2634, TODAY(), "Y"))</f>
        <v/>
      </c>
      <c r="H2634" s="28"/>
      <c r="I2634" s="28"/>
      <c r="J2634" s="24" t="str">
        <f aca="true">IF(ISBLANK(H2634), "", I2634-TODAY())</f>
        <v/>
      </c>
      <c r="K2634" s="24" t="str">
        <f aca="false" t="array" ref="K2634:K2634">IF(A2634&lt;&gt;"",IF(COUNTIF(A$996:A2635,"&lt;&gt;")=0,COUNTA(B$996:B2634),IFERROR(MATCH(TRUE(),INDEX((A$996:A2635&lt;&gt;""),0),0),COUNTA(B$996:B2634))),"")</f>
        <v/>
      </c>
      <c r="L2634" s="27"/>
    </row>
    <row r="2635" customFormat="false" ht="13.8" hidden="false" customHeight="false" outlineLevel="0" collapsed="false">
      <c r="A2635" s="16"/>
      <c r="B2635" s="16"/>
      <c r="C2635" s="26"/>
      <c r="D2635" s="26"/>
      <c r="E2635" s="16"/>
      <c r="F2635" s="18"/>
      <c r="G2635" s="19" t="str">
        <f aca="true">IF(F2635="", "", DATEDIF(F2635, TODAY(), "Y"))</f>
        <v/>
      </c>
      <c r="H2635" s="28"/>
      <c r="I2635" s="28"/>
      <c r="J2635" s="24" t="str">
        <f aca="true">IF(ISBLANK(H2635), "", I2635-TODAY())</f>
        <v/>
      </c>
      <c r="K2635" s="24" t="str">
        <f aca="false" t="array" ref="K2635:K2635">IF(A2635&lt;&gt;"",IF(COUNTIF(A$996:A2636,"&lt;&gt;")=0,COUNTA(B$996:B2635),IFERROR(MATCH(TRUE(),INDEX((A$996:A2636&lt;&gt;""),0),0),COUNTA(B$996:B2635))),"")</f>
        <v/>
      </c>
      <c r="L2635" s="27"/>
    </row>
    <row r="2636" customFormat="false" ht="13.8" hidden="false" customHeight="false" outlineLevel="0" collapsed="false">
      <c r="A2636" s="16"/>
      <c r="B2636" s="16"/>
      <c r="C2636" s="26"/>
      <c r="D2636" s="26"/>
      <c r="E2636" s="16"/>
      <c r="F2636" s="18"/>
      <c r="G2636" s="19" t="str">
        <f aca="true">IF(F2636="", "", DATEDIF(F2636, TODAY(), "Y"))</f>
        <v/>
      </c>
      <c r="H2636" s="28"/>
      <c r="I2636" s="28"/>
      <c r="J2636" s="24" t="str">
        <f aca="true">IF(ISBLANK(H2636), "", I2636-TODAY())</f>
        <v/>
      </c>
      <c r="K2636" s="24" t="str">
        <f aca="false" t="array" ref="K2636:K2636">IF(A2636&lt;&gt;"",IF(COUNTIF(A$996:A2637,"&lt;&gt;")=0,COUNTA(B$996:B2636),IFERROR(MATCH(TRUE(),INDEX((A$996:A2637&lt;&gt;""),0),0),COUNTA(B$996:B2636))),"")</f>
        <v/>
      </c>
      <c r="L2636" s="27"/>
    </row>
    <row r="2637" customFormat="false" ht="13.8" hidden="false" customHeight="false" outlineLevel="0" collapsed="false">
      <c r="A2637" s="16"/>
      <c r="B2637" s="16"/>
      <c r="C2637" s="26"/>
      <c r="D2637" s="26"/>
      <c r="E2637" s="16"/>
      <c r="F2637" s="18"/>
      <c r="G2637" s="19" t="str">
        <f aca="true">IF(F2637="", "", DATEDIF(F2637, TODAY(), "Y"))</f>
        <v/>
      </c>
      <c r="H2637" s="28"/>
      <c r="I2637" s="28"/>
      <c r="J2637" s="24" t="str">
        <f aca="true">IF(ISBLANK(H2637), "", I2637-TODAY())</f>
        <v/>
      </c>
      <c r="K2637" s="24" t="str">
        <f aca="false" t="array" ref="K2637:K2637">IF(A2637&lt;&gt;"",IF(COUNTIF(A$996:A2638,"&lt;&gt;")=0,COUNTA(B$996:B2637),IFERROR(MATCH(TRUE(),INDEX((A$996:A2638&lt;&gt;""),0),0),COUNTA(B$996:B2637))),"")</f>
        <v/>
      </c>
      <c r="L2637" s="27"/>
    </row>
    <row r="2638" customFormat="false" ht="13.8" hidden="false" customHeight="false" outlineLevel="0" collapsed="false">
      <c r="A2638" s="16"/>
      <c r="B2638" s="16"/>
      <c r="C2638" s="26"/>
      <c r="D2638" s="26"/>
      <c r="E2638" s="16"/>
      <c r="F2638" s="18"/>
      <c r="G2638" s="19" t="str">
        <f aca="true">IF(F2638="", "", DATEDIF(F2638, TODAY(), "Y"))</f>
        <v/>
      </c>
      <c r="H2638" s="28"/>
      <c r="I2638" s="28"/>
      <c r="J2638" s="24" t="str">
        <f aca="true">IF(ISBLANK(H2638), "", I2638-TODAY())</f>
        <v/>
      </c>
      <c r="K2638" s="24" t="str">
        <f aca="false" t="array" ref="K2638:K2638">IF(A2638&lt;&gt;"",IF(COUNTIF(A$996:A2639,"&lt;&gt;")=0,COUNTA(B$996:B2638),IFERROR(MATCH(TRUE(),INDEX((A$996:A2639&lt;&gt;""),0),0),COUNTA(B$996:B2638))),"")</f>
        <v/>
      </c>
      <c r="L2638" s="27"/>
    </row>
    <row r="2639" customFormat="false" ht="13.8" hidden="false" customHeight="false" outlineLevel="0" collapsed="false">
      <c r="A2639" s="16"/>
      <c r="B2639" s="16"/>
      <c r="C2639" s="26"/>
      <c r="D2639" s="26"/>
      <c r="E2639" s="16"/>
      <c r="F2639" s="18"/>
      <c r="G2639" s="19" t="str">
        <f aca="true">IF(F2639="", "", DATEDIF(F2639, TODAY(), "Y"))</f>
        <v/>
      </c>
      <c r="H2639" s="28"/>
      <c r="I2639" s="28"/>
      <c r="J2639" s="24" t="str">
        <f aca="true">IF(ISBLANK(H2639), "", I2639-TODAY())</f>
        <v/>
      </c>
      <c r="K2639" s="24" t="str">
        <f aca="false" t="array" ref="K2639:K2639">IF(A2639&lt;&gt;"",IF(COUNTIF(A$996:A2640,"&lt;&gt;")=0,COUNTA(B$996:B2639),IFERROR(MATCH(TRUE(),INDEX((A$996:A2640&lt;&gt;""),0),0),COUNTA(B$996:B2639))),"")</f>
        <v/>
      </c>
      <c r="L2639" s="27"/>
    </row>
    <row r="2640" customFormat="false" ht="13.8" hidden="false" customHeight="false" outlineLevel="0" collapsed="false">
      <c r="A2640" s="16"/>
      <c r="B2640" s="16"/>
      <c r="C2640" s="26"/>
      <c r="D2640" s="26"/>
      <c r="E2640" s="16"/>
      <c r="F2640" s="18"/>
      <c r="G2640" s="19" t="str">
        <f aca="true">IF(F2640="", "", DATEDIF(F2640, TODAY(), "Y"))</f>
        <v/>
      </c>
      <c r="H2640" s="28"/>
      <c r="I2640" s="28"/>
      <c r="J2640" s="24" t="str">
        <f aca="true">IF(ISBLANK(H2640), "", I2640-TODAY())</f>
        <v/>
      </c>
      <c r="K2640" s="24" t="str">
        <f aca="false" t="array" ref="K2640:K2640">IF(A2640&lt;&gt;"",IF(COUNTIF(A$996:A2641,"&lt;&gt;")=0,COUNTA(B$996:B2640),IFERROR(MATCH(TRUE(),INDEX((A$996:A2641&lt;&gt;""),0),0),COUNTA(B$996:B2640))),"")</f>
        <v/>
      </c>
      <c r="L2640" s="27"/>
    </row>
    <row r="2641" customFormat="false" ht="13.8" hidden="false" customHeight="false" outlineLevel="0" collapsed="false">
      <c r="A2641" s="16"/>
      <c r="B2641" s="16"/>
      <c r="C2641" s="26"/>
      <c r="D2641" s="26"/>
      <c r="E2641" s="16"/>
      <c r="F2641" s="18"/>
      <c r="G2641" s="19" t="str">
        <f aca="true">IF(F2641="", "", DATEDIF(F2641, TODAY(), "Y"))</f>
        <v/>
      </c>
      <c r="H2641" s="28"/>
      <c r="I2641" s="28"/>
      <c r="J2641" s="24" t="str">
        <f aca="true">IF(ISBLANK(H2641), "", I2641-TODAY())</f>
        <v/>
      </c>
      <c r="K2641" s="24" t="str">
        <f aca="false" t="array" ref="K2641:K2641">IF(A2641&lt;&gt;"",IF(COUNTIF(A$996:A2642,"&lt;&gt;")=0,COUNTA(B$996:B2641),IFERROR(MATCH(TRUE(),INDEX((A$996:A2642&lt;&gt;""),0),0),COUNTA(B$996:B2641))),"")</f>
        <v/>
      </c>
      <c r="L2641" s="27"/>
    </row>
    <row r="2642" customFormat="false" ht="13.8" hidden="false" customHeight="false" outlineLevel="0" collapsed="false">
      <c r="A2642" s="16"/>
      <c r="B2642" s="16"/>
      <c r="C2642" s="26"/>
      <c r="D2642" s="26"/>
      <c r="E2642" s="16"/>
      <c r="F2642" s="18"/>
      <c r="G2642" s="19" t="str">
        <f aca="true">IF(F2642="", "", DATEDIF(F2642, TODAY(), "Y"))</f>
        <v/>
      </c>
      <c r="H2642" s="28"/>
      <c r="I2642" s="28"/>
      <c r="J2642" s="24" t="str">
        <f aca="true">IF(ISBLANK(H2642), "", I2642-TODAY())</f>
        <v/>
      </c>
      <c r="K2642" s="24" t="str">
        <f aca="false" t="array" ref="K2642:K2642">IF(A2642&lt;&gt;"",IF(COUNTIF(A$996:A2643,"&lt;&gt;")=0,COUNTA(B$996:B2642),IFERROR(MATCH(TRUE(),INDEX((A$996:A2643&lt;&gt;""),0),0),COUNTA(B$996:B2642))),"")</f>
        <v/>
      </c>
      <c r="L2642" s="27"/>
    </row>
    <row r="2643" customFormat="false" ht="13.8" hidden="false" customHeight="false" outlineLevel="0" collapsed="false">
      <c r="A2643" s="16"/>
      <c r="B2643" s="16"/>
      <c r="C2643" s="26"/>
      <c r="D2643" s="26"/>
      <c r="E2643" s="16"/>
      <c r="F2643" s="18"/>
      <c r="G2643" s="19" t="str">
        <f aca="true">IF(F2643="", "", DATEDIF(F2643, TODAY(), "Y"))</f>
        <v/>
      </c>
      <c r="H2643" s="28"/>
      <c r="I2643" s="28"/>
      <c r="J2643" s="24" t="str">
        <f aca="true">IF(ISBLANK(H2643), "", I2643-TODAY())</f>
        <v/>
      </c>
      <c r="K2643" s="24" t="str">
        <f aca="false" t="array" ref="K2643:K2643">IF(A2643&lt;&gt;"",IF(COUNTIF(A$996:A2644,"&lt;&gt;")=0,COUNTA(B$996:B2643),IFERROR(MATCH(TRUE(),INDEX((A$996:A2644&lt;&gt;""),0),0),COUNTA(B$996:B2643))),"")</f>
        <v/>
      </c>
      <c r="L2643" s="27"/>
    </row>
    <row r="2644" customFormat="false" ht="13.8" hidden="false" customHeight="false" outlineLevel="0" collapsed="false">
      <c r="A2644" s="16"/>
      <c r="B2644" s="16"/>
      <c r="C2644" s="26"/>
      <c r="D2644" s="26"/>
      <c r="E2644" s="16"/>
      <c r="F2644" s="18"/>
      <c r="G2644" s="19" t="str">
        <f aca="true">IF(F2644="", "", DATEDIF(F2644, TODAY(), "Y"))</f>
        <v/>
      </c>
      <c r="H2644" s="28"/>
      <c r="I2644" s="28"/>
      <c r="J2644" s="24" t="str">
        <f aca="true">IF(ISBLANK(H2644), "", I2644-TODAY())</f>
        <v/>
      </c>
      <c r="K2644" s="24" t="str">
        <f aca="false" t="array" ref="K2644:K2644">IF(A2644&lt;&gt;"",IF(COUNTIF(A$996:A2645,"&lt;&gt;")=0,COUNTA(B$996:B2644),IFERROR(MATCH(TRUE(),INDEX((A$996:A2645&lt;&gt;""),0),0),COUNTA(B$996:B2644))),"")</f>
        <v/>
      </c>
      <c r="L2644" s="27"/>
    </row>
    <row r="2645" customFormat="false" ht="13.8" hidden="false" customHeight="false" outlineLevel="0" collapsed="false">
      <c r="A2645" s="16"/>
      <c r="B2645" s="16"/>
      <c r="C2645" s="26"/>
      <c r="D2645" s="26"/>
      <c r="E2645" s="16"/>
      <c r="F2645" s="18"/>
      <c r="G2645" s="19" t="str">
        <f aca="true">IF(F2645="", "", DATEDIF(F2645, TODAY(), "Y"))</f>
        <v/>
      </c>
      <c r="H2645" s="28"/>
      <c r="I2645" s="28"/>
      <c r="J2645" s="24" t="str">
        <f aca="true">IF(ISBLANK(H2645), "", I2645-TODAY())</f>
        <v/>
      </c>
      <c r="K2645" s="24" t="str">
        <f aca="false" t="array" ref="K2645:K2645">IF(A2645&lt;&gt;"",IF(COUNTIF(A$996:A2646,"&lt;&gt;")=0,COUNTA(B$996:B2645),IFERROR(MATCH(TRUE(),INDEX((A$996:A2646&lt;&gt;""),0),0),COUNTA(B$996:B2645))),"")</f>
        <v/>
      </c>
      <c r="L2645" s="27"/>
    </row>
    <row r="2646" customFormat="false" ht="13.8" hidden="false" customHeight="false" outlineLevel="0" collapsed="false">
      <c r="A2646" s="16"/>
      <c r="B2646" s="16"/>
      <c r="C2646" s="26"/>
      <c r="D2646" s="26"/>
      <c r="E2646" s="16"/>
      <c r="F2646" s="18"/>
      <c r="G2646" s="19" t="str">
        <f aca="true">IF(F2646="", "", DATEDIF(F2646, TODAY(), "Y"))</f>
        <v/>
      </c>
      <c r="H2646" s="28"/>
      <c r="I2646" s="28"/>
      <c r="J2646" s="24" t="str">
        <f aca="true">IF(ISBLANK(H2646), "", I2646-TODAY())</f>
        <v/>
      </c>
      <c r="K2646" s="24" t="str">
        <f aca="false" t="array" ref="K2646:K2646">IF(A2646&lt;&gt;"",IF(COUNTIF(A$996:A2647,"&lt;&gt;")=0,COUNTA(B$996:B2646),IFERROR(MATCH(TRUE(),INDEX((A$996:A2647&lt;&gt;""),0),0),COUNTA(B$996:B2646))),"")</f>
        <v/>
      </c>
      <c r="L2646" s="27"/>
    </row>
    <row r="2647" customFormat="false" ht="13.8" hidden="false" customHeight="false" outlineLevel="0" collapsed="false">
      <c r="A2647" s="16"/>
      <c r="B2647" s="16"/>
      <c r="C2647" s="26"/>
      <c r="D2647" s="26"/>
      <c r="E2647" s="16"/>
      <c r="F2647" s="18"/>
      <c r="G2647" s="19" t="str">
        <f aca="true">IF(F2647="", "", DATEDIF(F2647, TODAY(), "Y"))</f>
        <v/>
      </c>
      <c r="H2647" s="28"/>
      <c r="I2647" s="28"/>
      <c r="J2647" s="24" t="str">
        <f aca="true">IF(ISBLANK(H2647), "", I2647-TODAY())</f>
        <v/>
      </c>
      <c r="K2647" s="24" t="str">
        <f aca="false" t="array" ref="K2647:K2647">IF(A2647&lt;&gt;"",IF(COUNTIF(A$996:A2648,"&lt;&gt;")=0,COUNTA(B$996:B2647),IFERROR(MATCH(TRUE(),INDEX((A$996:A2648&lt;&gt;""),0),0),COUNTA(B$996:B2647))),"")</f>
        <v/>
      </c>
      <c r="L2647" s="27"/>
    </row>
    <row r="2648" customFormat="false" ht="13.8" hidden="false" customHeight="false" outlineLevel="0" collapsed="false">
      <c r="A2648" s="16"/>
      <c r="B2648" s="16"/>
      <c r="C2648" s="26"/>
      <c r="D2648" s="26"/>
      <c r="E2648" s="16"/>
      <c r="F2648" s="18"/>
      <c r="G2648" s="19" t="str">
        <f aca="true">IF(F2648="", "", DATEDIF(F2648, TODAY(), "Y"))</f>
        <v/>
      </c>
      <c r="H2648" s="28"/>
      <c r="I2648" s="28"/>
      <c r="J2648" s="24" t="str">
        <f aca="true">IF(ISBLANK(H2648), "", I2648-TODAY())</f>
        <v/>
      </c>
      <c r="K2648" s="24" t="str">
        <f aca="false" t="array" ref="K2648:K2648">IF(A2648&lt;&gt;"",IF(COUNTIF(A$996:A2649,"&lt;&gt;")=0,COUNTA(B$996:B2648),IFERROR(MATCH(TRUE(),INDEX((A$996:A2649&lt;&gt;""),0),0),COUNTA(B$996:B2648))),"")</f>
        <v/>
      </c>
      <c r="L2648" s="27"/>
    </row>
    <row r="2649" customFormat="false" ht="13.8" hidden="false" customHeight="false" outlineLevel="0" collapsed="false">
      <c r="A2649" s="16"/>
      <c r="B2649" s="16"/>
      <c r="C2649" s="26"/>
      <c r="D2649" s="26"/>
      <c r="E2649" s="16"/>
      <c r="F2649" s="18"/>
      <c r="G2649" s="19" t="str">
        <f aca="true">IF(F2649="", "", DATEDIF(F2649, TODAY(), "Y"))</f>
        <v/>
      </c>
      <c r="H2649" s="28"/>
      <c r="I2649" s="28"/>
      <c r="J2649" s="24" t="str">
        <f aca="true">IF(ISBLANK(H2649), "", I2649-TODAY())</f>
        <v/>
      </c>
      <c r="K2649" s="24" t="str">
        <f aca="false" t="array" ref="K2649:K2649">IF(A2649&lt;&gt;"",IF(COUNTIF(A$996:A2650,"&lt;&gt;")=0,COUNTA(B$996:B2649),IFERROR(MATCH(TRUE(),INDEX((A$996:A2650&lt;&gt;""),0),0),COUNTA(B$996:B2649))),"")</f>
        <v/>
      </c>
      <c r="L2649" s="27"/>
    </row>
    <row r="2650" customFormat="false" ht="13.8" hidden="false" customHeight="false" outlineLevel="0" collapsed="false">
      <c r="A2650" s="16"/>
      <c r="B2650" s="16"/>
      <c r="C2650" s="26"/>
      <c r="D2650" s="26"/>
      <c r="E2650" s="16"/>
      <c r="F2650" s="18"/>
      <c r="G2650" s="19" t="str">
        <f aca="true">IF(F2650="", "", DATEDIF(F2650, TODAY(), "Y"))</f>
        <v/>
      </c>
      <c r="H2650" s="28"/>
      <c r="I2650" s="28"/>
      <c r="J2650" s="24" t="str">
        <f aca="true">IF(ISBLANK(H2650), "", I2650-TODAY())</f>
        <v/>
      </c>
      <c r="K2650" s="24" t="str">
        <f aca="false" t="array" ref="K2650:K2650">IF(A2650&lt;&gt;"",IF(COUNTIF(A$996:A2651,"&lt;&gt;")=0,COUNTA(B$996:B2650),IFERROR(MATCH(TRUE(),INDEX((A$996:A2651&lt;&gt;""),0),0),COUNTA(B$996:B2650))),"")</f>
        <v/>
      </c>
      <c r="L2650" s="27"/>
    </row>
    <row r="2651" customFormat="false" ht="13.8" hidden="false" customHeight="false" outlineLevel="0" collapsed="false">
      <c r="A2651" s="16"/>
      <c r="B2651" s="16"/>
      <c r="C2651" s="26"/>
      <c r="D2651" s="26"/>
      <c r="E2651" s="16"/>
      <c r="F2651" s="18"/>
      <c r="G2651" s="19" t="str">
        <f aca="true">IF(F2651="", "", DATEDIF(F2651, TODAY(), "Y"))</f>
        <v/>
      </c>
      <c r="H2651" s="28"/>
      <c r="I2651" s="28"/>
      <c r="J2651" s="24" t="str">
        <f aca="true">IF(ISBLANK(H2651), "", I2651-TODAY())</f>
        <v/>
      </c>
      <c r="K2651" s="24" t="str">
        <f aca="false" t="array" ref="K2651:K2651">IF(A2651&lt;&gt;"",IF(COUNTIF(A$996:A2652,"&lt;&gt;")=0,COUNTA(B$996:B2651),IFERROR(MATCH(TRUE(),INDEX((A$996:A2652&lt;&gt;""),0),0),COUNTA(B$996:B2651))),"")</f>
        <v/>
      </c>
      <c r="L2651" s="27"/>
    </row>
    <row r="2652" customFormat="false" ht="13.8" hidden="false" customHeight="false" outlineLevel="0" collapsed="false">
      <c r="A2652" s="16"/>
      <c r="B2652" s="16"/>
      <c r="C2652" s="26"/>
      <c r="D2652" s="26"/>
      <c r="E2652" s="16"/>
      <c r="F2652" s="18"/>
      <c r="G2652" s="19" t="str">
        <f aca="true">IF(F2652="", "", DATEDIF(F2652, TODAY(), "Y"))</f>
        <v/>
      </c>
      <c r="H2652" s="28"/>
      <c r="I2652" s="28"/>
      <c r="J2652" s="24" t="str">
        <f aca="true">IF(ISBLANK(H2652), "", I2652-TODAY())</f>
        <v/>
      </c>
      <c r="K2652" s="24" t="str">
        <f aca="false" t="array" ref="K2652:K2652">IF(A2652&lt;&gt;"",IF(COUNTIF(A$996:A2653,"&lt;&gt;")=0,COUNTA(B$996:B2652),IFERROR(MATCH(TRUE(),INDEX((A$996:A2653&lt;&gt;""),0),0),COUNTA(B$996:B2652))),"")</f>
        <v/>
      </c>
      <c r="L2652" s="27"/>
    </row>
    <row r="2653" customFormat="false" ht="13.8" hidden="false" customHeight="false" outlineLevel="0" collapsed="false">
      <c r="A2653" s="16"/>
      <c r="B2653" s="16"/>
      <c r="C2653" s="26"/>
      <c r="D2653" s="26"/>
      <c r="E2653" s="16"/>
      <c r="F2653" s="18"/>
      <c r="G2653" s="19" t="str">
        <f aca="true">IF(F2653="", "", DATEDIF(F2653, TODAY(), "Y"))</f>
        <v/>
      </c>
      <c r="H2653" s="28"/>
      <c r="I2653" s="28"/>
      <c r="J2653" s="24" t="str">
        <f aca="true">IF(ISBLANK(H2653), "", I2653-TODAY())</f>
        <v/>
      </c>
      <c r="K2653" s="24" t="str">
        <f aca="false" t="array" ref="K2653:K2653">IF(A2653&lt;&gt;"",IF(COUNTIF(A$996:A2654,"&lt;&gt;")=0,COUNTA(B$996:B2653),IFERROR(MATCH(TRUE(),INDEX((A$996:A2654&lt;&gt;""),0),0),COUNTA(B$996:B2653))),"")</f>
        <v/>
      </c>
      <c r="L2653" s="27"/>
    </row>
    <row r="2654" customFormat="false" ht="13.8" hidden="false" customHeight="false" outlineLevel="0" collapsed="false">
      <c r="A2654" s="16"/>
      <c r="B2654" s="16"/>
      <c r="C2654" s="26"/>
      <c r="D2654" s="26"/>
      <c r="E2654" s="16"/>
      <c r="F2654" s="18"/>
      <c r="G2654" s="19" t="str">
        <f aca="true">IF(F2654="", "", DATEDIF(F2654, TODAY(), "Y"))</f>
        <v/>
      </c>
      <c r="H2654" s="28"/>
      <c r="I2654" s="28"/>
      <c r="J2654" s="24" t="str">
        <f aca="true">IF(ISBLANK(H2654), "", I2654-TODAY())</f>
        <v/>
      </c>
      <c r="K2654" s="24" t="str">
        <f aca="false" t="array" ref="K2654:K2654">IF(A2654&lt;&gt;"",IF(COUNTIF(A$996:A2655,"&lt;&gt;")=0,COUNTA(B$996:B2654),IFERROR(MATCH(TRUE(),INDEX((A$996:A2655&lt;&gt;""),0),0),COUNTA(B$996:B2654))),"")</f>
        <v/>
      </c>
      <c r="L2654" s="27"/>
    </row>
    <row r="2655" customFormat="false" ht="13.8" hidden="false" customHeight="false" outlineLevel="0" collapsed="false">
      <c r="A2655" s="16"/>
      <c r="B2655" s="16"/>
      <c r="C2655" s="26"/>
      <c r="D2655" s="26"/>
      <c r="E2655" s="16"/>
      <c r="F2655" s="18"/>
      <c r="G2655" s="19" t="str">
        <f aca="true">IF(F2655="", "", DATEDIF(F2655, TODAY(), "Y"))</f>
        <v/>
      </c>
      <c r="H2655" s="28"/>
      <c r="I2655" s="28"/>
      <c r="J2655" s="24" t="str">
        <f aca="true">IF(ISBLANK(H2655), "", I2655-TODAY())</f>
        <v/>
      </c>
      <c r="K2655" s="24" t="str">
        <f aca="false" t="array" ref="K2655:K2655">IF(A2655&lt;&gt;"",IF(COUNTIF(A$996:A2656,"&lt;&gt;")=0,COUNTA(B$996:B2655),IFERROR(MATCH(TRUE(),INDEX((A$996:A2656&lt;&gt;""),0),0),COUNTA(B$996:B2655))),"")</f>
        <v/>
      </c>
      <c r="L2655" s="27"/>
    </row>
    <row r="2656" customFormat="false" ht="13.8" hidden="false" customHeight="false" outlineLevel="0" collapsed="false">
      <c r="A2656" s="16"/>
      <c r="B2656" s="16"/>
      <c r="C2656" s="26"/>
      <c r="D2656" s="26"/>
      <c r="E2656" s="16"/>
      <c r="F2656" s="18"/>
      <c r="G2656" s="19" t="str">
        <f aca="true">IF(F2656="", "", DATEDIF(F2656, TODAY(), "Y"))</f>
        <v/>
      </c>
      <c r="H2656" s="28"/>
      <c r="I2656" s="28"/>
      <c r="J2656" s="24" t="str">
        <f aca="true">IF(ISBLANK(H2656), "", I2656-TODAY())</f>
        <v/>
      </c>
      <c r="K2656" s="24" t="str">
        <f aca="false" t="array" ref="K2656:K2656">IF(A2656&lt;&gt;"",IF(COUNTIF(A$996:A2657,"&lt;&gt;")=0,COUNTA(B$996:B2656),IFERROR(MATCH(TRUE(),INDEX((A$996:A2657&lt;&gt;""),0),0),COUNTA(B$996:B2656))),"")</f>
        <v/>
      </c>
      <c r="L2656" s="27"/>
    </row>
    <row r="2657" customFormat="false" ht="13.8" hidden="false" customHeight="false" outlineLevel="0" collapsed="false">
      <c r="A2657" s="16"/>
      <c r="B2657" s="16"/>
      <c r="C2657" s="26"/>
      <c r="D2657" s="26"/>
      <c r="E2657" s="16"/>
      <c r="F2657" s="18"/>
      <c r="G2657" s="19" t="str">
        <f aca="true">IF(F2657="", "", DATEDIF(F2657, TODAY(), "Y"))</f>
        <v/>
      </c>
      <c r="H2657" s="28"/>
      <c r="I2657" s="28"/>
      <c r="J2657" s="24" t="str">
        <f aca="true">IF(ISBLANK(H2657), "", I2657-TODAY())</f>
        <v/>
      </c>
      <c r="K2657" s="24" t="str">
        <f aca="false" t="array" ref="K2657:K2657">IF(A2657&lt;&gt;"",IF(COUNTIF(A$996:A2658,"&lt;&gt;")=0,COUNTA(B$996:B2657),IFERROR(MATCH(TRUE(),INDEX((A$996:A2658&lt;&gt;""),0),0),COUNTA(B$996:B2657))),"")</f>
        <v/>
      </c>
      <c r="L2657" s="27"/>
    </row>
    <row r="2658" customFormat="false" ht="13.8" hidden="false" customHeight="false" outlineLevel="0" collapsed="false">
      <c r="A2658" s="16"/>
      <c r="B2658" s="16"/>
      <c r="C2658" s="26"/>
      <c r="D2658" s="26"/>
      <c r="E2658" s="16"/>
      <c r="F2658" s="18"/>
      <c r="G2658" s="19" t="str">
        <f aca="true">IF(F2658="", "", DATEDIF(F2658, TODAY(), "Y"))</f>
        <v/>
      </c>
      <c r="H2658" s="28"/>
      <c r="I2658" s="28"/>
      <c r="J2658" s="24" t="str">
        <f aca="true">IF(ISBLANK(H2658), "", I2658-TODAY())</f>
        <v/>
      </c>
      <c r="K2658" s="24" t="str">
        <f aca="false" t="array" ref="K2658:K2658">IF(A2658&lt;&gt;"",IF(COUNTIF(A$996:A2659,"&lt;&gt;")=0,COUNTA(B$996:B2658),IFERROR(MATCH(TRUE(),INDEX((A$996:A2659&lt;&gt;""),0),0),COUNTA(B$996:B2658))),"")</f>
        <v/>
      </c>
      <c r="L2658" s="27"/>
    </row>
    <row r="2659" customFormat="false" ht="13.8" hidden="false" customHeight="false" outlineLevel="0" collapsed="false">
      <c r="A2659" s="16"/>
      <c r="B2659" s="16"/>
      <c r="C2659" s="26"/>
      <c r="D2659" s="26"/>
      <c r="E2659" s="16"/>
      <c r="F2659" s="18"/>
      <c r="G2659" s="19" t="str">
        <f aca="true">IF(F2659="", "", DATEDIF(F2659, TODAY(), "Y"))</f>
        <v/>
      </c>
      <c r="H2659" s="28"/>
      <c r="I2659" s="28"/>
      <c r="J2659" s="24" t="str">
        <f aca="true">IF(ISBLANK(H2659), "", I2659-TODAY())</f>
        <v/>
      </c>
      <c r="K2659" s="24" t="str">
        <f aca="false" t="array" ref="K2659:K2659">IF(A2659&lt;&gt;"",IF(COUNTIF(A$996:A2660,"&lt;&gt;")=0,COUNTA(B$996:B2659),IFERROR(MATCH(TRUE(),INDEX((A$996:A2660&lt;&gt;""),0),0),COUNTA(B$996:B2659))),"")</f>
        <v/>
      </c>
      <c r="L2659" s="27"/>
    </row>
    <row r="2660" customFormat="false" ht="13.8" hidden="false" customHeight="false" outlineLevel="0" collapsed="false">
      <c r="A2660" s="16"/>
      <c r="B2660" s="16"/>
      <c r="C2660" s="26"/>
      <c r="D2660" s="26"/>
      <c r="E2660" s="16"/>
      <c r="F2660" s="18"/>
      <c r="G2660" s="19" t="str">
        <f aca="true">IF(F2660="", "", DATEDIF(F2660, TODAY(), "Y"))</f>
        <v/>
      </c>
      <c r="H2660" s="28"/>
      <c r="I2660" s="28"/>
      <c r="J2660" s="24" t="str">
        <f aca="true">IF(ISBLANK(H2660), "", I2660-TODAY())</f>
        <v/>
      </c>
      <c r="K2660" s="24" t="str">
        <f aca="false" t="array" ref="K2660:K2660">IF(A2660&lt;&gt;"",IF(COUNTIF(A$996:A2661,"&lt;&gt;")=0,COUNTA(B$996:B2660),IFERROR(MATCH(TRUE(),INDEX((A$996:A2661&lt;&gt;""),0),0),COUNTA(B$996:B2660))),"")</f>
        <v/>
      </c>
      <c r="L2660" s="27"/>
    </row>
    <row r="2661" customFormat="false" ht="13.8" hidden="false" customHeight="false" outlineLevel="0" collapsed="false">
      <c r="A2661" s="16"/>
      <c r="B2661" s="16"/>
      <c r="C2661" s="26"/>
      <c r="D2661" s="26"/>
      <c r="E2661" s="16"/>
      <c r="F2661" s="18"/>
      <c r="G2661" s="19" t="str">
        <f aca="true">IF(F2661="", "", DATEDIF(F2661, TODAY(), "Y"))</f>
        <v/>
      </c>
      <c r="H2661" s="28"/>
      <c r="I2661" s="28"/>
      <c r="J2661" s="24" t="str">
        <f aca="true">IF(ISBLANK(H2661), "", I2661-TODAY())</f>
        <v/>
      </c>
      <c r="K2661" s="24" t="str">
        <f aca="false" t="array" ref="K2661:K2661">IF(A2661&lt;&gt;"",IF(COUNTIF(A$996:A2662,"&lt;&gt;")=0,COUNTA(B$996:B2661),IFERROR(MATCH(TRUE(),INDEX((A$996:A2662&lt;&gt;""),0),0),COUNTA(B$996:B2661))),"")</f>
        <v/>
      </c>
      <c r="L2661" s="27"/>
    </row>
    <row r="2662" customFormat="false" ht="13.8" hidden="false" customHeight="false" outlineLevel="0" collapsed="false">
      <c r="A2662" s="16"/>
      <c r="B2662" s="16"/>
      <c r="C2662" s="26"/>
      <c r="D2662" s="26"/>
      <c r="E2662" s="16"/>
      <c r="F2662" s="18"/>
      <c r="G2662" s="19" t="str">
        <f aca="true">IF(F2662="", "", DATEDIF(F2662, TODAY(), "Y"))</f>
        <v/>
      </c>
      <c r="H2662" s="28"/>
      <c r="I2662" s="28"/>
      <c r="J2662" s="24" t="str">
        <f aca="true">IF(ISBLANK(H2662), "", I2662-TODAY())</f>
        <v/>
      </c>
      <c r="K2662" s="24" t="str">
        <f aca="false" t="array" ref="K2662:K2662">IF(A2662&lt;&gt;"",IF(COUNTIF(A$996:A2663,"&lt;&gt;")=0,COUNTA(B$996:B2662),IFERROR(MATCH(TRUE(),INDEX((A$996:A2663&lt;&gt;""),0),0),COUNTA(B$996:B2662))),"")</f>
        <v/>
      </c>
      <c r="L2662" s="27"/>
    </row>
    <row r="2663" customFormat="false" ht="13.8" hidden="false" customHeight="false" outlineLevel="0" collapsed="false">
      <c r="A2663" s="16"/>
      <c r="B2663" s="16"/>
      <c r="C2663" s="26"/>
      <c r="D2663" s="26"/>
      <c r="E2663" s="16"/>
      <c r="F2663" s="18"/>
      <c r="G2663" s="19" t="str">
        <f aca="true">IF(F2663="", "", DATEDIF(F2663, TODAY(), "Y"))</f>
        <v/>
      </c>
      <c r="H2663" s="28"/>
      <c r="I2663" s="28"/>
      <c r="J2663" s="24" t="str">
        <f aca="true">IF(ISBLANK(H2663), "", I2663-TODAY())</f>
        <v/>
      </c>
      <c r="K2663" s="24" t="str">
        <f aca="false" t="array" ref="K2663:K2663">IF(A2663&lt;&gt;"",IF(COUNTIF(A$996:A2664,"&lt;&gt;")=0,COUNTA(B$996:B2663),IFERROR(MATCH(TRUE(),INDEX((A$996:A2664&lt;&gt;""),0),0),COUNTA(B$996:B2663))),"")</f>
        <v/>
      </c>
      <c r="L2663" s="27"/>
    </row>
    <row r="2664" customFormat="false" ht="13.8" hidden="false" customHeight="false" outlineLevel="0" collapsed="false">
      <c r="A2664" s="16"/>
      <c r="B2664" s="16"/>
      <c r="C2664" s="26"/>
      <c r="D2664" s="26"/>
      <c r="E2664" s="16"/>
      <c r="F2664" s="18"/>
      <c r="G2664" s="19" t="str">
        <f aca="true">IF(F2664="", "", DATEDIF(F2664, TODAY(), "Y"))</f>
        <v/>
      </c>
      <c r="H2664" s="28"/>
      <c r="I2664" s="28"/>
      <c r="J2664" s="24" t="str">
        <f aca="true">IF(ISBLANK(H2664), "", I2664-TODAY())</f>
        <v/>
      </c>
      <c r="K2664" s="24" t="str">
        <f aca="false" t="array" ref="K2664:K2664">IF(A2664&lt;&gt;"",IF(COUNTIF(A$996:A2665,"&lt;&gt;")=0,COUNTA(B$996:B2664),IFERROR(MATCH(TRUE(),INDEX((A$996:A2665&lt;&gt;""),0),0),COUNTA(B$996:B2664))),"")</f>
        <v/>
      </c>
      <c r="L2664" s="27"/>
    </row>
    <row r="2665" customFormat="false" ht="13.8" hidden="false" customHeight="false" outlineLevel="0" collapsed="false">
      <c r="A2665" s="16"/>
      <c r="B2665" s="16"/>
      <c r="C2665" s="26"/>
      <c r="D2665" s="26"/>
      <c r="E2665" s="16"/>
      <c r="F2665" s="18"/>
      <c r="G2665" s="19" t="str">
        <f aca="true">IF(F2665="", "", DATEDIF(F2665, TODAY(), "Y"))</f>
        <v/>
      </c>
      <c r="H2665" s="28"/>
      <c r="I2665" s="28"/>
      <c r="J2665" s="24" t="str">
        <f aca="true">IF(ISBLANK(H2665), "", I2665-TODAY())</f>
        <v/>
      </c>
      <c r="K2665" s="24" t="str">
        <f aca="false" t="array" ref="K2665:K2665">IF(A2665&lt;&gt;"",IF(COUNTIF(A$996:A2666,"&lt;&gt;")=0,COUNTA(B$996:B2665),IFERROR(MATCH(TRUE(),INDEX((A$996:A2666&lt;&gt;""),0),0),COUNTA(B$996:B2665))),"")</f>
        <v/>
      </c>
      <c r="L2665" s="27"/>
    </row>
    <row r="2666" customFormat="false" ht="13.8" hidden="false" customHeight="false" outlineLevel="0" collapsed="false">
      <c r="A2666" s="16"/>
      <c r="B2666" s="16"/>
      <c r="C2666" s="26"/>
      <c r="D2666" s="26"/>
      <c r="E2666" s="16"/>
      <c r="F2666" s="18"/>
      <c r="G2666" s="19" t="str">
        <f aca="true">IF(F2666="", "", DATEDIF(F2666, TODAY(), "Y"))</f>
        <v/>
      </c>
      <c r="H2666" s="28"/>
      <c r="I2666" s="28"/>
      <c r="J2666" s="24" t="str">
        <f aca="true">IF(ISBLANK(H2666), "", I2666-TODAY())</f>
        <v/>
      </c>
      <c r="K2666" s="24" t="str">
        <f aca="false" t="array" ref="K2666:K2666">IF(A2666&lt;&gt;"",IF(COUNTIF(A$996:A2667,"&lt;&gt;")=0,COUNTA(B$996:B2666),IFERROR(MATCH(TRUE(),INDEX((A$996:A2667&lt;&gt;""),0),0),COUNTA(B$996:B2666))),"")</f>
        <v/>
      </c>
      <c r="L2666" s="27"/>
    </row>
    <row r="2667" customFormat="false" ht="13.8" hidden="false" customHeight="false" outlineLevel="0" collapsed="false">
      <c r="A2667" s="16"/>
      <c r="B2667" s="16"/>
      <c r="C2667" s="26"/>
      <c r="D2667" s="26"/>
      <c r="E2667" s="16"/>
      <c r="F2667" s="18"/>
      <c r="G2667" s="19" t="str">
        <f aca="true">IF(F2667="", "", DATEDIF(F2667, TODAY(), "Y"))</f>
        <v/>
      </c>
      <c r="H2667" s="28"/>
      <c r="I2667" s="28"/>
      <c r="J2667" s="24" t="str">
        <f aca="true">IF(ISBLANK(H2667), "", I2667-TODAY())</f>
        <v/>
      </c>
      <c r="K2667" s="24" t="str">
        <f aca="false" t="array" ref="K2667:K2667">IF(A2667&lt;&gt;"",IF(COUNTIF(A$996:A2668,"&lt;&gt;")=0,COUNTA(B$996:B2667),IFERROR(MATCH(TRUE(),INDEX((A$996:A2668&lt;&gt;""),0),0),COUNTA(B$996:B2667))),"")</f>
        <v/>
      </c>
      <c r="L2667" s="27"/>
    </row>
    <row r="2668" customFormat="false" ht="13.8" hidden="false" customHeight="false" outlineLevel="0" collapsed="false">
      <c r="A2668" s="16"/>
      <c r="B2668" s="16"/>
      <c r="C2668" s="26"/>
      <c r="D2668" s="26"/>
      <c r="E2668" s="16"/>
      <c r="F2668" s="18"/>
      <c r="G2668" s="19" t="str">
        <f aca="true">IF(F2668="", "", DATEDIF(F2668, TODAY(), "Y"))</f>
        <v/>
      </c>
      <c r="H2668" s="28"/>
      <c r="I2668" s="28"/>
      <c r="J2668" s="24" t="str">
        <f aca="true">IF(ISBLANK(H2668), "", I2668-TODAY())</f>
        <v/>
      </c>
      <c r="K2668" s="24" t="str">
        <f aca="false" t="array" ref="K2668:K2668">IF(A2668&lt;&gt;"",IF(COUNTIF(A$996:A2669,"&lt;&gt;")=0,COUNTA(B$996:B2668),IFERROR(MATCH(TRUE(),INDEX((A$996:A2669&lt;&gt;""),0),0),COUNTA(B$996:B2668))),"")</f>
        <v/>
      </c>
      <c r="L2668" s="27"/>
    </row>
    <row r="2669" customFormat="false" ht="13.8" hidden="false" customHeight="false" outlineLevel="0" collapsed="false">
      <c r="A2669" s="16"/>
      <c r="B2669" s="16"/>
      <c r="C2669" s="26"/>
      <c r="D2669" s="26"/>
      <c r="E2669" s="16"/>
      <c r="F2669" s="18"/>
      <c r="G2669" s="19" t="str">
        <f aca="true">IF(F2669="", "", DATEDIF(F2669, TODAY(), "Y"))</f>
        <v/>
      </c>
      <c r="H2669" s="28"/>
      <c r="I2669" s="28"/>
      <c r="J2669" s="24" t="str">
        <f aca="true">IF(ISBLANK(H2669), "", I2669-TODAY())</f>
        <v/>
      </c>
      <c r="K2669" s="24" t="str">
        <f aca="false" t="array" ref="K2669:K2669">IF(A2669&lt;&gt;"",IF(COUNTIF(A$996:A2670,"&lt;&gt;")=0,COUNTA(B$996:B2669),IFERROR(MATCH(TRUE(),INDEX((A$996:A2670&lt;&gt;""),0),0),COUNTA(B$996:B2669))),"")</f>
        <v/>
      </c>
      <c r="L2669" s="27"/>
    </row>
    <row r="2670" customFormat="false" ht="13.8" hidden="false" customHeight="false" outlineLevel="0" collapsed="false">
      <c r="A2670" s="16"/>
      <c r="B2670" s="16"/>
      <c r="C2670" s="26"/>
      <c r="D2670" s="26"/>
      <c r="E2670" s="16"/>
      <c r="F2670" s="18"/>
      <c r="G2670" s="19" t="str">
        <f aca="true">IF(F2670="", "", DATEDIF(F2670, TODAY(), "Y"))</f>
        <v/>
      </c>
      <c r="H2670" s="28"/>
      <c r="I2670" s="28"/>
      <c r="J2670" s="24" t="str">
        <f aca="true">IF(ISBLANK(H2670), "", I2670-TODAY())</f>
        <v/>
      </c>
      <c r="K2670" s="24" t="str">
        <f aca="false" t="array" ref="K2670:K2670">IF(A2670&lt;&gt;"",IF(COUNTIF(A$996:A2671,"&lt;&gt;")=0,COUNTA(B$996:B2670),IFERROR(MATCH(TRUE(),INDEX((A$996:A2671&lt;&gt;""),0),0),COUNTA(B$996:B2670))),"")</f>
        <v/>
      </c>
      <c r="L2670" s="27"/>
    </row>
    <row r="2671" customFormat="false" ht="13.8" hidden="false" customHeight="false" outlineLevel="0" collapsed="false">
      <c r="A2671" s="16"/>
      <c r="B2671" s="16"/>
      <c r="C2671" s="26"/>
      <c r="D2671" s="26"/>
      <c r="E2671" s="16"/>
      <c r="F2671" s="18"/>
      <c r="G2671" s="19" t="str">
        <f aca="true">IF(F2671="", "", DATEDIF(F2671, TODAY(), "Y"))</f>
        <v/>
      </c>
      <c r="H2671" s="28"/>
      <c r="I2671" s="28"/>
      <c r="J2671" s="24" t="str">
        <f aca="true">IF(ISBLANK(H2671), "", I2671-TODAY())</f>
        <v/>
      </c>
      <c r="K2671" s="24" t="str">
        <f aca="false" t="array" ref="K2671:K2671">IF(A2671&lt;&gt;"",IF(COUNTIF(A$996:A2672,"&lt;&gt;")=0,COUNTA(B$996:B2671),IFERROR(MATCH(TRUE(),INDEX((A$996:A2672&lt;&gt;""),0),0),COUNTA(B$996:B2671))),"")</f>
        <v/>
      </c>
      <c r="L2671" s="27"/>
    </row>
    <row r="2672" customFormat="false" ht="13.8" hidden="false" customHeight="false" outlineLevel="0" collapsed="false">
      <c r="A2672" s="16"/>
      <c r="B2672" s="16"/>
      <c r="C2672" s="26"/>
      <c r="D2672" s="26"/>
      <c r="E2672" s="16"/>
      <c r="F2672" s="18"/>
      <c r="G2672" s="19" t="str">
        <f aca="true">IF(F2672="", "", DATEDIF(F2672, TODAY(), "Y"))</f>
        <v/>
      </c>
      <c r="H2672" s="28"/>
      <c r="I2672" s="28"/>
      <c r="J2672" s="24" t="str">
        <f aca="true">IF(ISBLANK(H2672), "", I2672-TODAY())</f>
        <v/>
      </c>
      <c r="K2672" s="24" t="str">
        <f aca="false" t="array" ref="K2672:K2672">IF(A2672&lt;&gt;"",IF(COUNTIF(A$996:A2673,"&lt;&gt;")=0,COUNTA(B$996:B2672),IFERROR(MATCH(TRUE(),INDEX((A$996:A2673&lt;&gt;""),0),0),COUNTA(B$996:B2672))),"")</f>
        <v/>
      </c>
      <c r="L2672" s="27"/>
    </row>
    <row r="2673" customFormat="false" ht="13.8" hidden="false" customHeight="false" outlineLevel="0" collapsed="false">
      <c r="A2673" s="16"/>
      <c r="B2673" s="16"/>
      <c r="C2673" s="26"/>
      <c r="D2673" s="26"/>
      <c r="E2673" s="16"/>
      <c r="F2673" s="18"/>
      <c r="G2673" s="19" t="str">
        <f aca="true">IF(F2673="", "", DATEDIF(F2673, TODAY(), "Y"))</f>
        <v/>
      </c>
      <c r="H2673" s="28"/>
      <c r="I2673" s="28"/>
      <c r="J2673" s="24" t="str">
        <f aca="true">IF(ISBLANK(H2673), "", I2673-TODAY())</f>
        <v/>
      </c>
      <c r="K2673" s="24" t="str">
        <f aca="false" t="array" ref="K2673:K2673">IF(A2673&lt;&gt;"",IF(COUNTIF(A$996:A2674,"&lt;&gt;")=0,COUNTA(B$996:B2673),IFERROR(MATCH(TRUE(),INDEX((A$996:A2674&lt;&gt;""),0),0),COUNTA(B$996:B2673))),"")</f>
        <v/>
      </c>
      <c r="L2673" s="27"/>
    </row>
    <row r="2674" customFormat="false" ht="13.8" hidden="false" customHeight="false" outlineLevel="0" collapsed="false">
      <c r="A2674" s="16"/>
      <c r="B2674" s="16"/>
      <c r="C2674" s="26"/>
      <c r="D2674" s="26"/>
      <c r="E2674" s="16"/>
      <c r="F2674" s="18"/>
      <c r="G2674" s="19" t="str">
        <f aca="true">IF(F2674="", "", DATEDIF(F2674, TODAY(), "Y"))</f>
        <v/>
      </c>
      <c r="H2674" s="28"/>
      <c r="I2674" s="28"/>
      <c r="J2674" s="24" t="str">
        <f aca="true">IF(ISBLANK(H2674), "", I2674-TODAY())</f>
        <v/>
      </c>
      <c r="K2674" s="24" t="str">
        <f aca="false" t="array" ref="K2674:K2674">IF(A2674&lt;&gt;"",IF(COUNTIF(A$996:A2675,"&lt;&gt;")=0,COUNTA(B$996:B2674),IFERROR(MATCH(TRUE(),INDEX((A$996:A2675&lt;&gt;""),0),0),COUNTA(B$996:B2674))),"")</f>
        <v/>
      </c>
      <c r="L2674" s="27"/>
    </row>
    <row r="2675" customFormat="false" ht="13.8" hidden="false" customHeight="false" outlineLevel="0" collapsed="false">
      <c r="A2675" s="16"/>
      <c r="B2675" s="16"/>
      <c r="C2675" s="26"/>
      <c r="D2675" s="26"/>
      <c r="E2675" s="16"/>
      <c r="F2675" s="18"/>
      <c r="G2675" s="19" t="str">
        <f aca="true">IF(F2675="", "", DATEDIF(F2675, TODAY(), "Y"))</f>
        <v/>
      </c>
      <c r="H2675" s="28"/>
      <c r="I2675" s="28"/>
      <c r="J2675" s="24" t="str">
        <f aca="true">IF(ISBLANK(H2675), "", I2675-TODAY())</f>
        <v/>
      </c>
      <c r="K2675" s="24" t="str">
        <f aca="false" t="array" ref="K2675:K2675">IF(A2675&lt;&gt;"",IF(COUNTIF(A$996:A2676,"&lt;&gt;")=0,COUNTA(B$996:B2675),IFERROR(MATCH(TRUE(),INDEX((A$996:A2676&lt;&gt;""),0),0),COUNTA(B$996:B2675))),"")</f>
        <v/>
      </c>
      <c r="L2675" s="27"/>
    </row>
    <row r="2676" customFormat="false" ht="13.8" hidden="false" customHeight="false" outlineLevel="0" collapsed="false">
      <c r="A2676" s="16"/>
      <c r="B2676" s="16"/>
      <c r="C2676" s="26"/>
      <c r="D2676" s="26"/>
      <c r="E2676" s="16"/>
      <c r="F2676" s="18"/>
      <c r="G2676" s="19" t="str">
        <f aca="true">IF(F2676="", "", DATEDIF(F2676, TODAY(), "Y"))</f>
        <v/>
      </c>
      <c r="H2676" s="28"/>
      <c r="I2676" s="28"/>
      <c r="J2676" s="24" t="str">
        <f aca="true">IF(ISBLANK(H2676), "", I2676-TODAY())</f>
        <v/>
      </c>
      <c r="K2676" s="24" t="str">
        <f aca="false" t="array" ref="K2676:K2676">IF(A2676&lt;&gt;"",IF(COUNTIF(A$996:A2677,"&lt;&gt;")=0,COUNTA(B$996:B2676),IFERROR(MATCH(TRUE(),INDEX((A$996:A2677&lt;&gt;""),0),0),COUNTA(B$996:B2676))),"")</f>
        <v/>
      </c>
      <c r="L2676" s="27"/>
    </row>
    <row r="2677" customFormat="false" ht="13.8" hidden="false" customHeight="false" outlineLevel="0" collapsed="false">
      <c r="A2677" s="16"/>
      <c r="B2677" s="16"/>
      <c r="C2677" s="26"/>
      <c r="D2677" s="26"/>
      <c r="E2677" s="16"/>
      <c r="F2677" s="18"/>
      <c r="G2677" s="19" t="str">
        <f aca="true">IF(F2677="", "", DATEDIF(F2677, TODAY(), "Y"))</f>
        <v/>
      </c>
      <c r="H2677" s="28"/>
      <c r="I2677" s="28"/>
      <c r="J2677" s="24" t="str">
        <f aca="true">IF(ISBLANK(H2677), "", I2677-TODAY())</f>
        <v/>
      </c>
      <c r="K2677" s="24" t="str">
        <f aca="false" t="array" ref="K2677:K2677">IF(A2677&lt;&gt;"",IF(COUNTIF(A$996:A2678,"&lt;&gt;")=0,COUNTA(B$996:B2677),IFERROR(MATCH(TRUE(),INDEX((A$996:A2678&lt;&gt;""),0),0),COUNTA(B$996:B2677))),"")</f>
        <v/>
      </c>
      <c r="L2677" s="27"/>
    </row>
    <row r="2678" customFormat="false" ht="13.8" hidden="false" customHeight="false" outlineLevel="0" collapsed="false">
      <c r="A2678" s="16"/>
      <c r="B2678" s="16"/>
      <c r="C2678" s="26"/>
      <c r="D2678" s="26"/>
      <c r="E2678" s="16"/>
      <c r="F2678" s="18"/>
      <c r="G2678" s="19" t="str">
        <f aca="true">IF(F2678="", "", DATEDIF(F2678, TODAY(), "Y"))</f>
        <v/>
      </c>
      <c r="H2678" s="28"/>
      <c r="I2678" s="28"/>
      <c r="J2678" s="24" t="str">
        <f aca="true">IF(ISBLANK(H2678), "", I2678-TODAY())</f>
        <v/>
      </c>
      <c r="K2678" s="24" t="str">
        <f aca="false" t="array" ref="K2678:K2678">IF(A2678&lt;&gt;"",IF(COUNTIF(A$996:A2679,"&lt;&gt;")=0,COUNTA(B$996:B2678),IFERROR(MATCH(TRUE(),INDEX((A$996:A2679&lt;&gt;""),0),0),COUNTA(B$996:B2678))),"")</f>
        <v/>
      </c>
      <c r="L2678" s="27"/>
    </row>
    <row r="2679" customFormat="false" ht="13.8" hidden="false" customHeight="false" outlineLevel="0" collapsed="false">
      <c r="A2679" s="16"/>
      <c r="B2679" s="16"/>
      <c r="C2679" s="26"/>
      <c r="D2679" s="26"/>
      <c r="E2679" s="16"/>
      <c r="F2679" s="18"/>
      <c r="G2679" s="19" t="str">
        <f aca="true">IF(F2679="", "", DATEDIF(F2679, TODAY(), "Y"))</f>
        <v/>
      </c>
      <c r="H2679" s="28"/>
      <c r="I2679" s="28"/>
      <c r="J2679" s="24" t="str">
        <f aca="true">IF(ISBLANK(H2679), "", I2679-TODAY())</f>
        <v/>
      </c>
      <c r="K2679" s="24" t="str">
        <f aca="false" t="array" ref="K2679:K2679">IF(A2679&lt;&gt;"",IF(COUNTIF(A$996:A2680,"&lt;&gt;")=0,COUNTA(B$996:B2679),IFERROR(MATCH(TRUE(),INDEX((A$996:A2680&lt;&gt;""),0),0),COUNTA(B$996:B2679))),"")</f>
        <v/>
      </c>
      <c r="L2679" s="27"/>
    </row>
    <row r="2680" customFormat="false" ht="13.8" hidden="false" customHeight="false" outlineLevel="0" collapsed="false">
      <c r="A2680" s="16"/>
      <c r="B2680" s="16"/>
      <c r="C2680" s="26"/>
      <c r="D2680" s="26"/>
      <c r="E2680" s="16"/>
      <c r="F2680" s="18"/>
      <c r="G2680" s="19" t="str">
        <f aca="true">IF(F2680="", "", DATEDIF(F2680, TODAY(), "Y"))</f>
        <v/>
      </c>
      <c r="H2680" s="28"/>
      <c r="I2680" s="28"/>
      <c r="J2680" s="24" t="str">
        <f aca="true">IF(ISBLANK(H2680), "", I2680-TODAY())</f>
        <v/>
      </c>
      <c r="K2680" s="24" t="str">
        <f aca="false" t="array" ref="K2680:K2680">IF(A2680&lt;&gt;"",IF(COUNTIF(A$996:A2681,"&lt;&gt;")=0,COUNTA(B$996:B2680),IFERROR(MATCH(TRUE(),INDEX((A$996:A2681&lt;&gt;""),0),0),COUNTA(B$996:B2680))),"")</f>
        <v/>
      </c>
      <c r="L2680" s="27"/>
    </row>
    <row r="2681" customFormat="false" ht="13.8" hidden="false" customHeight="false" outlineLevel="0" collapsed="false">
      <c r="A2681" s="16"/>
      <c r="B2681" s="16"/>
      <c r="C2681" s="26"/>
      <c r="D2681" s="26"/>
      <c r="E2681" s="16"/>
      <c r="F2681" s="18"/>
      <c r="G2681" s="19" t="str">
        <f aca="true">IF(F2681="", "", DATEDIF(F2681, TODAY(), "Y"))</f>
        <v/>
      </c>
      <c r="H2681" s="28"/>
      <c r="I2681" s="28"/>
      <c r="J2681" s="24" t="str">
        <f aca="true">IF(ISBLANK(H2681), "", I2681-TODAY())</f>
        <v/>
      </c>
      <c r="K2681" s="24" t="str">
        <f aca="false" t="array" ref="K2681:K2681">IF(A2681&lt;&gt;"",IF(COUNTIF(A$996:A2682,"&lt;&gt;")=0,COUNTA(B$996:B2681),IFERROR(MATCH(TRUE(),INDEX((A$996:A2682&lt;&gt;""),0),0),COUNTA(B$996:B2681))),"")</f>
        <v/>
      </c>
      <c r="L2681" s="27"/>
    </row>
    <row r="2682" customFormat="false" ht="13.8" hidden="false" customHeight="false" outlineLevel="0" collapsed="false">
      <c r="A2682" s="16"/>
      <c r="B2682" s="16"/>
      <c r="C2682" s="26"/>
      <c r="D2682" s="26"/>
      <c r="E2682" s="16"/>
      <c r="F2682" s="18"/>
      <c r="G2682" s="19" t="str">
        <f aca="true">IF(F2682="", "", DATEDIF(F2682, TODAY(), "Y"))</f>
        <v/>
      </c>
      <c r="H2682" s="28"/>
      <c r="I2682" s="28"/>
      <c r="J2682" s="24" t="str">
        <f aca="true">IF(ISBLANK(H2682), "", I2682-TODAY())</f>
        <v/>
      </c>
      <c r="K2682" s="24" t="str">
        <f aca="false" t="array" ref="K2682:K2682">IF(A2682&lt;&gt;"",IF(COUNTIF(A$996:A2683,"&lt;&gt;")=0,COUNTA(B$996:B2682),IFERROR(MATCH(TRUE(),INDEX((A$996:A2683&lt;&gt;""),0),0),COUNTA(B$996:B2682))),"")</f>
        <v/>
      </c>
      <c r="L2682" s="27"/>
    </row>
    <row r="2683" customFormat="false" ht="13.8" hidden="false" customHeight="false" outlineLevel="0" collapsed="false">
      <c r="A2683" s="16"/>
      <c r="B2683" s="16"/>
      <c r="C2683" s="26"/>
      <c r="D2683" s="26"/>
      <c r="E2683" s="16"/>
      <c r="F2683" s="18"/>
      <c r="G2683" s="19" t="str">
        <f aca="true">IF(F2683="", "", DATEDIF(F2683, TODAY(), "Y"))</f>
        <v/>
      </c>
      <c r="H2683" s="28"/>
      <c r="I2683" s="28"/>
      <c r="J2683" s="24" t="str">
        <f aca="true">IF(ISBLANK(H2683), "", I2683-TODAY())</f>
        <v/>
      </c>
      <c r="K2683" s="24" t="str">
        <f aca="false" t="array" ref="K2683:K2683">IF(A2683&lt;&gt;"",IF(COUNTIF(A$996:A2684,"&lt;&gt;")=0,COUNTA(B$996:B2683),IFERROR(MATCH(TRUE(),INDEX((A$996:A2684&lt;&gt;""),0),0),COUNTA(B$996:B2683))),"")</f>
        <v/>
      </c>
      <c r="L2683" s="27"/>
    </row>
    <row r="2684" customFormat="false" ht="13.8" hidden="false" customHeight="false" outlineLevel="0" collapsed="false">
      <c r="A2684" s="16"/>
      <c r="B2684" s="16"/>
      <c r="C2684" s="26"/>
      <c r="D2684" s="26"/>
      <c r="E2684" s="16"/>
      <c r="F2684" s="18"/>
      <c r="G2684" s="19" t="str">
        <f aca="true">IF(F2684="", "", DATEDIF(F2684, TODAY(), "Y"))</f>
        <v/>
      </c>
      <c r="H2684" s="28"/>
      <c r="I2684" s="28"/>
      <c r="J2684" s="24" t="str">
        <f aca="true">IF(ISBLANK(H2684), "", I2684-TODAY())</f>
        <v/>
      </c>
      <c r="K2684" s="24" t="str">
        <f aca="false" t="array" ref="K2684:K2684">IF(A2684&lt;&gt;"",IF(COUNTIF(A$996:A2685,"&lt;&gt;")=0,COUNTA(B$996:B2684),IFERROR(MATCH(TRUE(),INDEX((A$996:A2685&lt;&gt;""),0),0),COUNTA(B$996:B2684))),"")</f>
        <v/>
      </c>
      <c r="L2684" s="27"/>
    </row>
    <row r="2685" customFormat="false" ht="13.8" hidden="false" customHeight="false" outlineLevel="0" collapsed="false">
      <c r="A2685" s="16"/>
      <c r="B2685" s="16"/>
      <c r="C2685" s="26"/>
      <c r="D2685" s="26"/>
      <c r="E2685" s="16"/>
      <c r="F2685" s="18"/>
      <c r="G2685" s="19" t="str">
        <f aca="true">IF(F2685="", "", DATEDIF(F2685, TODAY(), "Y"))</f>
        <v/>
      </c>
      <c r="H2685" s="28"/>
      <c r="I2685" s="28"/>
      <c r="J2685" s="24" t="str">
        <f aca="true">IF(ISBLANK(H2685), "", I2685-TODAY())</f>
        <v/>
      </c>
      <c r="K2685" s="24" t="str">
        <f aca="false" t="array" ref="K2685:K2685">IF(A2685&lt;&gt;"",IF(COUNTIF(A$996:A2686,"&lt;&gt;")=0,COUNTA(B$996:B2685),IFERROR(MATCH(TRUE(),INDEX((A$996:A2686&lt;&gt;""),0),0),COUNTA(B$996:B2685))),"")</f>
        <v/>
      </c>
      <c r="L2685" s="27"/>
    </row>
    <row r="2686" customFormat="false" ht="13.8" hidden="false" customHeight="false" outlineLevel="0" collapsed="false">
      <c r="A2686" s="16"/>
      <c r="B2686" s="16"/>
      <c r="C2686" s="26"/>
      <c r="D2686" s="26"/>
      <c r="E2686" s="16"/>
      <c r="F2686" s="18"/>
      <c r="G2686" s="19" t="str">
        <f aca="true">IF(F2686="", "", DATEDIF(F2686, TODAY(), "Y"))</f>
        <v/>
      </c>
      <c r="H2686" s="28"/>
      <c r="I2686" s="28"/>
      <c r="J2686" s="24" t="str">
        <f aca="true">IF(ISBLANK(H2686), "", I2686-TODAY())</f>
        <v/>
      </c>
      <c r="K2686" s="24" t="str">
        <f aca="false" t="array" ref="K2686:K2686">IF(A2686&lt;&gt;"",IF(COUNTIF(A$996:A2687,"&lt;&gt;")=0,COUNTA(B$996:B2686),IFERROR(MATCH(TRUE(),INDEX((A$996:A2687&lt;&gt;""),0),0),COUNTA(B$996:B2686))),"")</f>
        <v/>
      </c>
      <c r="L2686" s="27"/>
    </row>
    <row r="2687" customFormat="false" ht="13.8" hidden="false" customHeight="false" outlineLevel="0" collapsed="false">
      <c r="A2687" s="16"/>
      <c r="B2687" s="16"/>
      <c r="C2687" s="26"/>
      <c r="D2687" s="26"/>
      <c r="E2687" s="16"/>
      <c r="F2687" s="18"/>
      <c r="G2687" s="19" t="str">
        <f aca="true">IF(F2687="", "", DATEDIF(F2687, TODAY(), "Y"))</f>
        <v/>
      </c>
      <c r="H2687" s="28"/>
      <c r="I2687" s="28"/>
      <c r="J2687" s="24" t="str">
        <f aca="true">IF(ISBLANK(H2687), "", I2687-TODAY())</f>
        <v/>
      </c>
      <c r="K2687" s="24" t="str">
        <f aca="false" t="array" ref="K2687:K2687">IF(A2687&lt;&gt;"",IF(COUNTIF(A$996:A2688,"&lt;&gt;")=0,COUNTA(B$996:B2687),IFERROR(MATCH(TRUE(),INDEX((A$996:A2688&lt;&gt;""),0),0),COUNTA(B$996:B2687))),"")</f>
        <v/>
      </c>
      <c r="L2687" s="27"/>
    </row>
    <row r="2688" customFormat="false" ht="13.8" hidden="false" customHeight="false" outlineLevel="0" collapsed="false">
      <c r="A2688" s="16"/>
      <c r="B2688" s="16"/>
      <c r="C2688" s="26"/>
      <c r="D2688" s="26"/>
      <c r="E2688" s="16"/>
      <c r="F2688" s="18"/>
      <c r="G2688" s="19" t="str">
        <f aca="true">IF(F2688="", "", DATEDIF(F2688, TODAY(), "Y"))</f>
        <v/>
      </c>
      <c r="H2688" s="28"/>
      <c r="I2688" s="28"/>
      <c r="J2688" s="24" t="str">
        <f aca="true">IF(ISBLANK(H2688), "", I2688-TODAY())</f>
        <v/>
      </c>
      <c r="K2688" s="24" t="str">
        <f aca="false" t="array" ref="K2688:K2688">IF(A2688&lt;&gt;"",IF(COUNTIF(A$996:A2689,"&lt;&gt;")=0,COUNTA(B$996:B2688),IFERROR(MATCH(TRUE(),INDEX((A$996:A2689&lt;&gt;""),0),0),COUNTA(B$996:B2688))),"")</f>
        <v/>
      </c>
      <c r="L2688" s="27"/>
    </row>
    <row r="2689" customFormat="false" ht="13.8" hidden="false" customHeight="false" outlineLevel="0" collapsed="false">
      <c r="A2689" s="16"/>
      <c r="B2689" s="16"/>
      <c r="C2689" s="26"/>
      <c r="D2689" s="26"/>
      <c r="E2689" s="16"/>
      <c r="F2689" s="18"/>
      <c r="G2689" s="19" t="str">
        <f aca="true">IF(F2689="", "", DATEDIF(F2689, TODAY(), "Y"))</f>
        <v/>
      </c>
      <c r="H2689" s="28"/>
      <c r="I2689" s="28"/>
      <c r="J2689" s="24" t="str">
        <f aca="true">IF(ISBLANK(H2689), "", I2689-TODAY())</f>
        <v/>
      </c>
      <c r="K2689" s="24" t="str">
        <f aca="false" t="array" ref="K2689:K2689">IF(A2689&lt;&gt;"",IF(COUNTIF(A$996:A2690,"&lt;&gt;")=0,COUNTA(B$996:B2689),IFERROR(MATCH(TRUE(),INDEX((A$996:A2690&lt;&gt;""),0),0),COUNTA(B$996:B2689))),"")</f>
        <v/>
      </c>
      <c r="L2689" s="27"/>
    </row>
    <row r="2690" customFormat="false" ht="13.8" hidden="false" customHeight="false" outlineLevel="0" collapsed="false">
      <c r="A2690" s="16"/>
      <c r="B2690" s="16"/>
      <c r="C2690" s="26"/>
      <c r="D2690" s="26"/>
      <c r="E2690" s="16"/>
      <c r="F2690" s="18"/>
      <c r="G2690" s="19" t="str">
        <f aca="true">IF(F2690="", "", DATEDIF(F2690, TODAY(), "Y"))</f>
        <v/>
      </c>
      <c r="H2690" s="28"/>
      <c r="I2690" s="28"/>
      <c r="J2690" s="24" t="str">
        <f aca="true">IF(ISBLANK(H2690), "", I2690-TODAY())</f>
        <v/>
      </c>
      <c r="K2690" s="24" t="str">
        <f aca="false" t="array" ref="K2690:K2690">IF(A2690&lt;&gt;"",IF(COUNTIF(A$996:A2691,"&lt;&gt;")=0,COUNTA(B$996:B2690),IFERROR(MATCH(TRUE(),INDEX((A$996:A2691&lt;&gt;""),0),0),COUNTA(B$996:B2690))),"")</f>
        <v/>
      </c>
      <c r="L2690" s="27"/>
    </row>
    <row r="2691" customFormat="false" ht="13.8" hidden="false" customHeight="false" outlineLevel="0" collapsed="false">
      <c r="A2691" s="16"/>
      <c r="B2691" s="16"/>
      <c r="C2691" s="26"/>
      <c r="D2691" s="26"/>
      <c r="E2691" s="16"/>
      <c r="F2691" s="18"/>
      <c r="G2691" s="19" t="str">
        <f aca="true">IF(F2691="", "", DATEDIF(F2691, TODAY(), "Y"))</f>
        <v/>
      </c>
      <c r="H2691" s="28"/>
      <c r="I2691" s="28"/>
      <c r="J2691" s="24" t="str">
        <f aca="true">IF(ISBLANK(H2691), "", I2691-TODAY())</f>
        <v/>
      </c>
      <c r="K2691" s="24" t="str">
        <f aca="false" t="array" ref="K2691:K2691">IF(A2691&lt;&gt;"",IF(COUNTIF(A$996:A2692,"&lt;&gt;")=0,COUNTA(B$996:B2691),IFERROR(MATCH(TRUE(),INDEX((A$996:A2692&lt;&gt;""),0),0),COUNTA(B$996:B2691))),"")</f>
        <v/>
      </c>
      <c r="L2691" s="27"/>
    </row>
    <row r="2692" customFormat="false" ht="13.8" hidden="false" customHeight="false" outlineLevel="0" collapsed="false">
      <c r="A2692" s="16"/>
      <c r="B2692" s="16"/>
      <c r="C2692" s="26"/>
      <c r="D2692" s="26"/>
      <c r="E2692" s="16"/>
      <c r="F2692" s="18"/>
      <c r="G2692" s="19" t="str">
        <f aca="true">IF(F2692="", "", DATEDIF(F2692, TODAY(), "Y"))</f>
        <v/>
      </c>
      <c r="H2692" s="28"/>
      <c r="I2692" s="28"/>
      <c r="J2692" s="24" t="str">
        <f aca="true">IF(ISBLANK(H2692), "", I2692-TODAY())</f>
        <v/>
      </c>
      <c r="K2692" s="24" t="str">
        <f aca="false" t="array" ref="K2692:K2692">IF(A2692&lt;&gt;"",IF(COUNTIF(A$996:A2693,"&lt;&gt;")=0,COUNTA(B$996:B2692),IFERROR(MATCH(TRUE(),INDEX((A$996:A2693&lt;&gt;""),0),0),COUNTA(B$996:B2692))),"")</f>
        <v/>
      </c>
      <c r="L2692" s="27"/>
    </row>
    <row r="2693" customFormat="false" ht="13.8" hidden="false" customHeight="false" outlineLevel="0" collapsed="false">
      <c r="A2693" s="16"/>
      <c r="B2693" s="16"/>
      <c r="C2693" s="26"/>
      <c r="D2693" s="26"/>
      <c r="E2693" s="16"/>
      <c r="F2693" s="18"/>
      <c r="G2693" s="19" t="str">
        <f aca="true">IF(F2693="", "", DATEDIF(F2693, TODAY(), "Y"))</f>
        <v/>
      </c>
      <c r="H2693" s="28"/>
      <c r="I2693" s="28"/>
      <c r="J2693" s="24" t="str">
        <f aca="true">IF(ISBLANK(H2693), "", I2693-TODAY())</f>
        <v/>
      </c>
      <c r="K2693" s="24" t="str">
        <f aca="false" t="array" ref="K2693:K2693">IF(A2693&lt;&gt;"",IF(COUNTIF(A$996:A2694,"&lt;&gt;")=0,COUNTA(B$996:B2693),IFERROR(MATCH(TRUE(),INDEX((A$996:A2694&lt;&gt;""),0),0),COUNTA(B$996:B2693))),"")</f>
        <v/>
      </c>
      <c r="L2693" s="27"/>
    </row>
    <row r="2694" customFormat="false" ht="13.8" hidden="false" customHeight="false" outlineLevel="0" collapsed="false">
      <c r="A2694" s="16"/>
      <c r="B2694" s="16"/>
      <c r="C2694" s="26"/>
      <c r="D2694" s="26"/>
      <c r="E2694" s="16"/>
      <c r="F2694" s="18"/>
      <c r="G2694" s="19" t="str">
        <f aca="true">IF(F2694="", "", DATEDIF(F2694, TODAY(), "Y"))</f>
        <v/>
      </c>
      <c r="H2694" s="28"/>
      <c r="I2694" s="28"/>
      <c r="J2694" s="24" t="str">
        <f aca="true">IF(ISBLANK(H2694), "", I2694-TODAY())</f>
        <v/>
      </c>
      <c r="K2694" s="24" t="str">
        <f aca="false" t="array" ref="K2694:K2694">IF(A2694&lt;&gt;"",IF(COUNTIF(A$996:A2695,"&lt;&gt;")=0,COUNTA(B$996:B2694),IFERROR(MATCH(TRUE(),INDEX((A$996:A2695&lt;&gt;""),0),0),COUNTA(B$996:B2694))),"")</f>
        <v/>
      </c>
      <c r="L2694" s="27"/>
    </row>
    <row r="2695" customFormat="false" ht="13.8" hidden="false" customHeight="false" outlineLevel="0" collapsed="false">
      <c r="A2695" s="16"/>
      <c r="B2695" s="16"/>
      <c r="C2695" s="26"/>
      <c r="D2695" s="26"/>
      <c r="E2695" s="16"/>
      <c r="F2695" s="18"/>
      <c r="G2695" s="19" t="str">
        <f aca="true">IF(F2695="", "", DATEDIF(F2695, TODAY(), "Y"))</f>
        <v/>
      </c>
      <c r="H2695" s="28"/>
      <c r="I2695" s="28"/>
      <c r="J2695" s="24" t="str">
        <f aca="true">IF(ISBLANK(H2695), "", I2695-TODAY())</f>
        <v/>
      </c>
      <c r="K2695" s="24" t="str">
        <f aca="false" t="array" ref="K2695:K2695">IF(A2695&lt;&gt;"",IF(COUNTIF(A$996:A2696,"&lt;&gt;")=0,COUNTA(B$996:B2695),IFERROR(MATCH(TRUE(),INDEX((A$996:A2696&lt;&gt;""),0),0),COUNTA(B$996:B2695))),"")</f>
        <v/>
      </c>
      <c r="L2695" s="27"/>
    </row>
    <row r="2696" customFormat="false" ht="13.8" hidden="false" customHeight="false" outlineLevel="0" collapsed="false">
      <c r="A2696" s="16"/>
      <c r="B2696" s="16"/>
      <c r="C2696" s="26"/>
      <c r="D2696" s="26"/>
      <c r="E2696" s="16"/>
      <c r="F2696" s="18"/>
      <c r="G2696" s="19" t="str">
        <f aca="true">IF(F2696="", "", DATEDIF(F2696, TODAY(), "Y"))</f>
        <v/>
      </c>
      <c r="H2696" s="28"/>
      <c r="I2696" s="28"/>
      <c r="J2696" s="24" t="str">
        <f aca="true">IF(ISBLANK(H2696), "", I2696-TODAY())</f>
        <v/>
      </c>
      <c r="K2696" s="24" t="str">
        <f aca="false" t="array" ref="K2696:K2696">IF(A2696&lt;&gt;"",IF(COUNTIF(A$996:A2697,"&lt;&gt;")=0,COUNTA(B$996:B2696),IFERROR(MATCH(TRUE(),INDEX((A$996:A2697&lt;&gt;""),0),0),COUNTA(B$996:B2696))),"")</f>
        <v/>
      </c>
      <c r="L2696" s="27"/>
    </row>
    <row r="2697" customFormat="false" ht="13.8" hidden="false" customHeight="false" outlineLevel="0" collapsed="false">
      <c r="A2697" s="16"/>
      <c r="B2697" s="16"/>
      <c r="C2697" s="26"/>
      <c r="D2697" s="26"/>
      <c r="E2697" s="16"/>
      <c r="F2697" s="18"/>
      <c r="G2697" s="19" t="str">
        <f aca="true">IF(F2697="", "", DATEDIF(F2697, TODAY(), "Y"))</f>
        <v/>
      </c>
      <c r="H2697" s="28"/>
      <c r="I2697" s="28"/>
      <c r="J2697" s="24" t="str">
        <f aca="true">IF(ISBLANK(H2697), "", I2697-TODAY())</f>
        <v/>
      </c>
      <c r="K2697" s="24" t="str">
        <f aca="false" t="array" ref="K2697:K2697">IF(A2697&lt;&gt;"",IF(COUNTIF(A$996:A2698,"&lt;&gt;")=0,COUNTA(B$996:B2697),IFERROR(MATCH(TRUE(),INDEX((A$996:A2698&lt;&gt;""),0),0),COUNTA(B$996:B2697))),"")</f>
        <v/>
      </c>
      <c r="L2697" s="27"/>
    </row>
    <row r="2698" customFormat="false" ht="13.8" hidden="false" customHeight="false" outlineLevel="0" collapsed="false">
      <c r="A2698" s="16"/>
      <c r="B2698" s="16"/>
      <c r="C2698" s="26"/>
      <c r="D2698" s="26"/>
      <c r="E2698" s="16"/>
      <c r="F2698" s="18"/>
      <c r="G2698" s="19" t="str">
        <f aca="true">IF(F2698="", "", DATEDIF(F2698, TODAY(), "Y"))</f>
        <v/>
      </c>
      <c r="H2698" s="28"/>
      <c r="I2698" s="28"/>
      <c r="J2698" s="24" t="str">
        <f aca="true">IF(ISBLANK(H2698), "", I2698-TODAY())</f>
        <v/>
      </c>
      <c r="K2698" s="24" t="str">
        <f aca="false" t="array" ref="K2698:K2698">IF(A2698&lt;&gt;"",IF(COUNTIF(A$996:A2699,"&lt;&gt;")=0,COUNTA(B$996:B2698),IFERROR(MATCH(TRUE(),INDEX((A$996:A2699&lt;&gt;""),0),0),COUNTA(B$996:B2698))),"")</f>
        <v/>
      </c>
      <c r="L2698" s="27"/>
    </row>
    <row r="2699" customFormat="false" ht="13.8" hidden="false" customHeight="false" outlineLevel="0" collapsed="false">
      <c r="A2699" s="16"/>
      <c r="B2699" s="16"/>
      <c r="C2699" s="26"/>
      <c r="D2699" s="26"/>
      <c r="E2699" s="16"/>
      <c r="F2699" s="18"/>
      <c r="G2699" s="19" t="str">
        <f aca="true">IF(F2699="", "", DATEDIF(F2699, TODAY(), "Y"))</f>
        <v/>
      </c>
      <c r="H2699" s="28"/>
      <c r="I2699" s="28"/>
      <c r="J2699" s="24" t="str">
        <f aca="true">IF(ISBLANK(H2699), "", I2699-TODAY())</f>
        <v/>
      </c>
      <c r="K2699" s="24" t="str">
        <f aca="false" t="array" ref="K2699:K2699">IF(A2699&lt;&gt;"",IF(COUNTIF(A$996:A2700,"&lt;&gt;")=0,COUNTA(B$996:B2699),IFERROR(MATCH(TRUE(),INDEX((A$996:A2700&lt;&gt;""),0),0),COUNTA(B$996:B2699))),"")</f>
        <v/>
      </c>
      <c r="L2699" s="27"/>
    </row>
    <row r="2700" customFormat="false" ht="13.8" hidden="false" customHeight="false" outlineLevel="0" collapsed="false">
      <c r="A2700" s="16"/>
      <c r="B2700" s="16"/>
      <c r="C2700" s="26"/>
      <c r="D2700" s="26"/>
      <c r="E2700" s="16"/>
      <c r="F2700" s="18"/>
      <c r="G2700" s="19" t="str">
        <f aca="true">IF(F2700="", "", DATEDIF(F2700, TODAY(), "Y"))</f>
        <v/>
      </c>
      <c r="H2700" s="28"/>
      <c r="I2700" s="28"/>
      <c r="J2700" s="24" t="str">
        <f aca="true">IF(ISBLANK(H2700), "", I2700-TODAY())</f>
        <v/>
      </c>
      <c r="K2700" s="24" t="str">
        <f aca="false" t="array" ref="K2700:K2700">IF(A2700&lt;&gt;"",IF(COUNTIF(A$996:A2701,"&lt;&gt;")=0,COUNTA(B$996:B2700),IFERROR(MATCH(TRUE(),INDEX((A$996:A2701&lt;&gt;""),0),0),COUNTA(B$996:B2700))),"")</f>
        <v/>
      </c>
      <c r="L2700" s="27"/>
    </row>
    <row r="2701" customFormat="false" ht="13.8" hidden="false" customHeight="false" outlineLevel="0" collapsed="false">
      <c r="A2701" s="16"/>
      <c r="B2701" s="16"/>
      <c r="C2701" s="26"/>
      <c r="D2701" s="26"/>
      <c r="E2701" s="16"/>
      <c r="F2701" s="18"/>
      <c r="G2701" s="19" t="str">
        <f aca="true">IF(F2701="", "", DATEDIF(F2701, TODAY(), "Y"))</f>
        <v/>
      </c>
      <c r="H2701" s="28"/>
      <c r="I2701" s="28"/>
      <c r="J2701" s="24" t="str">
        <f aca="true">IF(ISBLANK(H2701), "", I2701-TODAY())</f>
        <v/>
      </c>
      <c r="K2701" s="24" t="str">
        <f aca="false" t="array" ref="K2701:K2701">IF(A2701&lt;&gt;"",IF(COUNTIF(A$996:A2702,"&lt;&gt;")=0,COUNTA(B$996:B2701),IFERROR(MATCH(TRUE(),INDEX((A$996:A2702&lt;&gt;""),0),0),COUNTA(B$996:B2701))),"")</f>
        <v/>
      </c>
      <c r="L2701" s="27"/>
    </row>
    <row r="2702" customFormat="false" ht="13.8" hidden="false" customHeight="false" outlineLevel="0" collapsed="false">
      <c r="A2702" s="16"/>
      <c r="B2702" s="16"/>
      <c r="C2702" s="26"/>
      <c r="D2702" s="26"/>
      <c r="E2702" s="16"/>
      <c r="F2702" s="18"/>
      <c r="G2702" s="19" t="str">
        <f aca="true">IF(F2702="", "", DATEDIF(F2702, TODAY(), "Y"))</f>
        <v/>
      </c>
      <c r="H2702" s="28"/>
      <c r="I2702" s="28"/>
      <c r="J2702" s="24" t="str">
        <f aca="true">IF(ISBLANK(H2702), "", I2702-TODAY())</f>
        <v/>
      </c>
      <c r="K2702" s="24" t="str">
        <f aca="false" t="array" ref="K2702:K2702">IF(A2702&lt;&gt;"",IF(COUNTIF(A$996:A2703,"&lt;&gt;")=0,COUNTA(B$996:B2702),IFERROR(MATCH(TRUE(),INDEX((A$996:A2703&lt;&gt;""),0),0),COUNTA(B$996:B2702))),"")</f>
        <v/>
      </c>
      <c r="L2702" s="27"/>
    </row>
    <row r="2703" customFormat="false" ht="13.8" hidden="false" customHeight="false" outlineLevel="0" collapsed="false">
      <c r="A2703" s="16"/>
      <c r="B2703" s="16"/>
      <c r="C2703" s="26"/>
      <c r="D2703" s="26"/>
      <c r="E2703" s="16"/>
      <c r="F2703" s="18"/>
      <c r="G2703" s="19" t="str">
        <f aca="true">IF(F2703="", "", DATEDIF(F2703, TODAY(), "Y"))</f>
        <v/>
      </c>
      <c r="H2703" s="28"/>
      <c r="I2703" s="28"/>
      <c r="J2703" s="24" t="str">
        <f aca="true">IF(ISBLANK(H2703), "", I2703-TODAY())</f>
        <v/>
      </c>
      <c r="K2703" s="24" t="str">
        <f aca="false" t="array" ref="K2703:K2703">IF(A2703&lt;&gt;"",IF(COUNTIF(A$996:A2704,"&lt;&gt;")=0,COUNTA(B$996:B2703),IFERROR(MATCH(TRUE(),INDEX((A$996:A2704&lt;&gt;""),0),0),COUNTA(B$996:B2703))),"")</f>
        <v/>
      </c>
      <c r="L2703" s="27"/>
    </row>
    <row r="2704" customFormat="false" ht="13.8" hidden="false" customHeight="false" outlineLevel="0" collapsed="false">
      <c r="A2704" s="16"/>
      <c r="B2704" s="16"/>
      <c r="C2704" s="26"/>
      <c r="D2704" s="26"/>
      <c r="E2704" s="16"/>
      <c r="F2704" s="18"/>
      <c r="G2704" s="19" t="str">
        <f aca="true">IF(F2704="", "", DATEDIF(F2704, TODAY(), "Y"))</f>
        <v/>
      </c>
      <c r="H2704" s="28"/>
      <c r="I2704" s="28"/>
      <c r="J2704" s="24" t="str">
        <f aca="true">IF(ISBLANK(H2704), "", I2704-TODAY())</f>
        <v/>
      </c>
      <c r="K2704" s="24" t="str">
        <f aca="false" t="array" ref="K2704:K2704">IF(A2704&lt;&gt;"",IF(COUNTIF(A$996:A2705,"&lt;&gt;")=0,COUNTA(B$996:B2704),IFERROR(MATCH(TRUE(),INDEX((A$996:A2705&lt;&gt;""),0),0),COUNTA(B$996:B2704))),"")</f>
        <v/>
      </c>
      <c r="L2704" s="27"/>
    </row>
    <row r="2705" customFormat="false" ht="13.8" hidden="false" customHeight="false" outlineLevel="0" collapsed="false">
      <c r="A2705" s="16"/>
      <c r="B2705" s="16"/>
      <c r="C2705" s="26"/>
      <c r="D2705" s="26"/>
      <c r="E2705" s="16"/>
      <c r="F2705" s="18"/>
      <c r="G2705" s="19" t="str">
        <f aca="true">IF(F2705="", "", DATEDIF(F2705, TODAY(), "Y"))</f>
        <v/>
      </c>
      <c r="H2705" s="28"/>
      <c r="I2705" s="28"/>
      <c r="J2705" s="24" t="str">
        <f aca="true">IF(ISBLANK(H2705), "", I2705-TODAY())</f>
        <v/>
      </c>
      <c r="K2705" s="24" t="str">
        <f aca="false" t="array" ref="K2705:K2705">IF(A2705&lt;&gt;"",IF(COUNTIF(A$996:A2706,"&lt;&gt;")=0,COUNTA(B$996:B2705),IFERROR(MATCH(TRUE(),INDEX((A$996:A2706&lt;&gt;""),0),0),COUNTA(B$996:B2705))),"")</f>
        <v/>
      </c>
      <c r="L2705" s="27"/>
    </row>
    <row r="2706" customFormat="false" ht="13.8" hidden="false" customHeight="false" outlineLevel="0" collapsed="false">
      <c r="A2706" s="16"/>
      <c r="B2706" s="16"/>
      <c r="C2706" s="26"/>
      <c r="D2706" s="26"/>
      <c r="E2706" s="16"/>
      <c r="F2706" s="18"/>
      <c r="G2706" s="19" t="str">
        <f aca="true">IF(F2706="", "", DATEDIF(F2706, TODAY(), "Y"))</f>
        <v/>
      </c>
      <c r="H2706" s="28"/>
      <c r="I2706" s="28"/>
      <c r="J2706" s="24" t="str">
        <f aca="true">IF(ISBLANK(H2706), "", I2706-TODAY())</f>
        <v/>
      </c>
      <c r="K2706" s="24" t="str">
        <f aca="false" t="array" ref="K2706:K2706">IF(A2706&lt;&gt;"",IF(COUNTIF(A$996:A2707,"&lt;&gt;")=0,COUNTA(B$996:B2706),IFERROR(MATCH(TRUE(),INDEX((A$996:A2707&lt;&gt;""),0),0),COUNTA(B$996:B2706))),"")</f>
        <v/>
      </c>
      <c r="L2706" s="27"/>
    </row>
    <row r="2707" customFormat="false" ht="13.8" hidden="false" customHeight="false" outlineLevel="0" collapsed="false">
      <c r="A2707" s="16"/>
      <c r="B2707" s="16"/>
      <c r="C2707" s="26"/>
      <c r="D2707" s="26"/>
      <c r="E2707" s="16"/>
      <c r="F2707" s="18"/>
      <c r="G2707" s="19" t="str">
        <f aca="true">IF(F2707="", "", DATEDIF(F2707, TODAY(), "Y"))</f>
        <v/>
      </c>
      <c r="H2707" s="28"/>
      <c r="I2707" s="28"/>
      <c r="J2707" s="24" t="str">
        <f aca="true">IF(ISBLANK(H2707), "", I2707-TODAY())</f>
        <v/>
      </c>
      <c r="K2707" s="24" t="str">
        <f aca="false" t="array" ref="K2707:K2707">IF(A2707&lt;&gt;"",IF(COUNTIF(A$996:A2708,"&lt;&gt;")=0,COUNTA(B$996:B2707),IFERROR(MATCH(TRUE(),INDEX((A$996:A2708&lt;&gt;""),0),0),COUNTA(B$996:B2707))),"")</f>
        <v/>
      </c>
      <c r="L2707" s="27"/>
    </row>
    <row r="2708" customFormat="false" ht="13.8" hidden="false" customHeight="false" outlineLevel="0" collapsed="false">
      <c r="A2708" s="16"/>
      <c r="B2708" s="16"/>
      <c r="C2708" s="26"/>
      <c r="D2708" s="26"/>
      <c r="E2708" s="16"/>
      <c r="F2708" s="18"/>
      <c r="G2708" s="19" t="str">
        <f aca="true">IF(F2708="", "", DATEDIF(F2708, TODAY(), "Y"))</f>
        <v/>
      </c>
      <c r="H2708" s="28"/>
      <c r="I2708" s="28"/>
      <c r="J2708" s="24" t="str">
        <f aca="true">IF(ISBLANK(H2708), "", I2708-TODAY())</f>
        <v/>
      </c>
      <c r="K2708" s="24" t="str">
        <f aca="false" t="array" ref="K2708:K2708">IF(A2708&lt;&gt;"",IF(COUNTIF(A$996:A2709,"&lt;&gt;")=0,COUNTA(B$996:B2708),IFERROR(MATCH(TRUE(),INDEX((A$996:A2709&lt;&gt;""),0),0),COUNTA(B$996:B2708))),"")</f>
        <v/>
      </c>
      <c r="L2708" s="27"/>
    </row>
    <row r="2709" customFormat="false" ht="13.8" hidden="false" customHeight="false" outlineLevel="0" collapsed="false">
      <c r="A2709" s="16"/>
      <c r="B2709" s="16"/>
      <c r="C2709" s="26"/>
      <c r="D2709" s="26"/>
      <c r="E2709" s="16"/>
      <c r="F2709" s="18"/>
      <c r="G2709" s="19" t="str">
        <f aca="true">IF(F2709="", "", DATEDIF(F2709, TODAY(), "Y"))</f>
        <v/>
      </c>
      <c r="H2709" s="28"/>
      <c r="I2709" s="28"/>
      <c r="J2709" s="24" t="str">
        <f aca="true">IF(ISBLANK(H2709), "", I2709-TODAY())</f>
        <v/>
      </c>
      <c r="K2709" s="24" t="str">
        <f aca="false" t="array" ref="K2709:K2709">IF(A2709&lt;&gt;"",IF(COUNTIF(A$996:A2710,"&lt;&gt;")=0,COUNTA(B$996:B2709),IFERROR(MATCH(TRUE(),INDEX((A$996:A2710&lt;&gt;""),0),0),COUNTA(B$996:B2709))),"")</f>
        <v/>
      </c>
      <c r="L2709" s="27"/>
    </row>
    <row r="2710" customFormat="false" ht="13.8" hidden="false" customHeight="false" outlineLevel="0" collapsed="false">
      <c r="A2710" s="16"/>
      <c r="B2710" s="16"/>
      <c r="C2710" s="26"/>
      <c r="D2710" s="26"/>
      <c r="E2710" s="16"/>
      <c r="F2710" s="18"/>
      <c r="G2710" s="19" t="str">
        <f aca="true">IF(F2710="", "", DATEDIF(F2710, TODAY(), "Y"))</f>
        <v/>
      </c>
      <c r="H2710" s="28"/>
      <c r="I2710" s="28"/>
      <c r="J2710" s="24" t="str">
        <f aca="true">IF(ISBLANK(H2710), "", I2710-TODAY())</f>
        <v/>
      </c>
      <c r="K2710" s="24" t="str">
        <f aca="false" t="array" ref="K2710:K2710">IF(A2710&lt;&gt;"",IF(COUNTIF(A$996:A2711,"&lt;&gt;")=0,COUNTA(B$996:B2710),IFERROR(MATCH(TRUE(),INDEX((A$996:A2711&lt;&gt;""),0),0),COUNTA(B$996:B2710))),"")</f>
        <v/>
      </c>
      <c r="L2710" s="27"/>
    </row>
    <row r="2711" customFormat="false" ht="13.8" hidden="false" customHeight="false" outlineLevel="0" collapsed="false">
      <c r="A2711" s="16"/>
      <c r="B2711" s="16"/>
      <c r="C2711" s="26"/>
      <c r="D2711" s="26"/>
      <c r="E2711" s="16"/>
      <c r="F2711" s="18"/>
      <c r="G2711" s="19" t="str">
        <f aca="true">IF(F2711="", "", DATEDIF(F2711, TODAY(), "Y"))</f>
        <v/>
      </c>
      <c r="H2711" s="28"/>
      <c r="I2711" s="28"/>
      <c r="J2711" s="24" t="str">
        <f aca="true">IF(ISBLANK(H2711), "", I2711-TODAY())</f>
        <v/>
      </c>
      <c r="K2711" s="24" t="str">
        <f aca="false" t="array" ref="K2711:K2711">IF(A2711&lt;&gt;"",IF(COUNTIF(A$996:A2712,"&lt;&gt;")=0,COUNTA(B$996:B2711),IFERROR(MATCH(TRUE(),INDEX((A$996:A2712&lt;&gt;""),0),0),COUNTA(B$996:B2711))),"")</f>
        <v/>
      </c>
      <c r="L2711" s="27"/>
    </row>
    <row r="2712" customFormat="false" ht="13.8" hidden="false" customHeight="false" outlineLevel="0" collapsed="false">
      <c r="A2712" s="16"/>
      <c r="B2712" s="16"/>
      <c r="C2712" s="26"/>
      <c r="D2712" s="26"/>
      <c r="E2712" s="16"/>
      <c r="F2712" s="18"/>
      <c r="G2712" s="19" t="str">
        <f aca="true">IF(F2712="", "", DATEDIF(F2712, TODAY(), "Y"))</f>
        <v/>
      </c>
      <c r="H2712" s="28"/>
      <c r="I2712" s="28"/>
      <c r="J2712" s="24" t="str">
        <f aca="true">IF(ISBLANK(H2712), "", I2712-TODAY())</f>
        <v/>
      </c>
      <c r="K2712" s="24" t="str">
        <f aca="false" t="array" ref="K2712:K2712">IF(A2712&lt;&gt;"",IF(COUNTIF(A$996:A2713,"&lt;&gt;")=0,COUNTA(B$996:B2712),IFERROR(MATCH(TRUE(),INDEX((A$996:A2713&lt;&gt;""),0),0),COUNTA(B$996:B2712))),"")</f>
        <v/>
      </c>
      <c r="L2712" s="27"/>
    </row>
    <row r="2713" customFormat="false" ht="13.8" hidden="false" customHeight="false" outlineLevel="0" collapsed="false">
      <c r="A2713" s="16"/>
      <c r="B2713" s="16"/>
      <c r="C2713" s="26"/>
      <c r="D2713" s="26"/>
      <c r="E2713" s="16"/>
      <c r="F2713" s="18"/>
      <c r="G2713" s="19" t="str">
        <f aca="true">IF(F2713="", "", DATEDIF(F2713, TODAY(), "Y"))</f>
        <v/>
      </c>
      <c r="H2713" s="28"/>
      <c r="I2713" s="28"/>
      <c r="J2713" s="24" t="str">
        <f aca="true">IF(ISBLANK(H2713), "", I2713-TODAY())</f>
        <v/>
      </c>
      <c r="K2713" s="24" t="str">
        <f aca="false" t="array" ref="K2713:K2713">IF(A2713&lt;&gt;"",IF(COUNTIF(A$996:A2714,"&lt;&gt;")=0,COUNTA(B$996:B2713),IFERROR(MATCH(TRUE(),INDEX((A$996:A2714&lt;&gt;""),0),0),COUNTA(B$996:B2713))),"")</f>
        <v/>
      </c>
      <c r="L2713" s="27"/>
    </row>
    <row r="2714" customFormat="false" ht="13.8" hidden="false" customHeight="false" outlineLevel="0" collapsed="false">
      <c r="A2714" s="16"/>
      <c r="B2714" s="16"/>
      <c r="C2714" s="26"/>
      <c r="D2714" s="26"/>
      <c r="E2714" s="16"/>
      <c r="F2714" s="18"/>
      <c r="G2714" s="19" t="str">
        <f aca="true">IF(F2714="", "", DATEDIF(F2714, TODAY(), "Y"))</f>
        <v/>
      </c>
      <c r="H2714" s="28"/>
      <c r="I2714" s="28"/>
      <c r="J2714" s="24" t="str">
        <f aca="true">IF(ISBLANK(H2714), "", I2714-TODAY())</f>
        <v/>
      </c>
      <c r="K2714" s="24" t="str">
        <f aca="false" t="array" ref="K2714:K2714">IF(A2714&lt;&gt;"",IF(COUNTIF(A$996:A2715,"&lt;&gt;")=0,COUNTA(B$996:B2714),IFERROR(MATCH(TRUE(),INDEX((A$996:A2715&lt;&gt;""),0),0),COUNTA(B$996:B2714))),"")</f>
        <v/>
      </c>
      <c r="L2714" s="27"/>
    </row>
    <row r="2715" customFormat="false" ht="13.8" hidden="false" customHeight="false" outlineLevel="0" collapsed="false">
      <c r="A2715" s="16"/>
      <c r="B2715" s="16"/>
      <c r="C2715" s="26"/>
      <c r="D2715" s="26"/>
      <c r="E2715" s="16"/>
      <c r="F2715" s="18"/>
      <c r="G2715" s="19" t="str">
        <f aca="true">IF(F2715="", "", DATEDIF(F2715, TODAY(), "Y"))</f>
        <v/>
      </c>
      <c r="H2715" s="28"/>
      <c r="I2715" s="28"/>
      <c r="J2715" s="24" t="str">
        <f aca="true">IF(ISBLANK(H2715), "", I2715-TODAY())</f>
        <v/>
      </c>
      <c r="K2715" s="24" t="str">
        <f aca="false" t="array" ref="K2715:K2715">IF(A2715&lt;&gt;"",IF(COUNTIF(A$996:A2716,"&lt;&gt;")=0,COUNTA(B$996:B2715),IFERROR(MATCH(TRUE(),INDEX((A$996:A2716&lt;&gt;""),0),0),COUNTA(B$996:B2715))),"")</f>
        <v/>
      </c>
      <c r="L2715" s="27"/>
    </row>
    <row r="2716" customFormat="false" ht="13.8" hidden="false" customHeight="false" outlineLevel="0" collapsed="false">
      <c r="A2716" s="16"/>
      <c r="B2716" s="16"/>
      <c r="C2716" s="26"/>
      <c r="D2716" s="26"/>
      <c r="E2716" s="16"/>
      <c r="F2716" s="18"/>
      <c r="G2716" s="19" t="str">
        <f aca="true">IF(F2716="", "", DATEDIF(F2716, TODAY(), "Y"))</f>
        <v/>
      </c>
      <c r="H2716" s="28"/>
      <c r="I2716" s="28"/>
      <c r="J2716" s="24" t="str">
        <f aca="true">IF(ISBLANK(H2716), "", I2716-TODAY())</f>
        <v/>
      </c>
      <c r="K2716" s="24" t="str">
        <f aca="false" t="array" ref="K2716:K2716">IF(A2716&lt;&gt;"",IF(COUNTIF(A$996:A2717,"&lt;&gt;")=0,COUNTA(B$996:B2716),IFERROR(MATCH(TRUE(),INDEX((A$996:A2717&lt;&gt;""),0),0),COUNTA(B$996:B2716))),"")</f>
        <v/>
      </c>
      <c r="L2716" s="27"/>
    </row>
    <row r="2717" customFormat="false" ht="13.8" hidden="false" customHeight="false" outlineLevel="0" collapsed="false">
      <c r="A2717" s="16"/>
      <c r="B2717" s="16"/>
      <c r="C2717" s="26"/>
      <c r="D2717" s="26"/>
      <c r="E2717" s="16"/>
      <c r="F2717" s="18"/>
      <c r="G2717" s="19" t="str">
        <f aca="true">IF(F2717="", "", DATEDIF(F2717, TODAY(), "Y"))</f>
        <v/>
      </c>
      <c r="H2717" s="28"/>
      <c r="I2717" s="28"/>
      <c r="J2717" s="24" t="str">
        <f aca="true">IF(ISBLANK(H2717), "", I2717-TODAY())</f>
        <v/>
      </c>
      <c r="K2717" s="24" t="str">
        <f aca="false" t="array" ref="K2717:K2717">IF(A2717&lt;&gt;"",IF(COUNTIF(A$996:A2718,"&lt;&gt;")=0,COUNTA(B$996:B2717),IFERROR(MATCH(TRUE(),INDEX((A$996:A2718&lt;&gt;""),0),0),COUNTA(B$996:B2717))),"")</f>
        <v/>
      </c>
      <c r="L2717" s="27"/>
    </row>
    <row r="2718" customFormat="false" ht="13.8" hidden="false" customHeight="false" outlineLevel="0" collapsed="false">
      <c r="A2718" s="16"/>
      <c r="B2718" s="16"/>
      <c r="C2718" s="26"/>
      <c r="D2718" s="26"/>
      <c r="E2718" s="16"/>
      <c r="F2718" s="18"/>
      <c r="G2718" s="19" t="str">
        <f aca="true">IF(F2718="", "", DATEDIF(F2718, TODAY(), "Y"))</f>
        <v/>
      </c>
      <c r="H2718" s="28"/>
      <c r="I2718" s="28"/>
      <c r="J2718" s="24" t="str">
        <f aca="true">IF(ISBLANK(H2718), "", I2718-TODAY())</f>
        <v/>
      </c>
      <c r="K2718" s="24" t="str">
        <f aca="false" t="array" ref="K2718:K2718">IF(A2718&lt;&gt;"",IF(COUNTIF(A$996:A2719,"&lt;&gt;")=0,COUNTA(B$996:B2718),IFERROR(MATCH(TRUE(),INDEX((A$996:A2719&lt;&gt;""),0),0),COUNTA(B$996:B2718))),"")</f>
        <v/>
      </c>
      <c r="L2718" s="27"/>
    </row>
    <row r="2719" customFormat="false" ht="13.8" hidden="false" customHeight="false" outlineLevel="0" collapsed="false">
      <c r="A2719" s="16"/>
      <c r="B2719" s="16"/>
      <c r="C2719" s="26"/>
      <c r="D2719" s="26"/>
      <c r="E2719" s="16"/>
      <c r="F2719" s="18"/>
      <c r="G2719" s="19" t="str">
        <f aca="true">IF(F2719="", "", DATEDIF(F2719, TODAY(), "Y"))</f>
        <v/>
      </c>
      <c r="H2719" s="28"/>
      <c r="I2719" s="28"/>
      <c r="J2719" s="24" t="str">
        <f aca="true">IF(ISBLANK(H2719), "", I2719-TODAY())</f>
        <v/>
      </c>
      <c r="K2719" s="24" t="str">
        <f aca="false" t="array" ref="K2719:K2719">IF(A2719&lt;&gt;"",IF(COUNTIF(A$996:A2720,"&lt;&gt;")=0,COUNTA(B$996:B2719),IFERROR(MATCH(TRUE(),INDEX((A$996:A2720&lt;&gt;""),0),0),COUNTA(B$996:B2719))),"")</f>
        <v/>
      </c>
      <c r="L2719" s="27"/>
    </row>
    <row r="2720" customFormat="false" ht="13.8" hidden="false" customHeight="false" outlineLevel="0" collapsed="false">
      <c r="A2720" s="16"/>
      <c r="B2720" s="16"/>
      <c r="C2720" s="26"/>
      <c r="D2720" s="26"/>
      <c r="E2720" s="16"/>
      <c r="F2720" s="18"/>
      <c r="G2720" s="19" t="str">
        <f aca="true">IF(F2720="", "", DATEDIF(F2720, TODAY(), "Y"))</f>
        <v/>
      </c>
      <c r="H2720" s="28"/>
      <c r="I2720" s="28"/>
      <c r="J2720" s="24" t="str">
        <f aca="true">IF(ISBLANK(H2720), "", I2720-TODAY())</f>
        <v/>
      </c>
      <c r="K2720" s="24" t="str">
        <f aca="false" t="array" ref="K2720:K2720">IF(A2720&lt;&gt;"",IF(COUNTIF(A$996:A2721,"&lt;&gt;")=0,COUNTA(B$996:B2720),IFERROR(MATCH(TRUE(),INDEX((A$996:A2721&lt;&gt;""),0),0),COUNTA(B$996:B2720))),"")</f>
        <v/>
      </c>
      <c r="L2720" s="27"/>
    </row>
    <row r="2721" customFormat="false" ht="13.8" hidden="false" customHeight="false" outlineLevel="0" collapsed="false">
      <c r="A2721" s="16"/>
      <c r="B2721" s="16"/>
      <c r="C2721" s="26"/>
      <c r="D2721" s="26"/>
      <c r="E2721" s="16"/>
      <c r="F2721" s="18"/>
      <c r="G2721" s="19" t="str">
        <f aca="true">IF(F2721="", "", DATEDIF(F2721, TODAY(), "Y"))</f>
        <v/>
      </c>
      <c r="H2721" s="28"/>
      <c r="I2721" s="28"/>
      <c r="J2721" s="24" t="str">
        <f aca="true">IF(ISBLANK(H2721), "", I2721-TODAY())</f>
        <v/>
      </c>
      <c r="K2721" s="24" t="str">
        <f aca="false" t="array" ref="K2721:K2721">IF(A2721&lt;&gt;"",IF(COUNTIF(A$996:A2722,"&lt;&gt;")=0,COUNTA(B$996:B2721),IFERROR(MATCH(TRUE(),INDEX((A$996:A2722&lt;&gt;""),0),0),COUNTA(B$996:B2721))),"")</f>
        <v/>
      </c>
      <c r="L2721" s="27"/>
    </row>
    <row r="2722" customFormat="false" ht="13.8" hidden="false" customHeight="false" outlineLevel="0" collapsed="false">
      <c r="A2722" s="16"/>
      <c r="B2722" s="16"/>
      <c r="C2722" s="26"/>
      <c r="D2722" s="26"/>
      <c r="E2722" s="16"/>
      <c r="F2722" s="18"/>
      <c r="G2722" s="19" t="str">
        <f aca="true">IF(F2722="", "", DATEDIF(F2722, TODAY(), "Y"))</f>
        <v/>
      </c>
      <c r="H2722" s="28"/>
      <c r="I2722" s="28"/>
      <c r="J2722" s="24" t="str">
        <f aca="true">IF(ISBLANK(H2722), "", I2722-TODAY())</f>
        <v/>
      </c>
      <c r="K2722" s="24" t="str">
        <f aca="false" t="array" ref="K2722:K2722">IF(A2722&lt;&gt;"",IF(COUNTIF(A$996:A2723,"&lt;&gt;")=0,COUNTA(B$996:B2722),IFERROR(MATCH(TRUE(),INDEX((A$996:A2723&lt;&gt;""),0),0),COUNTA(B$996:B2722))),"")</f>
        <v/>
      </c>
      <c r="L2722" s="27"/>
    </row>
    <row r="2723" customFormat="false" ht="13.8" hidden="false" customHeight="false" outlineLevel="0" collapsed="false">
      <c r="A2723" s="16"/>
      <c r="B2723" s="16"/>
      <c r="C2723" s="26"/>
      <c r="D2723" s="26"/>
      <c r="E2723" s="16"/>
      <c r="F2723" s="18"/>
      <c r="G2723" s="19" t="str">
        <f aca="true">IF(F2723="", "", DATEDIF(F2723, TODAY(), "Y"))</f>
        <v/>
      </c>
      <c r="H2723" s="28"/>
      <c r="I2723" s="28"/>
      <c r="J2723" s="24" t="str">
        <f aca="true">IF(ISBLANK(H2723), "", I2723-TODAY())</f>
        <v/>
      </c>
      <c r="K2723" s="24" t="str">
        <f aca="false" t="array" ref="K2723:K2723">IF(A2723&lt;&gt;"",IF(COUNTIF(A$996:A2724,"&lt;&gt;")=0,COUNTA(B$996:B2723),IFERROR(MATCH(TRUE(),INDEX((A$996:A2724&lt;&gt;""),0),0),COUNTA(B$996:B2723))),"")</f>
        <v/>
      </c>
      <c r="L2723" s="27"/>
    </row>
    <row r="2724" customFormat="false" ht="13.8" hidden="false" customHeight="false" outlineLevel="0" collapsed="false">
      <c r="A2724" s="16"/>
      <c r="B2724" s="16"/>
      <c r="C2724" s="26"/>
      <c r="D2724" s="26"/>
      <c r="E2724" s="16"/>
      <c r="F2724" s="18"/>
      <c r="G2724" s="19" t="str">
        <f aca="true">IF(F2724="", "", DATEDIF(F2724, TODAY(), "Y"))</f>
        <v/>
      </c>
      <c r="H2724" s="28"/>
      <c r="I2724" s="28"/>
      <c r="J2724" s="24" t="str">
        <f aca="true">IF(ISBLANK(H2724), "", I2724-TODAY())</f>
        <v/>
      </c>
      <c r="K2724" s="24" t="str">
        <f aca="false" t="array" ref="K2724:K2724">IF(A2724&lt;&gt;"",IF(COUNTIF(A$996:A2725,"&lt;&gt;")=0,COUNTA(B$996:B2724),IFERROR(MATCH(TRUE(),INDEX((A$996:A2725&lt;&gt;""),0),0),COUNTA(B$996:B2724))),"")</f>
        <v/>
      </c>
      <c r="L2724" s="27"/>
    </row>
    <row r="2725" customFormat="false" ht="13.8" hidden="false" customHeight="false" outlineLevel="0" collapsed="false">
      <c r="A2725" s="16"/>
      <c r="B2725" s="16"/>
      <c r="C2725" s="26"/>
      <c r="D2725" s="26"/>
      <c r="E2725" s="16"/>
      <c r="F2725" s="18"/>
      <c r="G2725" s="19" t="str">
        <f aca="true">IF(F2725="", "", DATEDIF(F2725, TODAY(), "Y"))</f>
        <v/>
      </c>
      <c r="H2725" s="28"/>
      <c r="I2725" s="28"/>
      <c r="J2725" s="24" t="str">
        <f aca="true">IF(ISBLANK(H2725), "", I2725-TODAY())</f>
        <v/>
      </c>
      <c r="K2725" s="24" t="str">
        <f aca="false" t="array" ref="K2725:K2725">IF(A2725&lt;&gt;"",IF(COUNTIF(A$996:A2726,"&lt;&gt;")=0,COUNTA(B$996:B2725),IFERROR(MATCH(TRUE(),INDEX((A$996:A2726&lt;&gt;""),0),0),COUNTA(B$996:B2725))),"")</f>
        <v/>
      </c>
      <c r="L2725" s="27"/>
    </row>
    <row r="2726" customFormat="false" ht="13.8" hidden="false" customHeight="false" outlineLevel="0" collapsed="false">
      <c r="A2726" s="16"/>
      <c r="B2726" s="16"/>
      <c r="C2726" s="26"/>
      <c r="D2726" s="26"/>
      <c r="E2726" s="16"/>
      <c r="F2726" s="18"/>
      <c r="G2726" s="19" t="str">
        <f aca="true">IF(F2726="", "", DATEDIF(F2726, TODAY(), "Y"))</f>
        <v/>
      </c>
      <c r="H2726" s="28"/>
      <c r="I2726" s="28"/>
      <c r="J2726" s="24" t="str">
        <f aca="true">IF(ISBLANK(H2726), "", I2726-TODAY())</f>
        <v/>
      </c>
      <c r="K2726" s="24" t="str">
        <f aca="false" t="array" ref="K2726:K2726">IF(A2726&lt;&gt;"",IF(COUNTIF(A$996:A2727,"&lt;&gt;")=0,COUNTA(B$996:B2726),IFERROR(MATCH(TRUE(),INDEX((A$996:A2727&lt;&gt;""),0),0),COUNTA(B$996:B2726))),"")</f>
        <v/>
      </c>
      <c r="L2726" s="27"/>
    </row>
    <row r="2727" customFormat="false" ht="13.8" hidden="false" customHeight="false" outlineLevel="0" collapsed="false">
      <c r="A2727" s="16"/>
      <c r="B2727" s="16"/>
      <c r="C2727" s="26"/>
      <c r="D2727" s="26"/>
      <c r="E2727" s="16"/>
      <c r="F2727" s="18"/>
      <c r="G2727" s="19" t="str">
        <f aca="true">IF(F2727="", "", DATEDIF(F2727, TODAY(), "Y"))</f>
        <v/>
      </c>
      <c r="H2727" s="28"/>
      <c r="I2727" s="28"/>
      <c r="J2727" s="24" t="str">
        <f aca="true">IF(ISBLANK(H2727), "", I2727-TODAY())</f>
        <v/>
      </c>
      <c r="K2727" s="24" t="str">
        <f aca="false" t="array" ref="K2727:K2727">IF(A2727&lt;&gt;"",IF(COUNTIF(A$996:A2728,"&lt;&gt;")=0,COUNTA(B$996:B2727),IFERROR(MATCH(TRUE(),INDEX((A$996:A2728&lt;&gt;""),0),0),COUNTA(B$996:B2727))),"")</f>
        <v/>
      </c>
      <c r="L2727" s="27"/>
    </row>
    <row r="2728" customFormat="false" ht="13.8" hidden="false" customHeight="false" outlineLevel="0" collapsed="false">
      <c r="A2728" s="16"/>
      <c r="B2728" s="16"/>
      <c r="C2728" s="26"/>
      <c r="D2728" s="26"/>
      <c r="E2728" s="16"/>
      <c r="F2728" s="18"/>
      <c r="G2728" s="19" t="str">
        <f aca="true">IF(F2728="", "", DATEDIF(F2728, TODAY(), "Y"))</f>
        <v/>
      </c>
      <c r="H2728" s="28"/>
      <c r="I2728" s="28"/>
      <c r="J2728" s="24" t="str">
        <f aca="true">IF(ISBLANK(H2728), "", I2728-TODAY())</f>
        <v/>
      </c>
      <c r="K2728" s="24" t="str">
        <f aca="false" t="array" ref="K2728:K2728">IF(A2728&lt;&gt;"",IF(COUNTIF(A$996:A2729,"&lt;&gt;")=0,COUNTA(B$996:B2728),IFERROR(MATCH(TRUE(),INDEX((A$996:A2729&lt;&gt;""),0),0),COUNTA(B$996:B2728))),"")</f>
        <v/>
      </c>
      <c r="L2728" s="27"/>
    </row>
    <row r="2729" customFormat="false" ht="13.8" hidden="false" customHeight="false" outlineLevel="0" collapsed="false">
      <c r="A2729" s="16"/>
      <c r="B2729" s="16"/>
      <c r="C2729" s="26"/>
      <c r="D2729" s="26"/>
      <c r="E2729" s="16"/>
      <c r="F2729" s="18"/>
      <c r="G2729" s="19" t="str">
        <f aca="true">IF(F2729="", "", DATEDIF(F2729, TODAY(), "Y"))</f>
        <v/>
      </c>
      <c r="H2729" s="28"/>
      <c r="I2729" s="28"/>
      <c r="J2729" s="24" t="str">
        <f aca="true">IF(ISBLANK(H2729), "", I2729-TODAY())</f>
        <v/>
      </c>
      <c r="K2729" s="24" t="str">
        <f aca="false" t="array" ref="K2729:K2729">IF(A2729&lt;&gt;"",IF(COUNTIF(A$996:A2730,"&lt;&gt;")=0,COUNTA(B$996:B2729),IFERROR(MATCH(TRUE(),INDEX((A$996:A2730&lt;&gt;""),0),0),COUNTA(B$996:B2729))),"")</f>
        <v/>
      </c>
      <c r="L2729" s="27"/>
    </row>
    <row r="2730" customFormat="false" ht="13.8" hidden="false" customHeight="false" outlineLevel="0" collapsed="false">
      <c r="A2730" s="16"/>
      <c r="B2730" s="16"/>
      <c r="C2730" s="26"/>
      <c r="D2730" s="26"/>
      <c r="E2730" s="16"/>
      <c r="F2730" s="18"/>
      <c r="G2730" s="19" t="str">
        <f aca="true">IF(F2730="", "", DATEDIF(F2730, TODAY(), "Y"))</f>
        <v/>
      </c>
      <c r="H2730" s="28"/>
      <c r="I2730" s="28"/>
      <c r="J2730" s="24" t="str">
        <f aca="true">IF(ISBLANK(H2730), "", I2730-TODAY())</f>
        <v/>
      </c>
      <c r="K2730" s="24" t="str">
        <f aca="false" t="array" ref="K2730:K2730">IF(A2730&lt;&gt;"",IF(COUNTIF(A$996:A2731,"&lt;&gt;")=0,COUNTA(B$996:B2730),IFERROR(MATCH(TRUE(),INDEX((A$996:A2731&lt;&gt;""),0),0),COUNTA(B$996:B2730))),"")</f>
        <v/>
      </c>
      <c r="L2730" s="27"/>
    </row>
    <row r="2731" customFormat="false" ht="13.8" hidden="false" customHeight="false" outlineLevel="0" collapsed="false">
      <c r="A2731" s="16"/>
      <c r="B2731" s="16"/>
      <c r="C2731" s="26"/>
      <c r="D2731" s="26"/>
      <c r="E2731" s="16"/>
      <c r="F2731" s="18"/>
      <c r="G2731" s="19" t="str">
        <f aca="true">IF(F2731="", "", DATEDIF(F2731, TODAY(), "Y"))</f>
        <v/>
      </c>
      <c r="H2731" s="28"/>
      <c r="I2731" s="28"/>
      <c r="J2731" s="24" t="str">
        <f aca="true">IF(ISBLANK(H2731), "", I2731-TODAY())</f>
        <v/>
      </c>
      <c r="K2731" s="24" t="str">
        <f aca="false" t="array" ref="K2731:K2731">IF(A2731&lt;&gt;"",IF(COUNTIF(A$996:A2732,"&lt;&gt;")=0,COUNTA(B$996:B2731),IFERROR(MATCH(TRUE(),INDEX((A$996:A2732&lt;&gt;""),0),0),COUNTA(B$996:B2731))),"")</f>
        <v/>
      </c>
      <c r="L2731" s="27"/>
    </row>
    <row r="2732" customFormat="false" ht="13.8" hidden="false" customHeight="false" outlineLevel="0" collapsed="false">
      <c r="A2732" s="16"/>
      <c r="B2732" s="16"/>
      <c r="C2732" s="26"/>
      <c r="D2732" s="26"/>
      <c r="E2732" s="16"/>
      <c r="F2732" s="18"/>
      <c r="G2732" s="19" t="str">
        <f aca="true">IF(F2732="", "", DATEDIF(F2732, TODAY(), "Y"))</f>
        <v/>
      </c>
      <c r="H2732" s="28"/>
      <c r="I2732" s="28"/>
      <c r="J2732" s="24" t="str">
        <f aca="true">IF(ISBLANK(H2732), "", I2732-TODAY())</f>
        <v/>
      </c>
      <c r="K2732" s="24" t="str">
        <f aca="false" t="array" ref="K2732:K2732">IF(A2732&lt;&gt;"",IF(COUNTIF(A$996:A2733,"&lt;&gt;")=0,COUNTA(B$996:B2732),IFERROR(MATCH(TRUE(),INDEX((A$996:A2733&lt;&gt;""),0),0),COUNTA(B$996:B2732))),"")</f>
        <v/>
      </c>
      <c r="L2732" s="27"/>
    </row>
    <row r="2733" customFormat="false" ht="13.8" hidden="false" customHeight="false" outlineLevel="0" collapsed="false">
      <c r="A2733" s="16"/>
      <c r="B2733" s="16"/>
      <c r="C2733" s="26"/>
      <c r="D2733" s="26"/>
      <c r="E2733" s="16"/>
      <c r="F2733" s="18"/>
      <c r="G2733" s="19" t="str">
        <f aca="true">IF(F2733="", "", DATEDIF(F2733, TODAY(), "Y"))</f>
        <v/>
      </c>
      <c r="H2733" s="28"/>
      <c r="I2733" s="28"/>
      <c r="J2733" s="24" t="str">
        <f aca="true">IF(ISBLANK(H2733), "", I2733-TODAY())</f>
        <v/>
      </c>
      <c r="K2733" s="24" t="str">
        <f aca="false" t="array" ref="K2733:K2733">IF(A2733&lt;&gt;"",IF(COUNTIF(A$996:A2734,"&lt;&gt;")=0,COUNTA(B$996:B2733),IFERROR(MATCH(TRUE(),INDEX((A$996:A2734&lt;&gt;""),0),0),COUNTA(B$996:B2733))),"")</f>
        <v/>
      </c>
      <c r="L2733" s="27"/>
    </row>
    <row r="2734" customFormat="false" ht="13.8" hidden="false" customHeight="false" outlineLevel="0" collapsed="false">
      <c r="A2734" s="16"/>
      <c r="B2734" s="16"/>
      <c r="C2734" s="26"/>
      <c r="D2734" s="26"/>
      <c r="E2734" s="16"/>
      <c r="F2734" s="18"/>
      <c r="G2734" s="19" t="str">
        <f aca="true">IF(F2734="", "", DATEDIF(F2734, TODAY(), "Y"))</f>
        <v/>
      </c>
      <c r="H2734" s="28"/>
      <c r="I2734" s="28"/>
      <c r="J2734" s="24" t="str">
        <f aca="true">IF(ISBLANK(H2734), "", I2734-TODAY())</f>
        <v/>
      </c>
      <c r="K2734" s="24" t="str">
        <f aca="false" t="array" ref="K2734:K2734">IF(A2734&lt;&gt;"",IF(COUNTIF(A$996:A2735,"&lt;&gt;")=0,COUNTA(B$996:B2734),IFERROR(MATCH(TRUE(),INDEX((A$996:A2735&lt;&gt;""),0),0),COUNTA(B$996:B2734))),"")</f>
        <v/>
      </c>
      <c r="L2734" s="27"/>
    </row>
    <row r="2735" customFormat="false" ht="13.8" hidden="false" customHeight="false" outlineLevel="0" collapsed="false">
      <c r="A2735" s="16"/>
      <c r="B2735" s="16"/>
      <c r="C2735" s="26"/>
      <c r="D2735" s="26"/>
      <c r="E2735" s="16"/>
      <c r="F2735" s="18"/>
      <c r="G2735" s="19" t="str">
        <f aca="true">IF(F2735="", "", DATEDIF(F2735, TODAY(), "Y"))</f>
        <v/>
      </c>
      <c r="H2735" s="28"/>
      <c r="I2735" s="28"/>
      <c r="J2735" s="24" t="str">
        <f aca="true">IF(ISBLANK(H2735), "", I2735-TODAY())</f>
        <v/>
      </c>
      <c r="K2735" s="24" t="str">
        <f aca="false" t="array" ref="K2735:K2735">IF(A2735&lt;&gt;"",IF(COUNTIF(A$996:A2736,"&lt;&gt;")=0,COUNTA(B$996:B2735),IFERROR(MATCH(TRUE(),INDEX((A$996:A2736&lt;&gt;""),0),0),COUNTA(B$996:B2735))),"")</f>
        <v/>
      </c>
      <c r="L2735" s="27"/>
    </row>
    <row r="2736" customFormat="false" ht="13.8" hidden="false" customHeight="false" outlineLevel="0" collapsed="false">
      <c r="A2736" s="16"/>
      <c r="B2736" s="16"/>
      <c r="C2736" s="26"/>
      <c r="D2736" s="26"/>
      <c r="E2736" s="16"/>
      <c r="F2736" s="18"/>
      <c r="G2736" s="19" t="str">
        <f aca="true">IF(F2736="", "", DATEDIF(F2736, TODAY(), "Y"))</f>
        <v/>
      </c>
      <c r="H2736" s="28"/>
      <c r="I2736" s="28"/>
      <c r="J2736" s="24" t="str">
        <f aca="true">IF(ISBLANK(H2736), "", I2736-TODAY())</f>
        <v/>
      </c>
      <c r="K2736" s="24" t="str">
        <f aca="false" t="array" ref="K2736:K2736">IF(A2736&lt;&gt;"",IF(COUNTIF(A$996:A2737,"&lt;&gt;")=0,COUNTA(B$996:B2736),IFERROR(MATCH(TRUE(),INDEX((A$996:A2737&lt;&gt;""),0),0),COUNTA(B$996:B2736))),"")</f>
        <v/>
      </c>
      <c r="L2736" s="27"/>
    </row>
    <row r="2737" customFormat="false" ht="13.8" hidden="false" customHeight="false" outlineLevel="0" collapsed="false">
      <c r="A2737" s="16"/>
      <c r="B2737" s="16"/>
      <c r="C2737" s="26"/>
      <c r="D2737" s="26"/>
      <c r="E2737" s="16"/>
      <c r="F2737" s="18"/>
      <c r="G2737" s="19" t="str">
        <f aca="true">IF(F2737="", "", DATEDIF(F2737, TODAY(), "Y"))</f>
        <v/>
      </c>
      <c r="H2737" s="28"/>
      <c r="I2737" s="28"/>
      <c r="J2737" s="24" t="str">
        <f aca="true">IF(ISBLANK(H2737), "", I2737-TODAY())</f>
        <v/>
      </c>
      <c r="K2737" s="24" t="str">
        <f aca="false" t="array" ref="K2737:K2737">IF(A2737&lt;&gt;"",IF(COUNTIF(A$996:A2738,"&lt;&gt;")=0,COUNTA(B$996:B2737),IFERROR(MATCH(TRUE(),INDEX((A$996:A2738&lt;&gt;""),0),0),COUNTA(B$996:B2737))),"")</f>
        <v/>
      </c>
      <c r="L2737" s="27"/>
    </row>
    <row r="2738" customFormat="false" ht="13.8" hidden="false" customHeight="false" outlineLevel="0" collapsed="false">
      <c r="A2738" s="16"/>
      <c r="B2738" s="16"/>
      <c r="C2738" s="26"/>
      <c r="D2738" s="26"/>
      <c r="E2738" s="16"/>
      <c r="F2738" s="18"/>
      <c r="G2738" s="19" t="str">
        <f aca="true">IF(F2738="", "", DATEDIF(F2738, TODAY(), "Y"))</f>
        <v/>
      </c>
      <c r="H2738" s="28"/>
      <c r="I2738" s="28"/>
      <c r="J2738" s="24" t="str">
        <f aca="true">IF(ISBLANK(H2738), "", I2738-TODAY())</f>
        <v/>
      </c>
      <c r="K2738" s="24" t="str">
        <f aca="false" t="array" ref="K2738:K2738">IF(A2738&lt;&gt;"",IF(COUNTIF(A$996:A2739,"&lt;&gt;")=0,COUNTA(B$996:B2738),IFERROR(MATCH(TRUE(),INDEX((A$996:A2739&lt;&gt;""),0),0),COUNTA(B$996:B2738))),"")</f>
        <v/>
      </c>
      <c r="L2738" s="27"/>
    </row>
    <row r="2739" customFormat="false" ht="13.8" hidden="false" customHeight="false" outlineLevel="0" collapsed="false">
      <c r="A2739" s="16"/>
      <c r="B2739" s="16"/>
      <c r="C2739" s="26"/>
      <c r="D2739" s="26"/>
      <c r="E2739" s="16"/>
      <c r="F2739" s="18"/>
      <c r="G2739" s="19" t="str">
        <f aca="true">IF(F2739="", "", DATEDIF(F2739, TODAY(), "Y"))</f>
        <v/>
      </c>
      <c r="H2739" s="28"/>
      <c r="I2739" s="28"/>
      <c r="J2739" s="24" t="str">
        <f aca="true">IF(ISBLANK(H2739), "", I2739-TODAY())</f>
        <v/>
      </c>
      <c r="K2739" s="24" t="str">
        <f aca="false" t="array" ref="K2739:K2739">IF(A2739&lt;&gt;"",IF(COUNTIF(A$996:A2740,"&lt;&gt;")=0,COUNTA(B$996:B2739),IFERROR(MATCH(TRUE(),INDEX((A$996:A2740&lt;&gt;""),0),0),COUNTA(B$996:B2739))),"")</f>
        <v/>
      </c>
      <c r="L2739" s="27"/>
    </row>
    <row r="2740" customFormat="false" ht="13.8" hidden="false" customHeight="false" outlineLevel="0" collapsed="false">
      <c r="A2740" s="16"/>
      <c r="B2740" s="16"/>
      <c r="C2740" s="26"/>
      <c r="D2740" s="26"/>
      <c r="E2740" s="16"/>
      <c r="F2740" s="18"/>
      <c r="G2740" s="19" t="str">
        <f aca="true">IF(F2740="", "", DATEDIF(F2740, TODAY(), "Y"))</f>
        <v/>
      </c>
      <c r="H2740" s="28"/>
      <c r="I2740" s="28"/>
      <c r="J2740" s="24" t="str">
        <f aca="true">IF(ISBLANK(H2740), "", I2740-TODAY())</f>
        <v/>
      </c>
      <c r="K2740" s="24" t="str">
        <f aca="false" t="array" ref="K2740:K2740">IF(A2740&lt;&gt;"",IF(COUNTIF(A$996:A2741,"&lt;&gt;")=0,COUNTA(B$996:B2740),IFERROR(MATCH(TRUE(),INDEX((A$996:A2741&lt;&gt;""),0),0),COUNTA(B$996:B2740))),"")</f>
        <v/>
      </c>
      <c r="L2740" s="27"/>
    </row>
    <row r="2741" customFormat="false" ht="13.8" hidden="false" customHeight="false" outlineLevel="0" collapsed="false">
      <c r="A2741" s="16"/>
      <c r="B2741" s="16"/>
      <c r="C2741" s="26"/>
      <c r="D2741" s="26"/>
      <c r="E2741" s="16"/>
      <c r="F2741" s="18"/>
      <c r="G2741" s="19" t="str">
        <f aca="true">IF(F2741="", "", DATEDIF(F2741, TODAY(), "Y"))</f>
        <v/>
      </c>
      <c r="H2741" s="28"/>
      <c r="I2741" s="28"/>
      <c r="J2741" s="24" t="str">
        <f aca="true">IF(ISBLANK(H2741), "", I2741-TODAY())</f>
        <v/>
      </c>
      <c r="K2741" s="24" t="str">
        <f aca="false" t="array" ref="K2741:K2741">IF(A2741&lt;&gt;"",IF(COUNTIF(A$996:A2742,"&lt;&gt;")=0,COUNTA(B$996:B2741),IFERROR(MATCH(TRUE(),INDEX((A$996:A2742&lt;&gt;""),0),0),COUNTA(B$996:B2741))),"")</f>
        <v/>
      </c>
      <c r="L2741" s="27"/>
    </row>
    <row r="2742" customFormat="false" ht="13.8" hidden="false" customHeight="false" outlineLevel="0" collapsed="false">
      <c r="A2742" s="16"/>
      <c r="B2742" s="16"/>
      <c r="C2742" s="26"/>
      <c r="D2742" s="26"/>
      <c r="E2742" s="16"/>
      <c r="F2742" s="18"/>
      <c r="G2742" s="19" t="str">
        <f aca="true">IF(F2742="", "", DATEDIF(F2742, TODAY(), "Y"))</f>
        <v/>
      </c>
      <c r="H2742" s="28"/>
      <c r="I2742" s="28"/>
      <c r="J2742" s="24" t="str">
        <f aca="true">IF(ISBLANK(H2742), "", I2742-TODAY())</f>
        <v/>
      </c>
      <c r="K2742" s="24" t="str">
        <f aca="false" t="array" ref="K2742:K2742">IF(A2742&lt;&gt;"",IF(COUNTIF(A$996:A2743,"&lt;&gt;")=0,COUNTA(B$996:B2742),IFERROR(MATCH(TRUE(),INDEX((A$996:A2743&lt;&gt;""),0),0),COUNTA(B$996:B2742))),"")</f>
        <v/>
      </c>
      <c r="L2742" s="27"/>
    </row>
    <row r="2743" customFormat="false" ht="13.8" hidden="false" customHeight="false" outlineLevel="0" collapsed="false">
      <c r="A2743" s="16"/>
      <c r="B2743" s="16"/>
      <c r="C2743" s="26"/>
      <c r="D2743" s="26"/>
      <c r="E2743" s="16"/>
      <c r="F2743" s="18"/>
      <c r="G2743" s="19" t="str">
        <f aca="true">IF(F2743="", "", DATEDIF(F2743, TODAY(), "Y"))</f>
        <v/>
      </c>
      <c r="H2743" s="28"/>
      <c r="I2743" s="28"/>
      <c r="J2743" s="24" t="str">
        <f aca="true">IF(ISBLANK(H2743), "", I2743-TODAY())</f>
        <v/>
      </c>
      <c r="K2743" s="24" t="str">
        <f aca="false" t="array" ref="K2743:K2743">IF(A2743&lt;&gt;"",IF(COUNTIF(A$996:A2744,"&lt;&gt;")=0,COUNTA(B$996:B2743),IFERROR(MATCH(TRUE(),INDEX((A$996:A2744&lt;&gt;""),0),0),COUNTA(B$996:B2743))),"")</f>
        <v/>
      </c>
      <c r="L2743" s="27"/>
    </row>
    <row r="2744" customFormat="false" ht="13.8" hidden="false" customHeight="false" outlineLevel="0" collapsed="false">
      <c r="A2744" s="16"/>
      <c r="B2744" s="16"/>
      <c r="C2744" s="26"/>
      <c r="D2744" s="26"/>
      <c r="E2744" s="16"/>
      <c r="F2744" s="18"/>
      <c r="G2744" s="19" t="str">
        <f aca="true">IF(F2744="", "", DATEDIF(F2744, TODAY(), "Y"))</f>
        <v/>
      </c>
      <c r="H2744" s="28"/>
      <c r="I2744" s="28"/>
      <c r="J2744" s="24" t="str">
        <f aca="true">IF(ISBLANK(H2744), "", I2744-TODAY())</f>
        <v/>
      </c>
      <c r="K2744" s="24" t="str">
        <f aca="false" t="array" ref="K2744:K2744">IF(A2744&lt;&gt;"",IF(COUNTIF(A$996:A2745,"&lt;&gt;")=0,COUNTA(B$996:B2744),IFERROR(MATCH(TRUE(),INDEX((A$996:A2745&lt;&gt;""),0),0),COUNTA(B$996:B2744))),"")</f>
        <v/>
      </c>
      <c r="L2744" s="27"/>
    </row>
    <row r="2745" customFormat="false" ht="13.8" hidden="false" customHeight="false" outlineLevel="0" collapsed="false">
      <c r="A2745" s="16"/>
      <c r="B2745" s="16"/>
      <c r="C2745" s="26"/>
      <c r="D2745" s="26"/>
      <c r="E2745" s="16"/>
      <c r="F2745" s="18"/>
      <c r="G2745" s="19" t="str">
        <f aca="true">IF(F2745="", "", DATEDIF(F2745, TODAY(), "Y"))</f>
        <v/>
      </c>
      <c r="H2745" s="28"/>
      <c r="I2745" s="28"/>
      <c r="J2745" s="24" t="str">
        <f aca="true">IF(ISBLANK(H2745), "", I2745-TODAY())</f>
        <v/>
      </c>
      <c r="K2745" s="24" t="str">
        <f aca="false" t="array" ref="K2745:K2745">IF(A2745&lt;&gt;"",IF(COUNTIF(A$996:A2746,"&lt;&gt;")=0,COUNTA(B$996:B2745),IFERROR(MATCH(TRUE(),INDEX((A$996:A2746&lt;&gt;""),0),0),COUNTA(B$996:B2745))),"")</f>
        <v/>
      </c>
      <c r="L2745" s="27"/>
    </row>
    <row r="2746" customFormat="false" ht="13.8" hidden="false" customHeight="false" outlineLevel="0" collapsed="false">
      <c r="A2746" s="16"/>
      <c r="B2746" s="16"/>
      <c r="C2746" s="26"/>
      <c r="D2746" s="26"/>
      <c r="E2746" s="16"/>
      <c r="F2746" s="18"/>
      <c r="G2746" s="19" t="str">
        <f aca="true">IF(F2746="", "", DATEDIF(F2746, TODAY(), "Y"))</f>
        <v/>
      </c>
      <c r="H2746" s="28"/>
      <c r="I2746" s="28"/>
      <c r="J2746" s="24" t="str">
        <f aca="true">IF(ISBLANK(H2746), "", I2746-TODAY())</f>
        <v/>
      </c>
      <c r="K2746" s="24" t="str">
        <f aca="false" t="array" ref="K2746:K2746">IF(A2746&lt;&gt;"",IF(COUNTIF(A$996:A2747,"&lt;&gt;")=0,COUNTA(B$996:B2746),IFERROR(MATCH(TRUE(),INDEX((A$996:A2747&lt;&gt;""),0),0),COUNTA(B$996:B2746))),"")</f>
        <v/>
      </c>
      <c r="L2746" s="27"/>
    </row>
    <row r="2747" customFormat="false" ht="13.8" hidden="false" customHeight="false" outlineLevel="0" collapsed="false">
      <c r="A2747" s="16"/>
      <c r="B2747" s="16"/>
      <c r="C2747" s="26"/>
      <c r="D2747" s="26"/>
      <c r="E2747" s="16"/>
      <c r="F2747" s="18"/>
      <c r="G2747" s="19" t="str">
        <f aca="true">IF(F2747="", "", DATEDIF(F2747, TODAY(), "Y"))</f>
        <v/>
      </c>
      <c r="H2747" s="28"/>
      <c r="I2747" s="28"/>
      <c r="J2747" s="24" t="str">
        <f aca="true">IF(ISBLANK(H2747), "", I2747-TODAY())</f>
        <v/>
      </c>
      <c r="K2747" s="24" t="str">
        <f aca="false" t="array" ref="K2747:K2747">IF(A2747&lt;&gt;"",IF(COUNTIF(A$996:A2748,"&lt;&gt;")=0,COUNTA(B$996:B2747),IFERROR(MATCH(TRUE(),INDEX((A$996:A2748&lt;&gt;""),0),0),COUNTA(B$996:B2747))),"")</f>
        <v/>
      </c>
      <c r="L2747" s="27"/>
    </row>
    <row r="2748" customFormat="false" ht="13.8" hidden="false" customHeight="false" outlineLevel="0" collapsed="false">
      <c r="A2748" s="16"/>
      <c r="B2748" s="16"/>
      <c r="C2748" s="26"/>
      <c r="D2748" s="26"/>
      <c r="E2748" s="16"/>
      <c r="F2748" s="18"/>
      <c r="G2748" s="19" t="str">
        <f aca="true">IF(F2748="", "", DATEDIF(F2748, TODAY(), "Y"))</f>
        <v/>
      </c>
      <c r="H2748" s="28"/>
      <c r="I2748" s="28"/>
      <c r="J2748" s="24" t="str">
        <f aca="true">IF(ISBLANK(H2748), "", I2748-TODAY())</f>
        <v/>
      </c>
      <c r="K2748" s="24" t="str">
        <f aca="false" t="array" ref="K2748:K2748">IF(A2748&lt;&gt;"",IF(COUNTIF(A$996:A2749,"&lt;&gt;")=0,COUNTA(B$996:B2748),IFERROR(MATCH(TRUE(),INDEX((A$996:A2749&lt;&gt;""),0),0),COUNTA(B$996:B2748))),"")</f>
        <v/>
      </c>
      <c r="L2748" s="27"/>
    </row>
    <row r="2749" customFormat="false" ht="13.8" hidden="false" customHeight="false" outlineLevel="0" collapsed="false">
      <c r="A2749" s="16"/>
      <c r="B2749" s="16"/>
      <c r="C2749" s="26"/>
      <c r="D2749" s="26"/>
      <c r="E2749" s="16"/>
      <c r="F2749" s="18"/>
      <c r="G2749" s="19" t="str">
        <f aca="true">IF(F2749="", "", DATEDIF(F2749, TODAY(), "Y"))</f>
        <v/>
      </c>
      <c r="H2749" s="28"/>
      <c r="I2749" s="28"/>
      <c r="J2749" s="24" t="str">
        <f aca="true">IF(ISBLANK(H2749), "", I2749-TODAY())</f>
        <v/>
      </c>
      <c r="K2749" s="24" t="str">
        <f aca="false" t="array" ref="K2749:K2749">IF(A2749&lt;&gt;"",IF(COUNTIF(A$996:A2750,"&lt;&gt;")=0,COUNTA(B$996:B2749),IFERROR(MATCH(TRUE(),INDEX((A$996:A2750&lt;&gt;""),0),0),COUNTA(B$996:B2749))),"")</f>
        <v/>
      </c>
      <c r="L2749" s="27"/>
    </row>
    <row r="2750" customFormat="false" ht="13.8" hidden="false" customHeight="false" outlineLevel="0" collapsed="false">
      <c r="A2750" s="16"/>
      <c r="B2750" s="16"/>
      <c r="C2750" s="26"/>
      <c r="D2750" s="26"/>
      <c r="E2750" s="16"/>
      <c r="F2750" s="18"/>
      <c r="G2750" s="19" t="str">
        <f aca="true">IF(F2750="", "", DATEDIF(F2750, TODAY(), "Y"))</f>
        <v/>
      </c>
      <c r="H2750" s="28"/>
      <c r="I2750" s="28"/>
      <c r="J2750" s="24" t="str">
        <f aca="true">IF(ISBLANK(H2750), "", I2750-TODAY())</f>
        <v/>
      </c>
      <c r="K2750" s="24" t="str">
        <f aca="false" t="array" ref="K2750:K2750">IF(A2750&lt;&gt;"",IF(COUNTIF(A$996:A2751,"&lt;&gt;")=0,COUNTA(B$996:B2750),IFERROR(MATCH(TRUE(),INDEX((A$996:A2751&lt;&gt;""),0),0),COUNTA(B$996:B2750))),"")</f>
        <v/>
      </c>
      <c r="L2750" s="27"/>
    </row>
    <row r="2751" customFormat="false" ht="13.8" hidden="false" customHeight="false" outlineLevel="0" collapsed="false">
      <c r="A2751" s="16"/>
      <c r="B2751" s="16"/>
      <c r="C2751" s="26"/>
      <c r="D2751" s="26"/>
      <c r="E2751" s="16"/>
      <c r="F2751" s="18"/>
      <c r="G2751" s="19" t="str">
        <f aca="true">IF(F2751="", "", DATEDIF(F2751, TODAY(), "Y"))</f>
        <v/>
      </c>
      <c r="H2751" s="28"/>
      <c r="I2751" s="28"/>
      <c r="J2751" s="24" t="str">
        <f aca="true">IF(ISBLANK(H2751), "", I2751-TODAY())</f>
        <v/>
      </c>
      <c r="K2751" s="24" t="str">
        <f aca="false" t="array" ref="K2751:K2751">IF(A2751&lt;&gt;"",IF(COUNTIF(A$996:A2752,"&lt;&gt;")=0,COUNTA(B$996:B2751),IFERROR(MATCH(TRUE(),INDEX((A$996:A2752&lt;&gt;""),0),0),COUNTA(B$996:B2751))),"")</f>
        <v/>
      </c>
      <c r="L2751" s="27"/>
    </row>
    <row r="2752" customFormat="false" ht="13.8" hidden="false" customHeight="false" outlineLevel="0" collapsed="false">
      <c r="A2752" s="16"/>
      <c r="B2752" s="16"/>
      <c r="C2752" s="26"/>
      <c r="D2752" s="26"/>
      <c r="E2752" s="16"/>
      <c r="F2752" s="18"/>
      <c r="G2752" s="19" t="str">
        <f aca="true">IF(F2752="", "", DATEDIF(F2752, TODAY(), "Y"))</f>
        <v/>
      </c>
      <c r="H2752" s="28"/>
      <c r="I2752" s="28"/>
      <c r="J2752" s="24" t="str">
        <f aca="true">IF(ISBLANK(H2752), "", I2752-TODAY())</f>
        <v/>
      </c>
      <c r="K2752" s="24" t="str">
        <f aca="false" t="array" ref="K2752:K2752">IF(A2752&lt;&gt;"",IF(COUNTIF(A$996:A2753,"&lt;&gt;")=0,COUNTA(B$996:B2752),IFERROR(MATCH(TRUE(),INDEX((A$996:A2753&lt;&gt;""),0),0),COUNTA(B$996:B2752))),"")</f>
        <v/>
      </c>
      <c r="L2752" s="27"/>
    </row>
    <row r="2753" customFormat="false" ht="13.8" hidden="false" customHeight="false" outlineLevel="0" collapsed="false">
      <c r="A2753" s="16"/>
      <c r="B2753" s="16"/>
      <c r="C2753" s="26"/>
      <c r="D2753" s="26"/>
      <c r="E2753" s="16"/>
      <c r="F2753" s="18"/>
      <c r="G2753" s="19" t="str">
        <f aca="true">IF(F2753="", "", DATEDIF(F2753, TODAY(), "Y"))</f>
        <v/>
      </c>
      <c r="H2753" s="28"/>
      <c r="I2753" s="28"/>
      <c r="J2753" s="24" t="str">
        <f aca="true">IF(ISBLANK(H2753), "", I2753-TODAY())</f>
        <v/>
      </c>
      <c r="K2753" s="24" t="str">
        <f aca="false" t="array" ref="K2753:K2753">IF(A2753&lt;&gt;"",IF(COUNTIF(A$996:A2754,"&lt;&gt;")=0,COUNTA(B$996:B2753),IFERROR(MATCH(TRUE(),INDEX((A$996:A2754&lt;&gt;""),0),0),COUNTA(B$996:B2753))),"")</f>
        <v/>
      </c>
      <c r="L2753" s="27"/>
    </row>
    <row r="2754" customFormat="false" ht="13.8" hidden="false" customHeight="false" outlineLevel="0" collapsed="false">
      <c r="A2754" s="16"/>
      <c r="B2754" s="16"/>
      <c r="C2754" s="26"/>
      <c r="D2754" s="26"/>
      <c r="E2754" s="16"/>
      <c r="F2754" s="18"/>
      <c r="G2754" s="19" t="str">
        <f aca="true">IF(F2754="", "", DATEDIF(F2754, TODAY(), "Y"))</f>
        <v/>
      </c>
      <c r="H2754" s="28"/>
      <c r="I2754" s="28"/>
      <c r="J2754" s="24" t="str">
        <f aca="true">IF(ISBLANK(H2754), "", I2754-TODAY())</f>
        <v/>
      </c>
      <c r="K2754" s="24" t="str">
        <f aca="false" t="array" ref="K2754:K2754">IF(A2754&lt;&gt;"",IF(COUNTIF(A$996:A2755,"&lt;&gt;")=0,COUNTA(B$996:B2754),IFERROR(MATCH(TRUE(),INDEX((A$996:A2755&lt;&gt;""),0),0),COUNTA(B$996:B2754))),"")</f>
        <v/>
      </c>
      <c r="L2754" s="27"/>
    </row>
    <row r="2755" customFormat="false" ht="13.8" hidden="false" customHeight="false" outlineLevel="0" collapsed="false">
      <c r="A2755" s="16"/>
      <c r="B2755" s="16"/>
      <c r="C2755" s="26"/>
      <c r="D2755" s="26"/>
      <c r="E2755" s="16"/>
      <c r="F2755" s="18"/>
      <c r="G2755" s="19" t="str">
        <f aca="true">IF(F2755="", "", DATEDIF(F2755, TODAY(), "Y"))</f>
        <v/>
      </c>
      <c r="H2755" s="28"/>
      <c r="I2755" s="28"/>
      <c r="J2755" s="24" t="str">
        <f aca="true">IF(ISBLANK(H2755), "", I2755-TODAY())</f>
        <v/>
      </c>
      <c r="K2755" s="24" t="str">
        <f aca="false" t="array" ref="K2755:K2755">IF(A2755&lt;&gt;"",IF(COUNTIF(A$996:A2756,"&lt;&gt;")=0,COUNTA(B$996:B2755),IFERROR(MATCH(TRUE(),INDEX((A$996:A2756&lt;&gt;""),0),0),COUNTA(B$996:B2755))),"")</f>
        <v/>
      </c>
      <c r="L2755" s="27"/>
    </row>
    <row r="2756" customFormat="false" ht="13.8" hidden="false" customHeight="false" outlineLevel="0" collapsed="false">
      <c r="A2756" s="16"/>
      <c r="B2756" s="16"/>
      <c r="C2756" s="26"/>
      <c r="D2756" s="26"/>
      <c r="E2756" s="16"/>
      <c r="F2756" s="18"/>
      <c r="G2756" s="19" t="str">
        <f aca="true">IF(F2756="", "", DATEDIF(F2756, TODAY(), "Y"))</f>
        <v/>
      </c>
      <c r="H2756" s="28"/>
      <c r="I2756" s="28"/>
      <c r="J2756" s="24" t="str">
        <f aca="true">IF(ISBLANK(H2756), "", I2756-TODAY())</f>
        <v/>
      </c>
      <c r="K2756" s="24" t="str">
        <f aca="false" t="array" ref="K2756:K2756">IF(A2756&lt;&gt;"",IF(COUNTIF(A$996:A2757,"&lt;&gt;")=0,COUNTA(B$996:B2756),IFERROR(MATCH(TRUE(),INDEX((A$996:A2757&lt;&gt;""),0),0),COUNTA(B$996:B2756))),"")</f>
        <v/>
      </c>
      <c r="L2756" s="27"/>
    </row>
    <row r="2757" customFormat="false" ht="13.8" hidden="false" customHeight="false" outlineLevel="0" collapsed="false">
      <c r="A2757" s="16"/>
      <c r="B2757" s="16"/>
      <c r="C2757" s="26"/>
      <c r="D2757" s="26"/>
      <c r="E2757" s="16"/>
      <c r="F2757" s="18"/>
      <c r="G2757" s="19" t="str">
        <f aca="true">IF(F2757="", "", DATEDIF(F2757, TODAY(), "Y"))</f>
        <v/>
      </c>
      <c r="H2757" s="28"/>
      <c r="I2757" s="28"/>
      <c r="J2757" s="24" t="str">
        <f aca="true">IF(ISBLANK(H2757), "", I2757-TODAY())</f>
        <v/>
      </c>
      <c r="K2757" s="24" t="str">
        <f aca="false" t="array" ref="K2757:K2757">IF(A2757&lt;&gt;"",IF(COUNTIF(A$996:A2758,"&lt;&gt;")=0,COUNTA(B$996:B2757),IFERROR(MATCH(TRUE(),INDEX((A$996:A2758&lt;&gt;""),0),0),COUNTA(B$996:B2757))),"")</f>
        <v/>
      </c>
      <c r="L2757" s="27"/>
    </row>
    <row r="2758" customFormat="false" ht="13.8" hidden="false" customHeight="false" outlineLevel="0" collapsed="false">
      <c r="A2758" s="16"/>
      <c r="B2758" s="16"/>
      <c r="C2758" s="26"/>
      <c r="D2758" s="26"/>
      <c r="E2758" s="16"/>
      <c r="F2758" s="18"/>
      <c r="G2758" s="19" t="str">
        <f aca="true">IF(F2758="", "", DATEDIF(F2758, TODAY(), "Y"))</f>
        <v/>
      </c>
      <c r="H2758" s="28"/>
      <c r="I2758" s="28"/>
      <c r="J2758" s="24" t="str">
        <f aca="true">IF(ISBLANK(H2758), "", I2758-TODAY())</f>
        <v/>
      </c>
      <c r="K2758" s="24" t="str">
        <f aca="false" t="array" ref="K2758:K2758">IF(A2758&lt;&gt;"",IF(COUNTIF(A$996:A2759,"&lt;&gt;")=0,COUNTA(B$996:B2758),IFERROR(MATCH(TRUE(),INDEX((A$996:A2759&lt;&gt;""),0),0),COUNTA(B$996:B2758))),"")</f>
        <v/>
      </c>
      <c r="L2758" s="27"/>
    </row>
    <row r="2759" customFormat="false" ht="13.8" hidden="false" customHeight="false" outlineLevel="0" collapsed="false">
      <c r="A2759" s="16"/>
      <c r="B2759" s="16"/>
      <c r="C2759" s="26"/>
      <c r="D2759" s="26"/>
      <c r="E2759" s="16"/>
      <c r="F2759" s="18"/>
      <c r="G2759" s="19" t="str">
        <f aca="true">IF(F2759="", "", DATEDIF(F2759, TODAY(), "Y"))</f>
        <v/>
      </c>
      <c r="H2759" s="28"/>
      <c r="I2759" s="28"/>
      <c r="J2759" s="24" t="str">
        <f aca="true">IF(ISBLANK(H2759), "", I2759-TODAY())</f>
        <v/>
      </c>
      <c r="K2759" s="24" t="str">
        <f aca="false" t="array" ref="K2759:K2759">IF(A2759&lt;&gt;"",IF(COUNTIF(A$996:A2760,"&lt;&gt;")=0,COUNTA(B$996:B2759),IFERROR(MATCH(TRUE(),INDEX((A$996:A2760&lt;&gt;""),0),0),COUNTA(B$996:B2759))),"")</f>
        <v/>
      </c>
      <c r="L2759" s="27"/>
    </row>
    <row r="2760" customFormat="false" ht="13.8" hidden="false" customHeight="false" outlineLevel="0" collapsed="false">
      <c r="A2760" s="16"/>
      <c r="B2760" s="16"/>
      <c r="C2760" s="26"/>
      <c r="D2760" s="26"/>
      <c r="E2760" s="16"/>
      <c r="F2760" s="18"/>
      <c r="G2760" s="19" t="str">
        <f aca="true">IF(F2760="", "", DATEDIF(F2760, TODAY(), "Y"))</f>
        <v/>
      </c>
      <c r="H2760" s="28"/>
      <c r="I2760" s="28"/>
      <c r="J2760" s="24" t="str">
        <f aca="true">IF(ISBLANK(H2760), "", I2760-TODAY())</f>
        <v/>
      </c>
      <c r="K2760" s="24" t="str">
        <f aca="false" t="array" ref="K2760:K2760">IF(A2760&lt;&gt;"",IF(COUNTIF(A$996:A2761,"&lt;&gt;")=0,COUNTA(B$996:B2760),IFERROR(MATCH(TRUE(),INDEX((A$996:A2761&lt;&gt;""),0),0),COUNTA(B$996:B2760))),"")</f>
        <v/>
      </c>
      <c r="L2760" s="27"/>
    </row>
    <row r="2761" customFormat="false" ht="13.8" hidden="false" customHeight="false" outlineLevel="0" collapsed="false">
      <c r="A2761" s="16"/>
      <c r="B2761" s="16"/>
      <c r="C2761" s="26"/>
      <c r="D2761" s="26"/>
      <c r="E2761" s="16"/>
      <c r="F2761" s="18"/>
      <c r="G2761" s="19" t="str">
        <f aca="true">IF(F2761="", "", DATEDIF(F2761, TODAY(), "Y"))</f>
        <v/>
      </c>
      <c r="H2761" s="28"/>
      <c r="I2761" s="28"/>
      <c r="J2761" s="24" t="str">
        <f aca="true">IF(ISBLANK(H2761), "", I2761-TODAY())</f>
        <v/>
      </c>
      <c r="K2761" s="24" t="str">
        <f aca="false" t="array" ref="K2761:K2761">IF(A2761&lt;&gt;"",IF(COUNTIF(A$996:A2762,"&lt;&gt;")=0,COUNTA(B$996:B2761),IFERROR(MATCH(TRUE(),INDEX((A$996:A2762&lt;&gt;""),0),0),COUNTA(B$996:B2761))),"")</f>
        <v/>
      </c>
      <c r="L2761" s="27"/>
    </row>
    <row r="2762" customFormat="false" ht="13.8" hidden="false" customHeight="false" outlineLevel="0" collapsed="false">
      <c r="A2762" s="16"/>
      <c r="B2762" s="16"/>
      <c r="C2762" s="26"/>
      <c r="D2762" s="26"/>
      <c r="E2762" s="16"/>
      <c r="F2762" s="18"/>
      <c r="G2762" s="19" t="str">
        <f aca="true">IF(F2762="", "", DATEDIF(F2762, TODAY(), "Y"))</f>
        <v/>
      </c>
      <c r="H2762" s="28"/>
      <c r="I2762" s="28"/>
      <c r="J2762" s="24" t="str">
        <f aca="true">IF(ISBLANK(H2762), "", I2762-TODAY())</f>
        <v/>
      </c>
      <c r="K2762" s="24" t="str">
        <f aca="false" t="array" ref="K2762:K2762">IF(A2762&lt;&gt;"",IF(COUNTIF(A$996:A2763,"&lt;&gt;")=0,COUNTA(B$996:B2762),IFERROR(MATCH(TRUE(),INDEX((A$996:A2763&lt;&gt;""),0),0),COUNTA(B$996:B2762))),"")</f>
        <v/>
      </c>
      <c r="L2762" s="27"/>
    </row>
    <row r="2763" customFormat="false" ht="13.8" hidden="false" customHeight="false" outlineLevel="0" collapsed="false">
      <c r="A2763" s="16"/>
      <c r="B2763" s="16"/>
      <c r="C2763" s="26"/>
      <c r="D2763" s="26"/>
      <c r="E2763" s="16"/>
      <c r="F2763" s="18"/>
      <c r="G2763" s="19" t="str">
        <f aca="true">IF(F2763="", "", DATEDIF(F2763, TODAY(), "Y"))</f>
        <v/>
      </c>
      <c r="H2763" s="28"/>
      <c r="I2763" s="28"/>
      <c r="J2763" s="24" t="str">
        <f aca="true">IF(ISBLANK(H2763), "", I2763-TODAY())</f>
        <v/>
      </c>
      <c r="K2763" s="24" t="str">
        <f aca="false" t="array" ref="K2763:K2763">IF(A2763&lt;&gt;"",IF(COUNTIF(A$996:A2764,"&lt;&gt;")=0,COUNTA(B$996:B2763),IFERROR(MATCH(TRUE(),INDEX((A$996:A2764&lt;&gt;""),0),0),COUNTA(B$996:B2763))),"")</f>
        <v/>
      </c>
      <c r="L2763" s="27"/>
    </row>
    <row r="2764" customFormat="false" ht="13.8" hidden="false" customHeight="false" outlineLevel="0" collapsed="false">
      <c r="A2764" s="16"/>
      <c r="B2764" s="16"/>
      <c r="C2764" s="26"/>
      <c r="D2764" s="26"/>
      <c r="E2764" s="16"/>
      <c r="F2764" s="18"/>
      <c r="G2764" s="19" t="str">
        <f aca="true">IF(F2764="", "", DATEDIF(F2764, TODAY(), "Y"))</f>
        <v/>
      </c>
      <c r="H2764" s="28"/>
      <c r="I2764" s="28"/>
      <c r="J2764" s="24" t="str">
        <f aca="true">IF(ISBLANK(H2764), "", I2764-TODAY())</f>
        <v/>
      </c>
      <c r="K2764" s="24" t="str">
        <f aca="false" t="array" ref="K2764:K2764">IF(A2764&lt;&gt;"",IF(COUNTIF(A$996:A2765,"&lt;&gt;")=0,COUNTA(B$996:B2764),IFERROR(MATCH(TRUE(),INDEX((A$996:A2765&lt;&gt;""),0),0),COUNTA(B$996:B2764))),"")</f>
        <v/>
      </c>
      <c r="L2764" s="27"/>
    </row>
    <row r="2765" customFormat="false" ht="13.8" hidden="false" customHeight="false" outlineLevel="0" collapsed="false">
      <c r="A2765" s="16"/>
      <c r="B2765" s="16"/>
      <c r="C2765" s="26"/>
      <c r="D2765" s="26"/>
      <c r="E2765" s="16"/>
      <c r="F2765" s="18"/>
      <c r="G2765" s="19" t="str">
        <f aca="true">IF(F2765="", "", DATEDIF(F2765, TODAY(), "Y"))</f>
        <v/>
      </c>
      <c r="H2765" s="28"/>
      <c r="I2765" s="28"/>
      <c r="J2765" s="24" t="str">
        <f aca="true">IF(ISBLANK(H2765), "", I2765-TODAY())</f>
        <v/>
      </c>
      <c r="K2765" s="24" t="str">
        <f aca="false" t="array" ref="K2765:K2765">IF(A2765&lt;&gt;"",IF(COUNTIF(A$996:A2766,"&lt;&gt;")=0,COUNTA(B$996:B2765),IFERROR(MATCH(TRUE(),INDEX((A$996:A2766&lt;&gt;""),0),0),COUNTA(B$996:B2765))),"")</f>
        <v/>
      </c>
      <c r="L2765" s="27"/>
    </row>
    <row r="2766" customFormat="false" ht="13.8" hidden="false" customHeight="false" outlineLevel="0" collapsed="false">
      <c r="A2766" s="16"/>
      <c r="B2766" s="16"/>
      <c r="C2766" s="26"/>
      <c r="D2766" s="26"/>
      <c r="E2766" s="16"/>
      <c r="F2766" s="18"/>
      <c r="G2766" s="19" t="str">
        <f aca="true">IF(F2766="", "", DATEDIF(F2766, TODAY(), "Y"))</f>
        <v/>
      </c>
      <c r="H2766" s="28"/>
      <c r="I2766" s="28"/>
      <c r="J2766" s="24" t="str">
        <f aca="true">IF(ISBLANK(H2766), "", I2766-TODAY())</f>
        <v/>
      </c>
      <c r="K2766" s="24" t="str">
        <f aca="false" t="array" ref="K2766:K2766">IF(A2766&lt;&gt;"",IF(COUNTIF(A$996:A2767,"&lt;&gt;")=0,COUNTA(B$996:B2766),IFERROR(MATCH(TRUE(),INDEX((A$996:A2767&lt;&gt;""),0),0),COUNTA(B$996:B2766))),"")</f>
        <v/>
      </c>
      <c r="L2766" s="27"/>
    </row>
    <row r="2767" customFormat="false" ht="13.8" hidden="false" customHeight="false" outlineLevel="0" collapsed="false">
      <c r="A2767" s="16"/>
      <c r="B2767" s="16"/>
      <c r="C2767" s="26"/>
      <c r="D2767" s="26"/>
      <c r="E2767" s="16"/>
      <c r="F2767" s="18"/>
      <c r="G2767" s="19" t="str">
        <f aca="true">IF(F2767="", "", DATEDIF(F2767, TODAY(), "Y"))</f>
        <v/>
      </c>
      <c r="H2767" s="28"/>
      <c r="I2767" s="28"/>
      <c r="J2767" s="24" t="str">
        <f aca="true">IF(ISBLANK(H2767), "", I2767-TODAY())</f>
        <v/>
      </c>
      <c r="K2767" s="24" t="str">
        <f aca="false" t="array" ref="K2767:K2767">IF(A2767&lt;&gt;"",IF(COUNTIF(A$996:A2768,"&lt;&gt;")=0,COUNTA(B$996:B2767),IFERROR(MATCH(TRUE(),INDEX((A$996:A2768&lt;&gt;""),0),0),COUNTA(B$996:B2767))),"")</f>
        <v/>
      </c>
      <c r="L2767" s="27"/>
    </row>
    <row r="2768" customFormat="false" ht="13.8" hidden="false" customHeight="false" outlineLevel="0" collapsed="false">
      <c r="A2768" s="16"/>
      <c r="B2768" s="16"/>
      <c r="C2768" s="26"/>
      <c r="D2768" s="26"/>
      <c r="E2768" s="16"/>
      <c r="F2768" s="18"/>
      <c r="G2768" s="19" t="str">
        <f aca="true">IF(F2768="", "", DATEDIF(F2768, TODAY(), "Y"))</f>
        <v/>
      </c>
      <c r="H2768" s="28"/>
      <c r="I2768" s="28"/>
      <c r="J2768" s="24" t="str">
        <f aca="true">IF(ISBLANK(H2768), "", I2768-TODAY())</f>
        <v/>
      </c>
      <c r="K2768" s="24" t="str">
        <f aca="false" t="array" ref="K2768:K2768">IF(A2768&lt;&gt;"",IF(COUNTIF(A$996:A2769,"&lt;&gt;")=0,COUNTA(B$996:B2768),IFERROR(MATCH(TRUE(),INDEX((A$996:A2769&lt;&gt;""),0),0),COUNTA(B$996:B2768))),"")</f>
        <v/>
      </c>
      <c r="L2768" s="27"/>
    </row>
    <row r="2769" customFormat="false" ht="13.8" hidden="false" customHeight="false" outlineLevel="0" collapsed="false">
      <c r="A2769" s="16"/>
      <c r="B2769" s="16"/>
      <c r="C2769" s="26"/>
      <c r="D2769" s="26"/>
      <c r="E2769" s="16"/>
      <c r="F2769" s="18"/>
      <c r="G2769" s="19" t="str">
        <f aca="true">IF(F2769="", "", DATEDIF(F2769, TODAY(), "Y"))</f>
        <v/>
      </c>
      <c r="H2769" s="28"/>
      <c r="I2769" s="28"/>
      <c r="J2769" s="24" t="str">
        <f aca="true">IF(ISBLANK(H2769), "", I2769-TODAY())</f>
        <v/>
      </c>
      <c r="K2769" s="24" t="str">
        <f aca="false" t="array" ref="K2769:K2769">IF(A2769&lt;&gt;"",IF(COUNTIF(A$996:A2770,"&lt;&gt;")=0,COUNTA(B$996:B2769),IFERROR(MATCH(TRUE(),INDEX((A$996:A2770&lt;&gt;""),0),0),COUNTA(B$996:B2769))),"")</f>
        <v/>
      </c>
      <c r="L2769" s="27"/>
    </row>
    <row r="2770" customFormat="false" ht="13.8" hidden="false" customHeight="false" outlineLevel="0" collapsed="false">
      <c r="A2770" s="16"/>
      <c r="B2770" s="16"/>
      <c r="C2770" s="26"/>
      <c r="D2770" s="26"/>
      <c r="E2770" s="16"/>
      <c r="F2770" s="18"/>
      <c r="G2770" s="19" t="str">
        <f aca="true">IF(F2770="", "", DATEDIF(F2770, TODAY(), "Y"))</f>
        <v/>
      </c>
      <c r="H2770" s="28"/>
      <c r="I2770" s="28"/>
      <c r="J2770" s="24" t="str">
        <f aca="true">IF(ISBLANK(H2770), "", I2770-TODAY())</f>
        <v/>
      </c>
      <c r="K2770" s="24" t="str">
        <f aca="false" t="array" ref="K2770:K2770">IF(A2770&lt;&gt;"",IF(COUNTIF(A$996:A2771,"&lt;&gt;")=0,COUNTA(B$996:B2770),IFERROR(MATCH(TRUE(),INDEX((A$996:A2771&lt;&gt;""),0),0),COUNTA(B$996:B2770))),"")</f>
        <v/>
      </c>
      <c r="L2770" s="27"/>
    </row>
    <row r="2771" customFormat="false" ht="13.8" hidden="false" customHeight="false" outlineLevel="0" collapsed="false">
      <c r="A2771" s="16"/>
      <c r="B2771" s="16"/>
      <c r="C2771" s="26"/>
      <c r="D2771" s="26"/>
      <c r="E2771" s="16"/>
      <c r="F2771" s="18"/>
      <c r="G2771" s="19" t="str">
        <f aca="true">IF(F2771="", "", DATEDIF(F2771, TODAY(), "Y"))</f>
        <v/>
      </c>
      <c r="H2771" s="28"/>
      <c r="I2771" s="28"/>
      <c r="J2771" s="24" t="str">
        <f aca="true">IF(ISBLANK(H2771), "", I2771-TODAY())</f>
        <v/>
      </c>
      <c r="K2771" s="24" t="str">
        <f aca="false" t="array" ref="K2771:K2771">IF(A2771&lt;&gt;"",IF(COUNTIF(A$996:A2772,"&lt;&gt;")=0,COUNTA(B$996:B2771),IFERROR(MATCH(TRUE(),INDEX((A$996:A2772&lt;&gt;""),0),0),COUNTA(B$996:B2771))),"")</f>
        <v/>
      </c>
      <c r="L2771" s="27"/>
    </row>
    <row r="2772" customFormat="false" ht="13.8" hidden="false" customHeight="false" outlineLevel="0" collapsed="false">
      <c r="A2772" s="16"/>
      <c r="B2772" s="16"/>
      <c r="C2772" s="26"/>
      <c r="D2772" s="26"/>
      <c r="E2772" s="16"/>
      <c r="F2772" s="18"/>
      <c r="G2772" s="19" t="str">
        <f aca="true">IF(F2772="", "", DATEDIF(F2772, TODAY(), "Y"))</f>
        <v/>
      </c>
      <c r="H2772" s="28"/>
      <c r="I2772" s="28"/>
      <c r="J2772" s="24" t="str">
        <f aca="true">IF(ISBLANK(H2772), "", I2772-TODAY())</f>
        <v/>
      </c>
      <c r="K2772" s="24" t="str">
        <f aca="false" t="array" ref="K2772:K2772">IF(A2772&lt;&gt;"",IF(COUNTIF(A$996:A2773,"&lt;&gt;")=0,COUNTA(B$996:B2772),IFERROR(MATCH(TRUE(),INDEX((A$996:A2773&lt;&gt;""),0),0),COUNTA(B$996:B2772))),"")</f>
        <v/>
      </c>
      <c r="L2772" s="27"/>
    </row>
    <row r="2773" customFormat="false" ht="13.8" hidden="false" customHeight="false" outlineLevel="0" collapsed="false">
      <c r="A2773" s="16"/>
      <c r="B2773" s="16"/>
      <c r="C2773" s="26"/>
      <c r="D2773" s="26"/>
      <c r="E2773" s="16"/>
      <c r="F2773" s="18"/>
      <c r="G2773" s="19" t="str">
        <f aca="true">IF(F2773="", "", DATEDIF(F2773, TODAY(), "Y"))</f>
        <v/>
      </c>
      <c r="H2773" s="28"/>
      <c r="I2773" s="28"/>
      <c r="J2773" s="24" t="str">
        <f aca="true">IF(ISBLANK(H2773), "", I2773-TODAY())</f>
        <v/>
      </c>
      <c r="K2773" s="24" t="str">
        <f aca="false" t="array" ref="K2773:K2773">IF(A2773&lt;&gt;"",IF(COUNTIF(A$996:A2774,"&lt;&gt;")=0,COUNTA(B$996:B2773),IFERROR(MATCH(TRUE(),INDEX((A$996:A2774&lt;&gt;""),0),0),COUNTA(B$996:B2773))),"")</f>
        <v/>
      </c>
      <c r="L2773" s="27"/>
    </row>
    <row r="2774" customFormat="false" ht="13.8" hidden="false" customHeight="false" outlineLevel="0" collapsed="false">
      <c r="A2774" s="16"/>
      <c r="B2774" s="16"/>
      <c r="C2774" s="26"/>
      <c r="D2774" s="26"/>
      <c r="E2774" s="16"/>
      <c r="F2774" s="18"/>
      <c r="G2774" s="19" t="str">
        <f aca="true">IF(F2774="", "", DATEDIF(F2774, TODAY(), "Y"))</f>
        <v/>
      </c>
      <c r="H2774" s="28"/>
      <c r="I2774" s="28"/>
      <c r="J2774" s="24" t="str">
        <f aca="true">IF(ISBLANK(H2774), "", I2774-TODAY())</f>
        <v/>
      </c>
      <c r="K2774" s="24" t="str">
        <f aca="false" t="array" ref="K2774:K2774">IF(A2774&lt;&gt;"",IF(COUNTIF(A$996:A2775,"&lt;&gt;")=0,COUNTA(B$996:B2774),IFERROR(MATCH(TRUE(),INDEX((A$996:A2775&lt;&gt;""),0),0),COUNTA(B$996:B2774))),"")</f>
        <v/>
      </c>
      <c r="L2774" s="27"/>
    </row>
    <row r="2775" customFormat="false" ht="13.8" hidden="false" customHeight="false" outlineLevel="0" collapsed="false">
      <c r="A2775" s="16"/>
      <c r="B2775" s="16"/>
      <c r="C2775" s="26"/>
      <c r="D2775" s="26"/>
      <c r="E2775" s="16"/>
      <c r="F2775" s="18"/>
      <c r="G2775" s="19" t="str">
        <f aca="true">IF(F2775="", "", DATEDIF(F2775, TODAY(), "Y"))</f>
        <v/>
      </c>
      <c r="H2775" s="28"/>
      <c r="I2775" s="28"/>
      <c r="J2775" s="24" t="str">
        <f aca="true">IF(ISBLANK(H2775), "", I2775-TODAY())</f>
        <v/>
      </c>
      <c r="K2775" s="24" t="str">
        <f aca="false" t="array" ref="K2775:K2775">IF(A2775&lt;&gt;"",IF(COUNTIF(A$996:A2776,"&lt;&gt;")=0,COUNTA(B$996:B2775),IFERROR(MATCH(TRUE(),INDEX((A$996:A2776&lt;&gt;""),0),0),COUNTA(B$996:B2775))),"")</f>
        <v/>
      </c>
      <c r="L2775" s="27"/>
    </row>
    <row r="2776" customFormat="false" ht="13.8" hidden="false" customHeight="false" outlineLevel="0" collapsed="false">
      <c r="A2776" s="16"/>
      <c r="B2776" s="16"/>
      <c r="C2776" s="26"/>
      <c r="D2776" s="26"/>
      <c r="E2776" s="16"/>
      <c r="F2776" s="18"/>
      <c r="G2776" s="19" t="str">
        <f aca="true">IF(F2776="", "", DATEDIF(F2776, TODAY(), "Y"))</f>
        <v/>
      </c>
      <c r="H2776" s="28"/>
      <c r="I2776" s="28"/>
      <c r="J2776" s="24" t="str">
        <f aca="true">IF(ISBLANK(H2776), "", I2776-TODAY())</f>
        <v/>
      </c>
      <c r="K2776" s="24" t="str">
        <f aca="false" t="array" ref="K2776:K2776">IF(A2776&lt;&gt;"",IF(COUNTIF(A$996:A2777,"&lt;&gt;")=0,COUNTA(B$996:B2776),IFERROR(MATCH(TRUE(),INDEX((A$996:A2777&lt;&gt;""),0),0),COUNTA(B$996:B2776))),"")</f>
        <v/>
      </c>
      <c r="L2776" s="27"/>
    </row>
    <row r="2777" customFormat="false" ht="13.8" hidden="false" customHeight="false" outlineLevel="0" collapsed="false">
      <c r="A2777" s="16"/>
      <c r="B2777" s="16"/>
      <c r="C2777" s="26"/>
      <c r="D2777" s="26"/>
      <c r="E2777" s="16"/>
      <c r="F2777" s="18"/>
      <c r="G2777" s="19" t="str">
        <f aca="true">IF(F2777="", "", DATEDIF(F2777, TODAY(), "Y"))</f>
        <v/>
      </c>
      <c r="H2777" s="28"/>
      <c r="I2777" s="28"/>
      <c r="J2777" s="24" t="str">
        <f aca="true">IF(ISBLANK(H2777), "", I2777-TODAY())</f>
        <v/>
      </c>
      <c r="K2777" s="24" t="str">
        <f aca="false" t="array" ref="K2777:K2777">IF(A2777&lt;&gt;"",IF(COUNTIF(A$996:A2778,"&lt;&gt;")=0,COUNTA(B$996:B2777),IFERROR(MATCH(TRUE(),INDEX((A$996:A2778&lt;&gt;""),0),0),COUNTA(B$996:B2777))),"")</f>
        <v/>
      </c>
      <c r="L2777" s="27"/>
    </row>
    <row r="2778" customFormat="false" ht="13.8" hidden="false" customHeight="false" outlineLevel="0" collapsed="false">
      <c r="A2778" s="16"/>
      <c r="B2778" s="16"/>
      <c r="C2778" s="26"/>
      <c r="D2778" s="26"/>
      <c r="E2778" s="16"/>
      <c r="F2778" s="18"/>
      <c r="G2778" s="19" t="str">
        <f aca="true">IF(F2778="", "", DATEDIF(F2778, TODAY(), "Y"))</f>
        <v/>
      </c>
      <c r="H2778" s="28"/>
      <c r="I2778" s="28"/>
      <c r="J2778" s="24" t="str">
        <f aca="true">IF(ISBLANK(H2778), "", I2778-TODAY())</f>
        <v/>
      </c>
      <c r="K2778" s="24" t="str">
        <f aca="false" t="array" ref="K2778:K2778">IF(A2778&lt;&gt;"",IF(COUNTIF(A$996:A2779,"&lt;&gt;")=0,COUNTA(B$996:B2778),IFERROR(MATCH(TRUE(),INDEX((A$996:A2779&lt;&gt;""),0),0),COUNTA(B$996:B2778))),"")</f>
        <v/>
      </c>
      <c r="L2778" s="27"/>
    </row>
    <row r="2779" customFormat="false" ht="13.8" hidden="false" customHeight="false" outlineLevel="0" collapsed="false">
      <c r="A2779" s="16"/>
      <c r="B2779" s="16"/>
      <c r="C2779" s="26"/>
      <c r="D2779" s="26"/>
      <c r="E2779" s="16"/>
      <c r="F2779" s="18"/>
      <c r="G2779" s="19" t="str">
        <f aca="true">IF(F2779="", "", DATEDIF(F2779, TODAY(), "Y"))</f>
        <v/>
      </c>
      <c r="H2779" s="28"/>
      <c r="I2779" s="28"/>
      <c r="J2779" s="24" t="str">
        <f aca="true">IF(ISBLANK(H2779), "", I2779-TODAY())</f>
        <v/>
      </c>
      <c r="K2779" s="24" t="str">
        <f aca="false" t="array" ref="K2779:K2779">IF(A2779&lt;&gt;"",IF(COUNTIF(A$996:A2780,"&lt;&gt;")=0,COUNTA(B$996:B2779),IFERROR(MATCH(TRUE(),INDEX((A$996:A2780&lt;&gt;""),0),0),COUNTA(B$996:B2779))),"")</f>
        <v/>
      </c>
      <c r="L2779" s="27"/>
    </row>
    <row r="2780" customFormat="false" ht="13.8" hidden="false" customHeight="false" outlineLevel="0" collapsed="false">
      <c r="A2780" s="16"/>
      <c r="B2780" s="16"/>
      <c r="C2780" s="26"/>
      <c r="D2780" s="26"/>
      <c r="E2780" s="16"/>
      <c r="F2780" s="18"/>
      <c r="G2780" s="19" t="str">
        <f aca="true">IF(F2780="", "", DATEDIF(F2780, TODAY(), "Y"))</f>
        <v/>
      </c>
      <c r="H2780" s="28"/>
      <c r="I2780" s="28"/>
      <c r="J2780" s="24" t="str">
        <f aca="true">IF(ISBLANK(H2780), "", I2780-TODAY())</f>
        <v/>
      </c>
      <c r="K2780" s="24" t="str">
        <f aca="false" t="array" ref="K2780:K2780">IF(A2780&lt;&gt;"",IF(COUNTIF(A$996:A2781,"&lt;&gt;")=0,COUNTA(B$996:B2780),IFERROR(MATCH(TRUE(),INDEX((A$996:A2781&lt;&gt;""),0),0),COUNTA(B$996:B2780))),"")</f>
        <v/>
      </c>
      <c r="L2780" s="27"/>
    </row>
    <row r="2781" customFormat="false" ht="13.8" hidden="false" customHeight="false" outlineLevel="0" collapsed="false">
      <c r="A2781" s="16"/>
      <c r="B2781" s="16"/>
      <c r="C2781" s="26"/>
      <c r="D2781" s="26"/>
      <c r="E2781" s="16"/>
      <c r="F2781" s="18"/>
      <c r="G2781" s="19" t="str">
        <f aca="true">IF(F2781="", "", DATEDIF(F2781, TODAY(), "Y"))</f>
        <v/>
      </c>
      <c r="H2781" s="28"/>
      <c r="I2781" s="28"/>
      <c r="J2781" s="24" t="str">
        <f aca="true">IF(ISBLANK(H2781), "", I2781-TODAY())</f>
        <v/>
      </c>
      <c r="K2781" s="24" t="str">
        <f aca="false" t="array" ref="K2781:K2781">IF(A2781&lt;&gt;"",IF(COUNTIF(A$996:A2782,"&lt;&gt;")=0,COUNTA(B$996:B2781),IFERROR(MATCH(TRUE(),INDEX((A$996:A2782&lt;&gt;""),0),0),COUNTA(B$996:B2781))),"")</f>
        <v/>
      </c>
      <c r="L2781" s="27"/>
    </row>
    <row r="2782" customFormat="false" ht="13.8" hidden="false" customHeight="false" outlineLevel="0" collapsed="false">
      <c r="A2782" s="16"/>
      <c r="B2782" s="16"/>
      <c r="C2782" s="26"/>
      <c r="D2782" s="26"/>
      <c r="E2782" s="16"/>
      <c r="F2782" s="18"/>
      <c r="G2782" s="19" t="str">
        <f aca="true">IF(F2782="", "", DATEDIF(F2782, TODAY(), "Y"))</f>
        <v/>
      </c>
      <c r="H2782" s="28"/>
      <c r="I2782" s="28"/>
      <c r="J2782" s="24" t="str">
        <f aca="true">IF(ISBLANK(H2782), "", I2782-TODAY())</f>
        <v/>
      </c>
      <c r="K2782" s="24" t="str">
        <f aca="false" t="array" ref="K2782:K2782">IF(A2782&lt;&gt;"",IF(COUNTIF(A$996:A2783,"&lt;&gt;")=0,COUNTA(B$996:B2782),IFERROR(MATCH(TRUE(),INDEX((A$996:A2783&lt;&gt;""),0),0),COUNTA(B$996:B2782))),"")</f>
        <v/>
      </c>
      <c r="L2782" s="27"/>
    </row>
    <row r="2783" customFormat="false" ht="13.8" hidden="false" customHeight="false" outlineLevel="0" collapsed="false">
      <c r="A2783" s="16"/>
      <c r="B2783" s="16"/>
      <c r="C2783" s="26"/>
      <c r="D2783" s="26"/>
      <c r="E2783" s="16"/>
      <c r="F2783" s="18"/>
      <c r="G2783" s="19" t="str">
        <f aca="true">IF(F2783="", "", DATEDIF(F2783, TODAY(), "Y"))</f>
        <v/>
      </c>
      <c r="H2783" s="28"/>
      <c r="I2783" s="28"/>
      <c r="J2783" s="24" t="str">
        <f aca="true">IF(ISBLANK(H2783), "", I2783-TODAY())</f>
        <v/>
      </c>
      <c r="K2783" s="24" t="str">
        <f aca="false" t="array" ref="K2783:K2783">IF(A2783&lt;&gt;"",IF(COUNTIF(A$996:A2784,"&lt;&gt;")=0,COUNTA(B$996:B2783),IFERROR(MATCH(TRUE(),INDEX((A$996:A2784&lt;&gt;""),0),0),COUNTA(B$996:B2783))),"")</f>
        <v/>
      </c>
      <c r="L2783" s="27"/>
    </row>
    <row r="2784" customFormat="false" ht="13.8" hidden="false" customHeight="false" outlineLevel="0" collapsed="false">
      <c r="A2784" s="16"/>
      <c r="B2784" s="16"/>
      <c r="C2784" s="26"/>
      <c r="D2784" s="26"/>
      <c r="E2784" s="16"/>
      <c r="F2784" s="18"/>
      <c r="G2784" s="19" t="str">
        <f aca="true">IF(F2784="", "", DATEDIF(F2784, TODAY(), "Y"))</f>
        <v/>
      </c>
      <c r="H2784" s="28"/>
      <c r="I2784" s="28"/>
      <c r="J2784" s="24" t="str">
        <f aca="true">IF(ISBLANK(H2784), "", I2784-TODAY())</f>
        <v/>
      </c>
      <c r="K2784" s="24" t="str">
        <f aca="false" t="array" ref="K2784:K2784">IF(A2784&lt;&gt;"",IF(COUNTIF(A$996:A2785,"&lt;&gt;")=0,COUNTA(B$996:B2784),IFERROR(MATCH(TRUE(),INDEX((A$996:A2785&lt;&gt;""),0),0),COUNTA(B$996:B2784))),"")</f>
        <v/>
      </c>
      <c r="L2784" s="27"/>
    </row>
    <row r="2785" customFormat="false" ht="13.8" hidden="false" customHeight="false" outlineLevel="0" collapsed="false">
      <c r="A2785" s="16"/>
      <c r="B2785" s="16"/>
      <c r="C2785" s="26"/>
      <c r="D2785" s="26"/>
      <c r="E2785" s="16"/>
      <c r="F2785" s="18"/>
      <c r="G2785" s="19" t="str">
        <f aca="true">IF(F2785="", "", DATEDIF(F2785, TODAY(), "Y"))</f>
        <v/>
      </c>
      <c r="H2785" s="28"/>
      <c r="I2785" s="28"/>
      <c r="J2785" s="24" t="str">
        <f aca="true">IF(ISBLANK(H2785), "", I2785-TODAY())</f>
        <v/>
      </c>
      <c r="K2785" s="24" t="str">
        <f aca="false" t="array" ref="K2785:K2785">IF(A2785&lt;&gt;"",IF(COUNTIF(A$996:A2786,"&lt;&gt;")=0,COUNTA(B$996:B2785),IFERROR(MATCH(TRUE(),INDEX((A$996:A2786&lt;&gt;""),0),0),COUNTA(B$996:B2785))),"")</f>
        <v/>
      </c>
      <c r="L2785" s="27"/>
    </row>
    <row r="2786" customFormat="false" ht="13.8" hidden="false" customHeight="false" outlineLevel="0" collapsed="false">
      <c r="A2786" s="16"/>
      <c r="B2786" s="16"/>
      <c r="C2786" s="26"/>
      <c r="D2786" s="26"/>
      <c r="E2786" s="16"/>
      <c r="F2786" s="18"/>
      <c r="G2786" s="19" t="str">
        <f aca="true">IF(F2786="", "", DATEDIF(F2786, TODAY(), "Y"))</f>
        <v/>
      </c>
      <c r="H2786" s="28"/>
      <c r="I2786" s="28"/>
      <c r="J2786" s="24" t="str">
        <f aca="true">IF(ISBLANK(H2786), "", I2786-TODAY())</f>
        <v/>
      </c>
      <c r="K2786" s="24" t="str">
        <f aca="false" t="array" ref="K2786:K2786">IF(A2786&lt;&gt;"",IF(COUNTIF(A$996:A2787,"&lt;&gt;")=0,COUNTA(B$996:B2786),IFERROR(MATCH(TRUE(),INDEX((A$996:A2787&lt;&gt;""),0),0),COUNTA(B$996:B2786))),"")</f>
        <v/>
      </c>
      <c r="L2786" s="27"/>
    </row>
    <row r="2787" customFormat="false" ht="13.8" hidden="false" customHeight="false" outlineLevel="0" collapsed="false">
      <c r="A2787" s="16"/>
      <c r="B2787" s="16"/>
      <c r="C2787" s="26"/>
      <c r="D2787" s="26"/>
      <c r="E2787" s="16"/>
      <c r="F2787" s="18"/>
      <c r="G2787" s="19" t="str">
        <f aca="true">IF(F2787="", "", DATEDIF(F2787, TODAY(), "Y"))</f>
        <v/>
      </c>
      <c r="H2787" s="28"/>
      <c r="I2787" s="28"/>
      <c r="J2787" s="24" t="str">
        <f aca="true">IF(ISBLANK(H2787), "", I2787-TODAY())</f>
        <v/>
      </c>
      <c r="K2787" s="24" t="str">
        <f aca="false" t="array" ref="K2787:K2787">IF(A2787&lt;&gt;"",IF(COUNTIF(A$996:A2788,"&lt;&gt;")=0,COUNTA(B$996:B2787),IFERROR(MATCH(TRUE(),INDEX((A$996:A2788&lt;&gt;""),0),0),COUNTA(B$996:B2787))),"")</f>
        <v/>
      </c>
      <c r="L2787" s="27"/>
    </row>
    <row r="2788" customFormat="false" ht="13.8" hidden="false" customHeight="false" outlineLevel="0" collapsed="false">
      <c r="A2788" s="16"/>
      <c r="B2788" s="16"/>
      <c r="C2788" s="26"/>
      <c r="D2788" s="26"/>
      <c r="E2788" s="16"/>
      <c r="F2788" s="18"/>
      <c r="G2788" s="19" t="str">
        <f aca="true">IF(F2788="", "", DATEDIF(F2788, TODAY(), "Y"))</f>
        <v/>
      </c>
      <c r="H2788" s="28"/>
      <c r="I2788" s="28"/>
      <c r="J2788" s="24" t="str">
        <f aca="true">IF(ISBLANK(H2788), "", I2788-TODAY())</f>
        <v/>
      </c>
      <c r="K2788" s="24" t="str">
        <f aca="false" t="array" ref="K2788:K2788">IF(A2788&lt;&gt;"",IF(COUNTIF(A$996:A2789,"&lt;&gt;")=0,COUNTA(B$996:B2788),IFERROR(MATCH(TRUE(),INDEX((A$996:A2789&lt;&gt;""),0),0),COUNTA(B$996:B2788))),"")</f>
        <v/>
      </c>
      <c r="L2788" s="27"/>
    </row>
    <row r="2789" customFormat="false" ht="13.8" hidden="false" customHeight="false" outlineLevel="0" collapsed="false">
      <c r="A2789" s="16"/>
      <c r="B2789" s="16"/>
      <c r="C2789" s="26"/>
      <c r="D2789" s="26"/>
      <c r="E2789" s="16"/>
      <c r="F2789" s="18"/>
      <c r="G2789" s="19" t="str">
        <f aca="true">IF(F2789="", "", DATEDIF(F2789, TODAY(), "Y"))</f>
        <v/>
      </c>
      <c r="H2789" s="28"/>
      <c r="I2789" s="28"/>
      <c r="J2789" s="24" t="str">
        <f aca="true">IF(ISBLANK(H2789), "", I2789-TODAY())</f>
        <v/>
      </c>
      <c r="K2789" s="24" t="str">
        <f aca="false" t="array" ref="K2789:K2789">IF(A2789&lt;&gt;"",IF(COUNTIF(A$996:A2790,"&lt;&gt;")=0,COUNTA(B$996:B2789),IFERROR(MATCH(TRUE(),INDEX((A$996:A2790&lt;&gt;""),0),0),COUNTA(B$996:B2789))),"")</f>
        <v/>
      </c>
      <c r="L2789" s="27"/>
    </row>
    <row r="2790" customFormat="false" ht="13.8" hidden="false" customHeight="false" outlineLevel="0" collapsed="false">
      <c r="A2790" s="16"/>
      <c r="B2790" s="16"/>
      <c r="C2790" s="26"/>
      <c r="D2790" s="26"/>
      <c r="E2790" s="16"/>
      <c r="F2790" s="18"/>
      <c r="G2790" s="19" t="str">
        <f aca="true">IF(F2790="", "", DATEDIF(F2790, TODAY(), "Y"))</f>
        <v/>
      </c>
      <c r="H2790" s="28"/>
      <c r="I2790" s="28"/>
      <c r="J2790" s="24" t="str">
        <f aca="true">IF(ISBLANK(H2790), "", I2790-TODAY())</f>
        <v/>
      </c>
      <c r="K2790" s="24" t="str">
        <f aca="false" t="array" ref="K2790:K2790">IF(A2790&lt;&gt;"",IF(COUNTIF(A$996:A2791,"&lt;&gt;")=0,COUNTA(B$996:B2790),IFERROR(MATCH(TRUE(),INDEX((A$996:A2791&lt;&gt;""),0),0),COUNTA(B$996:B2790))),"")</f>
        <v/>
      </c>
      <c r="L2790" s="27"/>
    </row>
    <row r="2791" customFormat="false" ht="13.8" hidden="false" customHeight="false" outlineLevel="0" collapsed="false">
      <c r="A2791" s="16"/>
      <c r="B2791" s="16"/>
      <c r="C2791" s="26"/>
      <c r="D2791" s="26"/>
      <c r="E2791" s="16"/>
      <c r="F2791" s="18"/>
      <c r="G2791" s="19" t="str">
        <f aca="true">IF(F2791="", "", DATEDIF(F2791, TODAY(), "Y"))</f>
        <v/>
      </c>
      <c r="H2791" s="28"/>
      <c r="I2791" s="28"/>
      <c r="J2791" s="24" t="str">
        <f aca="true">IF(ISBLANK(H2791), "", I2791-TODAY())</f>
        <v/>
      </c>
      <c r="K2791" s="24" t="str">
        <f aca="false" t="array" ref="K2791:K2791">IF(A2791&lt;&gt;"",IF(COUNTIF(A$996:A2792,"&lt;&gt;")=0,COUNTA(B$996:B2791),IFERROR(MATCH(TRUE(),INDEX((A$996:A2792&lt;&gt;""),0),0),COUNTA(B$996:B2791))),"")</f>
        <v/>
      </c>
      <c r="L2791" s="27"/>
    </row>
    <row r="2792" customFormat="false" ht="13.8" hidden="false" customHeight="false" outlineLevel="0" collapsed="false">
      <c r="A2792" s="16"/>
      <c r="B2792" s="16"/>
      <c r="C2792" s="26"/>
      <c r="D2792" s="26"/>
      <c r="E2792" s="16"/>
      <c r="F2792" s="18"/>
      <c r="G2792" s="19" t="str">
        <f aca="true">IF(F2792="", "", DATEDIF(F2792, TODAY(), "Y"))</f>
        <v/>
      </c>
      <c r="H2792" s="28"/>
      <c r="I2792" s="28"/>
      <c r="J2792" s="24" t="str">
        <f aca="true">IF(ISBLANK(H2792), "", I2792-TODAY())</f>
        <v/>
      </c>
      <c r="K2792" s="24" t="str">
        <f aca="false" t="array" ref="K2792:K2792">IF(A2792&lt;&gt;"",IF(COUNTIF(A$996:A2793,"&lt;&gt;")=0,COUNTA(B$996:B2792),IFERROR(MATCH(TRUE(),INDEX((A$996:A2793&lt;&gt;""),0),0),COUNTA(B$996:B2792))),"")</f>
        <v/>
      </c>
      <c r="L2792" s="27"/>
    </row>
    <row r="2793" customFormat="false" ht="13.8" hidden="false" customHeight="false" outlineLevel="0" collapsed="false">
      <c r="A2793" s="16"/>
      <c r="B2793" s="16"/>
      <c r="C2793" s="26"/>
      <c r="D2793" s="26"/>
      <c r="E2793" s="16"/>
      <c r="F2793" s="18"/>
      <c r="G2793" s="19" t="str">
        <f aca="true">IF(F2793="", "", DATEDIF(F2793, TODAY(), "Y"))</f>
        <v/>
      </c>
      <c r="H2793" s="28"/>
      <c r="I2793" s="28"/>
      <c r="J2793" s="24" t="str">
        <f aca="true">IF(ISBLANK(H2793), "", I2793-TODAY())</f>
        <v/>
      </c>
      <c r="K2793" s="24" t="str">
        <f aca="false" t="array" ref="K2793:K2793">IF(A2793&lt;&gt;"",IF(COUNTIF(A$996:A2794,"&lt;&gt;")=0,COUNTA(B$996:B2793),IFERROR(MATCH(TRUE(),INDEX((A$996:A2794&lt;&gt;""),0),0),COUNTA(B$996:B2793))),"")</f>
        <v/>
      </c>
      <c r="L2793" s="27"/>
    </row>
    <row r="2794" customFormat="false" ht="13.8" hidden="false" customHeight="false" outlineLevel="0" collapsed="false">
      <c r="A2794" s="16"/>
      <c r="B2794" s="16"/>
      <c r="C2794" s="26"/>
      <c r="D2794" s="26"/>
      <c r="E2794" s="16"/>
      <c r="F2794" s="18"/>
      <c r="G2794" s="19" t="str">
        <f aca="true">IF(F2794="", "", DATEDIF(F2794, TODAY(), "Y"))</f>
        <v/>
      </c>
      <c r="H2794" s="28"/>
      <c r="I2794" s="28"/>
      <c r="J2794" s="24" t="str">
        <f aca="true">IF(ISBLANK(H2794), "", I2794-TODAY())</f>
        <v/>
      </c>
      <c r="K2794" s="24" t="str">
        <f aca="false" t="array" ref="K2794:K2794">IF(A2794&lt;&gt;"",IF(COUNTIF(A$996:A2795,"&lt;&gt;")=0,COUNTA(B$996:B2794),IFERROR(MATCH(TRUE(),INDEX((A$996:A2795&lt;&gt;""),0),0),COUNTA(B$996:B2794))),"")</f>
        <v/>
      </c>
      <c r="L2794" s="27"/>
    </row>
    <row r="2795" customFormat="false" ht="13.8" hidden="false" customHeight="false" outlineLevel="0" collapsed="false">
      <c r="A2795" s="16"/>
      <c r="B2795" s="16"/>
      <c r="C2795" s="26"/>
      <c r="D2795" s="26"/>
      <c r="E2795" s="16"/>
      <c r="F2795" s="18"/>
      <c r="G2795" s="19" t="str">
        <f aca="true">IF(F2795="", "", DATEDIF(F2795, TODAY(), "Y"))</f>
        <v/>
      </c>
      <c r="H2795" s="28"/>
      <c r="I2795" s="28"/>
      <c r="J2795" s="24" t="str">
        <f aca="true">IF(ISBLANK(H2795), "", I2795-TODAY())</f>
        <v/>
      </c>
      <c r="K2795" s="24" t="str">
        <f aca="false" t="array" ref="K2795:K2795">IF(A2795&lt;&gt;"",IF(COUNTIF(A$996:A2796,"&lt;&gt;")=0,COUNTA(B$996:B2795),IFERROR(MATCH(TRUE(),INDEX((A$996:A2796&lt;&gt;""),0),0),COUNTA(B$996:B2795))),"")</f>
        <v/>
      </c>
      <c r="L2795" s="27"/>
    </row>
    <row r="2796" customFormat="false" ht="13.8" hidden="false" customHeight="false" outlineLevel="0" collapsed="false">
      <c r="A2796" s="16"/>
      <c r="B2796" s="16"/>
      <c r="C2796" s="26"/>
      <c r="D2796" s="26"/>
      <c r="E2796" s="16"/>
      <c r="F2796" s="18"/>
      <c r="G2796" s="19" t="str">
        <f aca="true">IF(F2796="", "", DATEDIF(F2796, TODAY(), "Y"))</f>
        <v/>
      </c>
      <c r="H2796" s="28"/>
      <c r="I2796" s="28"/>
      <c r="J2796" s="24" t="str">
        <f aca="true">IF(ISBLANK(H2796), "", I2796-TODAY())</f>
        <v/>
      </c>
      <c r="K2796" s="24" t="str">
        <f aca="false" t="array" ref="K2796:K2796">IF(A2796&lt;&gt;"",IF(COUNTIF(A$996:A2797,"&lt;&gt;")=0,COUNTA(B$996:B2796),IFERROR(MATCH(TRUE(),INDEX((A$996:A2797&lt;&gt;""),0),0),COUNTA(B$996:B2796))),"")</f>
        <v/>
      </c>
      <c r="L2796" s="27"/>
    </row>
    <row r="2797" customFormat="false" ht="13.8" hidden="false" customHeight="false" outlineLevel="0" collapsed="false">
      <c r="A2797" s="16"/>
      <c r="B2797" s="16"/>
      <c r="C2797" s="26"/>
      <c r="D2797" s="26"/>
      <c r="E2797" s="16"/>
      <c r="F2797" s="18"/>
      <c r="G2797" s="19" t="str">
        <f aca="true">IF(F2797="", "", DATEDIF(F2797, TODAY(), "Y"))</f>
        <v/>
      </c>
      <c r="H2797" s="28"/>
      <c r="I2797" s="28"/>
      <c r="J2797" s="24" t="str">
        <f aca="true">IF(ISBLANK(H2797), "", I2797-TODAY())</f>
        <v/>
      </c>
      <c r="K2797" s="24" t="str">
        <f aca="false" t="array" ref="K2797:K2797">IF(A2797&lt;&gt;"",IF(COUNTIF(A$996:A2798,"&lt;&gt;")=0,COUNTA(B$996:B2797),IFERROR(MATCH(TRUE(),INDEX((A$996:A2798&lt;&gt;""),0),0),COUNTA(B$996:B2797))),"")</f>
        <v/>
      </c>
      <c r="L2797" s="27"/>
    </row>
    <row r="2798" customFormat="false" ht="13.8" hidden="false" customHeight="false" outlineLevel="0" collapsed="false">
      <c r="A2798" s="16"/>
      <c r="B2798" s="16"/>
      <c r="C2798" s="26"/>
      <c r="D2798" s="26"/>
      <c r="E2798" s="16"/>
      <c r="F2798" s="18"/>
      <c r="G2798" s="19" t="str">
        <f aca="true">IF(F2798="", "", DATEDIF(F2798, TODAY(), "Y"))</f>
        <v/>
      </c>
      <c r="H2798" s="28"/>
      <c r="I2798" s="28"/>
      <c r="J2798" s="24" t="str">
        <f aca="true">IF(ISBLANK(H2798), "", I2798-TODAY())</f>
        <v/>
      </c>
      <c r="K2798" s="24" t="str">
        <f aca="false" t="array" ref="K2798:K2798">IF(A2798&lt;&gt;"",IF(COUNTIF(A$996:A2799,"&lt;&gt;")=0,COUNTA(B$996:B2798),IFERROR(MATCH(TRUE(),INDEX((A$996:A2799&lt;&gt;""),0),0),COUNTA(B$996:B2798))),"")</f>
        <v/>
      </c>
      <c r="L2798" s="27"/>
    </row>
    <row r="2799" customFormat="false" ht="13.8" hidden="false" customHeight="false" outlineLevel="0" collapsed="false">
      <c r="A2799" s="16"/>
      <c r="B2799" s="16"/>
      <c r="C2799" s="26"/>
      <c r="D2799" s="26"/>
      <c r="E2799" s="16"/>
      <c r="F2799" s="18"/>
      <c r="G2799" s="19" t="str">
        <f aca="true">IF(F2799="", "", DATEDIF(F2799, TODAY(), "Y"))</f>
        <v/>
      </c>
      <c r="H2799" s="28"/>
      <c r="I2799" s="28"/>
      <c r="J2799" s="24" t="str">
        <f aca="true">IF(ISBLANK(H2799), "", I2799-TODAY())</f>
        <v/>
      </c>
      <c r="K2799" s="24" t="str">
        <f aca="false" t="array" ref="K2799:K2799">IF(A2799&lt;&gt;"",IF(COUNTIF(A$996:A2800,"&lt;&gt;")=0,COUNTA(B$996:B2799),IFERROR(MATCH(TRUE(),INDEX((A$996:A2800&lt;&gt;""),0),0),COUNTA(B$996:B2799))),"")</f>
        <v/>
      </c>
      <c r="L2799" s="27"/>
    </row>
    <row r="2800" customFormat="false" ht="13.8" hidden="false" customHeight="false" outlineLevel="0" collapsed="false">
      <c r="A2800" s="16"/>
      <c r="B2800" s="16"/>
      <c r="C2800" s="26"/>
      <c r="D2800" s="26"/>
      <c r="E2800" s="16"/>
      <c r="F2800" s="18"/>
      <c r="G2800" s="19" t="str">
        <f aca="true">IF(F2800="", "", DATEDIF(F2800, TODAY(), "Y"))</f>
        <v/>
      </c>
      <c r="H2800" s="28"/>
      <c r="I2800" s="28"/>
      <c r="J2800" s="24" t="str">
        <f aca="true">IF(ISBLANK(H2800), "", I2800-TODAY())</f>
        <v/>
      </c>
      <c r="K2800" s="24" t="str">
        <f aca="false" t="array" ref="K2800:K2800">IF(A2800&lt;&gt;"",IF(COUNTIF(A$996:A2801,"&lt;&gt;")=0,COUNTA(B$996:B2800),IFERROR(MATCH(TRUE(),INDEX((A$996:A2801&lt;&gt;""),0),0),COUNTA(B$996:B2800))),"")</f>
        <v/>
      </c>
      <c r="L2800" s="27"/>
    </row>
    <row r="2801" customFormat="false" ht="13.8" hidden="false" customHeight="false" outlineLevel="0" collapsed="false">
      <c r="A2801" s="16"/>
      <c r="B2801" s="16"/>
      <c r="C2801" s="26"/>
      <c r="D2801" s="26"/>
      <c r="E2801" s="16"/>
      <c r="F2801" s="18"/>
      <c r="G2801" s="19" t="str">
        <f aca="true">IF(F2801="", "", DATEDIF(F2801, TODAY(), "Y"))</f>
        <v/>
      </c>
      <c r="H2801" s="28"/>
      <c r="I2801" s="28"/>
      <c r="J2801" s="24" t="str">
        <f aca="true">IF(ISBLANK(H2801), "", I2801-TODAY())</f>
        <v/>
      </c>
      <c r="K2801" s="24" t="str">
        <f aca="false" t="array" ref="K2801:K2801">IF(A2801&lt;&gt;"",IF(COUNTIF(A$996:A2802,"&lt;&gt;")=0,COUNTA(B$996:B2801),IFERROR(MATCH(TRUE(),INDEX((A$996:A2802&lt;&gt;""),0),0),COUNTA(B$996:B2801))),"")</f>
        <v/>
      </c>
      <c r="L2801" s="27"/>
    </row>
    <row r="2802" customFormat="false" ht="13.8" hidden="false" customHeight="false" outlineLevel="0" collapsed="false">
      <c r="A2802" s="16"/>
      <c r="B2802" s="16"/>
      <c r="C2802" s="26"/>
      <c r="D2802" s="26"/>
      <c r="E2802" s="16"/>
      <c r="F2802" s="18"/>
      <c r="G2802" s="19" t="str">
        <f aca="true">IF(F2802="", "", DATEDIF(F2802, TODAY(), "Y"))</f>
        <v/>
      </c>
      <c r="H2802" s="28"/>
      <c r="I2802" s="28"/>
      <c r="J2802" s="24" t="str">
        <f aca="true">IF(ISBLANK(H2802), "", I2802-TODAY())</f>
        <v/>
      </c>
      <c r="K2802" s="24" t="str">
        <f aca="false" t="array" ref="K2802:K2802">IF(A2802&lt;&gt;"",IF(COUNTIF(A$996:A2803,"&lt;&gt;")=0,COUNTA(B$996:B2802),IFERROR(MATCH(TRUE(),INDEX((A$996:A2803&lt;&gt;""),0),0),COUNTA(B$996:B2802))),"")</f>
        <v/>
      </c>
      <c r="L2802" s="27"/>
    </row>
    <row r="2803" customFormat="false" ht="13.8" hidden="false" customHeight="false" outlineLevel="0" collapsed="false">
      <c r="A2803" s="16"/>
      <c r="B2803" s="16"/>
      <c r="C2803" s="26"/>
      <c r="D2803" s="26"/>
      <c r="E2803" s="16"/>
      <c r="F2803" s="18"/>
      <c r="G2803" s="19" t="str">
        <f aca="true">IF(F2803="", "", DATEDIF(F2803, TODAY(), "Y"))</f>
        <v/>
      </c>
      <c r="H2803" s="28"/>
      <c r="I2803" s="28"/>
      <c r="J2803" s="24" t="str">
        <f aca="true">IF(ISBLANK(H2803), "", I2803-TODAY())</f>
        <v/>
      </c>
      <c r="K2803" s="24" t="str">
        <f aca="false" t="array" ref="K2803:K2803">IF(A2803&lt;&gt;"",IF(COUNTIF(A$996:A2804,"&lt;&gt;")=0,COUNTA(B$996:B2803),IFERROR(MATCH(TRUE(),INDEX((A$996:A2804&lt;&gt;""),0),0),COUNTA(B$996:B2803))),"")</f>
        <v/>
      </c>
      <c r="L2803" s="27"/>
    </row>
    <row r="2804" customFormat="false" ht="13.8" hidden="false" customHeight="false" outlineLevel="0" collapsed="false">
      <c r="A2804" s="16"/>
      <c r="B2804" s="16"/>
      <c r="C2804" s="26"/>
      <c r="D2804" s="26"/>
      <c r="E2804" s="16"/>
      <c r="F2804" s="18"/>
      <c r="G2804" s="19" t="str">
        <f aca="true">IF(F2804="", "", DATEDIF(F2804, TODAY(), "Y"))</f>
        <v/>
      </c>
      <c r="H2804" s="28"/>
      <c r="I2804" s="28"/>
      <c r="J2804" s="24" t="str">
        <f aca="true">IF(ISBLANK(H2804), "", I2804-TODAY())</f>
        <v/>
      </c>
      <c r="K2804" s="24" t="str">
        <f aca="false" t="array" ref="K2804:K2804">IF(A2804&lt;&gt;"",IF(COUNTIF(A$996:A2805,"&lt;&gt;")=0,COUNTA(B$996:B2804),IFERROR(MATCH(TRUE(),INDEX((A$996:A2805&lt;&gt;""),0),0),COUNTA(B$996:B2804))),"")</f>
        <v/>
      </c>
      <c r="L2804" s="27"/>
    </row>
    <row r="2805" customFormat="false" ht="13.8" hidden="false" customHeight="false" outlineLevel="0" collapsed="false">
      <c r="A2805" s="16"/>
      <c r="B2805" s="16"/>
      <c r="C2805" s="26"/>
      <c r="D2805" s="26"/>
      <c r="E2805" s="16"/>
      <c r="F2805" s="18"/>
      <c r="G2805" s="19" t="str">
        <f aca="true">IF(F2805="", "", DATEDIF(F2805, TODAY(), "Y"))</f>
        <v/>
      </c>
      <c r="H2805" s="28"/>
      <c r="I2805" s="28"/>
      <c r="J2805" s="24" t="str">
        <f aca="true">IF(ISBLANK(H2805), "", I2805-TODAY())</f>
        <v/>
      </c>
      <c r="K2805" s="24" t="str">
        <f aca="false" t="array" ref="K2805:K2805">IF(A2805&lt;&gt;"",IF(COUNTIF(A$996:A2806,"&lt;&gt;")=0,COUNTA(B$996:B2805),IFERROR(MATCH(TRUE(),INDEX((A$996:A2806&lt;&gt;""),0),0),COUNTA(B$996:B2805))),"")</f>
        <v/>
      </c>
      <c r="L2805" s="27"/>
    </row>
    <row r="2806" customFormat="false" ht="13.8" hidden="false" customHeight="false" outlineLevel="0" collapsed="false">
      <c r="A2806" s="16"/>
      <c r="B2806" s="16"/>
      <c r="C2806" s="26"/>
      <c r="D2806" s="26"/>
      <c r="E2806" s="16"/>
      <c r="F2806" s="18"/>
      <c r="G2806" s="19" t="str">
        <f aca="true">IF(F2806="", "", DATEDIF(F2806, TODAY(), "Y"))</f>
        <v/>
      </c>
      <c r="H2806" s="28"/>
      <c r="I2806" s="28"/>
      <c r="J2806" s="24" t="str">
        <f aca="true">IF(ISBLANK(H2806), "", I2806-TODAY())</f>
        <v/>
      </c>
      <c r="K2806" s="24" t="str">
        <f aca="false" t="array" ref="K2806:K2806">IF(A2806&lt;&gt;"",IF(COUNTIF(A$996:A2807,"&lt;&gt;")=0,COUNTA(B$996:B2806),IFERROR(MATCH(TRUE(),INDEX((A$996:A2807&lt;&gt;""),0),0),COUNTA(B$996:B2806))),"")</f>
        <v/>
      </c>
      <c r="L2806" s="27"/>
    </row>
    <row r="2807" customFormat="false" ht="13.8" hidden="false" customHeight="false" outlineLevel="0" collapsed="false">
      <c r="A2807" s="16"/>
      <c r="B2807" s="16"/>
      <c r="C2807" s="26"/>
      <c r="D2807" s="26"/>
      <c r="E2807" s="16"/>
      <c r="F2807" s="18"/>
      <c r="G2807" s="19" t="str">
        <f aca="true">IF(F2807="", "", DATEDIF(F2807, TODAY(), "Y"))</f>
        <v/>
      </c>
      <c r="H2807" s="28"/>
      <c r="I2807" s="28"/>
      <c r="J2807" s="24" t="str">
        <f aca="true">IF(ISBLANK(H2807), "", I2807-TODAY())</f>
        <v/>
      </c>
      <c r="K2807" s="24" t="str">
        <f aca="false" t="array" ref="K2807:K2807">IF(A2807&lt;&gt;"",IF(COUNTIF(A$996:A2808,"&lt;&gt;")=0,COUNTA(B$996:B2807),IFERROR(MATCH(TRUE(),INDEX((A$996:A2808&lt;&gt;""),0),0),COUNTA(B$996:B2807))),"")</f>
        <v/>
      </c>
      <c r="L2807" s="27"/>
    </row>
    <row r="2808" customFormat="false" ht="13.8" hidden="false" customHeight="false" outlineLevel="0" collapsed="false">
      <c r="A2808" s="16"/>
      <c r="B2808" s="16"/>
      <c r="C2808" s="26"/>
      <c r="D2808" s="26"/>
      <c r="E2808" s="16"/>
      <c r="F2808" s="18"/>
      <c r="G2808" s="19" t="str">
        <f aca="true">IF(F2808="", "", DATEDIF(F2808, TODAY(), "Y"))</f>
        <v/>
      </c>
      <c r="H2808" s="28"/>
      <c r="I2808" s="28"/>
      <c r="J2808" s="24" t="str">
        <f aca="true">IF(ISBLANK(H2808), "", I2808-TODAY())</f>
        <v/>
      </c>
      <c r="K2808" s="24" t="str">
        <f aca="false" t="array" ref="K2808:K2808">IF(A2808&lt;&gt;"",IF(COUNTIF(A$996:A2809,"&lt;&gt;")=0,COUNTA(B$996:B2808),IFERROR(MATCH(TRUE(),INDEX((A$996:A2809&lt;&gt;""),0),0),COUNTA(B$996:B2808))),"")</f>
        <v/>
      </c>
      <c r="L2808" s="27"/>
    </row>
    <row r="2809" customFormat="false" ht="13.8" hidden="false" customHeight="false" outlineLevel="0" collapsed="false">
      <c r="A2809" s="16"/>
      <c r="B2809" s="16"/>
      <c r="C2809" s="26"/>
      <c r="D2809" s="26"/>
      <c r="E2809" s="16"/>
      <c r="F2809" s="18"/>
      <c r="G2809" s="19" t="str">
        <f aca="true">IF(F2809="", "", DATEDIF(F2809, TODAY(), "Y"))</f>
        <v/>
      </c>
      <c r="H2809" s="28"/>
      <c r="I2809" s="28"/>
      <c r="J2809" s="24" t="str">
        <f aca="true">IF(ISBLANK(H2809), "", I2809-TODAY())</f>
        <v/>
      </c>
      <c r="K2809" s="24" t="str">
        <f aca="false" t="array" ref="K2809:K2809">IF(A2809&lt;&gt;"",IF(COUNTIF(A$996:A2810,"&lt;&gt;")=0,COUNTA(B$996:B2809),IFERROR(MATCH(TRUE(),INDEX((A$996:A2810&lt;&gt;""),0),0),COUNTA(B$996:B2809))),"")</f>
        <v/>
      </c>
      <c r="L2809" s="27"/>
    </row>
    <row r="2810" customFormat="false" ht="13.8" hidden="false" customHeight="false" outlineLevel="0" collapsed="false">
      <c r="A2810" s="16"/>
      <c r="B2810" s="16"/>
      <c r="C2810" s="26"/>
      <c r="D2810" s="26"/>
      <c r="E2810" s="16"/>
      <c r="F2810" s="18"/>
      <c r="G2810" s="19" t="str">
        <f aca="true">IF(F2810="", "", DATEDIF(F2810, TODAY(), "Y"))</f>
        <v/>
      </c>
      <c r="H2810" s="28"/>
      <c r="I2810" s="28"/>
      <c r="J2810" s="24" t="str">
        <f aca="true">IF(ISBLANK(H2810), "", I2810-TODAY())</f>
        <v/>
      </c>
      <c r="K2810" s="24" t="str">
        <f aca="false" t="array" ref="K2810:K2810">IF(A2810&lt;&gt;"",IF(COUNTIF(A$996:A2811,"&lt;&gt;")=0,COUNTA(B$996:B2810),IFERROR(MATCH(TRUE(),INDEX((A$996:A2811&lt;&gt;""),0),0),COUNTA(B$996:B2810))),"")</f>
        <v/>
      </c>
      <c r="L2810" s="27"/>
    </row>
    <row r="2811" customFormat="false" ht="13.8" hidden="false" customHeight="false" outlineLevel="0" collapsed="false">
      <c r="A2811" s="16"/>
      <c r="B2811" s="16"/>
      <c r="C2811" s="26"/>
      <c r="D2811" s="26"/>
      <c r="E2811" s="16"/>
      <c r="F2811" s="18"/>
      <c r="G2811" s="19" t="str">
        <f aca="true">IF(F2811="", "", DATEDIF(F2811, TODAY(), "Y"))</f>
        <v/>
      </c>
      <c r="H2811" s="28"/>
      <c r="I2811" s="28"/>
      <c r="J2811" s="24" t="str">
        <f aca="true">IF(ISBLANK(H2811), "", I2811-TODAY())</f>
        <v/>
      </c>
      <c r="K2811" s="24" t="str">
        <f aca="false" t="array" ref="K2811:K2811">IF(A2811&lt;&gt;"",IF(COUNTIF(A$996:A2812,"&lt;&gt;")=0,COUNTA(B$996:B2811),IFERROR(MATCH(TRUE(),INDEX((A$996:A2812&lt;&gt;""),0),0),COUNTA(B$996:B2811))),"")</f>
        <v/>
      </c>
      <c r="L2811" s="27"/>
    </row>
    <row r="2812" customFormat="false" ht="13.8" hidden="false" customHeight="false" outlineLevel="0" collapsed="false">
      <c r="A2812" s="16"/>
      <c r="B2812" s="16"/>
      <c r="C2812" s="26"/>
      <c r="D2812" s="26"/>
      <c r="E2812" s="16"/>
      <c r="F2812" s="18"/>
      <c r="G2812" s="19" t="str">
        <f aca="true">IF(F2812="", "", DATEDIF(F2812, TODAY(), "Y"))</f>
        <v/>
      </c>
      <c r="H2812" s="28"/>
      <c r="I2812" s="28"/>
      <c r="J2812" s="24" t="str">
        <f aca="true">IF(ISBLANK(H2812), "", I2812-TODAY())</f>
        <v/>
      </c>
      <c r="K2812" s="24" t="str">
        <f aca="false" t="array" ref="K2812:K2812">IF(A2812&lt;&gt;"",IF(COUNTIF(A$996:A2813,"&lt;&gt;")=0,COUNTA(B$996:B2812),IFERROR(MATCH(TRUE(),INDEX((A$996:A2813&lt;&gt;""),0),0),COUNTA(B$996:B2812))),"")</f>
        <v/>
      </c>
      <c r="L2812" s="27"/>
    </row>
    <row r="2813" customFormat="false" ht="13.8" hidden="false" customHeight="false" outlineLevel="0" collapsed="false">
      <c r="A2813" s="16"/>
      <c r="B2813" s="16"/>
      <c r="C2813" s="26"/>
      <c r="D2813" s="26"/>
      <c r="E2813" s="16"/>
      <c r="F2813" s="18"/>
      <c r="G2813" s="19" t="str">
        <f aca="true">IF(F2813="", "", DATEDIF(F2813, TODAY(), "Y"))</f>
        <v/>
      </c>
      <c r="H2813" s="28"/>
      <c r="I2813" s="28"/>
      <c r="J2813" s="24" t="str">
        <f aca="true">IF(ISBLANK(H2813), "", I2813-TODAY())</f>
        <v/>
      </c>
      <c r="K2813" s="24" t="str">
        <f aca="false" t="array" ref="K2813:K2813">IF(A2813&lt;&gt;"",IF(COUNTIF(A$996:A2814,"&lt;&gt;")=0,COUNTA(B$996:B2813),IFERROR(MATCH(TRUE(),INDEX((A$996:A2814&lt;&gt;""),0),0),COUNTA(B$996:B2813))),"")</f>
        <v/>
      </c>
      <c r="L2813" s="27"/>
    </row>
    <row r="2814" customFormat="false" ht="13.8" hidden="false" customHeight="false" outlineLevel="0" collapsed="false">
      <c r="A2814" s="16"/>
      <c r="B2814" s="16"/>
      <c r="C2814" s="26"/>
      <c r="D2814" s="26"/>
      <c r="E2814" s="16"/>
      <c r="F2814" s="18"/>
      <c r="G2814" s="19" t="str">
        <f aca="true">IF(F2814="", "", DATEDIF(F2814, TODAY(), "Y"))</f>
        <v/>
      </c>
      <c r="H2814" s="28"/>
      <c r="I2814" s="28"/>
      <c r="J2814" s="24" t="str">
        <f aca="true">IF(ISBLANK(H2814), "", I2814-TODAY())</f>
        <v/>
      </c>
      <c r="K2814" s="24" t="str">
        <f aca="false" t="array" ref="K2814:K2814">IF(A2814&lt;&gt;"",IF(COUNTIF(A$996:A2815,"&lt;&gt;")=0,COUNTA(B$996:B2814),IFERROR(MATCH(TRUE(),INDEX((A$996:A2815&lt;&gt;""),0),0),COUNTA(B$996:B2814))),"")</f>
        <v/>
      </c>
      <c r="L2814" s="27"/>
    </row>
    <row r="2815" customFormat="false" ht="13.8" hidden="false" customHeight="false" outlineLevel="0" collapsed="false">
      <c r="A2815" s="16"/>
      <c r="B2815" s="16"/>
      <c r="C2815" s="26"/>
      <c r="D2815" s="26"/>
      <c r="E2815" s="16"/>
      <c r="F2815" s="18"/>
      <c r="G2815" s="19" t="str">
        <f aca="true">IF(F2815="", "", DATEDIF(F2815, TODAY(), "Y"))</f>
        <v/>
      </c>
      <c r="H2815" s="28"/>
      <c r="I2815" s="28"/>
      <c r="J2815" s="24" t="str">
        <f aca="true">IF(ISBLANK(H2815), "", I2815-TODAY())</f>
        <v/>
      </c>
      <c r="K2815" s="24" t="str">
        <f aca="false" t="array" ref="K2815:K2815">IF(A2815&lt;&gt;"",IF(COUNTIF(A$996:A2816,"&lt;&gt;")=0,COUNTA(B$996:B2815),IFERROR(MATCH(TRUE(),INDEX((A$996:A2816&lt;&gt;""),0),0),COUNTA(B$996:B2815))),"")</f>
        <v/>
      </c>
      <c r="L2815" s="27"/>
    </row>
    <row r="2816" customFormat="false" ht="13.8" hidden="false" customHeight="false" outlineLevel="0" collapsed="false">
      <c r="A2816" s="16"/>
      <c r="B2816" s="16"/>
      <c r="C2816" s="26"/>
      <c r="D2816" s="26"/>
      <c r="E2816" s="16"/>
      <c r="F2816" s="18"/>
      <c r="G2816" s="19" t="str">
        <f aca="true">IF(F2816="", "", DATEDIF(F2816, TODAY(), "Y"))</f>
        <v/>
      </c>
      <c r="H2816" s="28"/>
      <c r="I2816" s="28"/>
      <c r="J2816" s="24" t="str">
        <f aca="true">IF(ISBLANK(H2816), "", I2816-TODAY())</f>
        <v/>
      </c>
      <c r="K2816" s="24" t="str">
        <f aca="false" t="array" ref="K2816:K2816">IF(A2816&lt;&gt;"",IF(COUNTIF(A$996:A2817,"&lt;&gt;")=0,COUNTA(B$996:B2816),IFERROR(MATCH(TRUE(),INDEX((A$996:A2817&lt;&gt;""),0),0),COUNTA(B$996:B2816))),"")</f>
        <v/>
      </c>
      <c r="L2816" s="27"/>
    </row>
    <row r="2817" customFormat="false" ht="13.8" hidden="false" customHeight="false" outlineLevel="0" collapsed="false">
      <c r="A2817" s="16"/>
      <c r="B2817" s="16"/>
      <c r="C2817" s="26"/>
      <c r="D2817" s="26"/>
      <c r="E2817" s="16"/>
      <c r="F2817" s="18"/>
      <c r="G2817" s="19" t="str">
        <f aca="true">IF(F2817="", "", DATEDIF(F2817, TODAY(), "Y"))</f>
        <v/>
      </c>
      <c r="H2817" s="28"/>
      <c r="I2817" s="28"/>
      <c r="J2817" s="24" t="str">
        <f aca="true">IF(ISBLANK(H2817), "", I2817-TODAY())</f>
        <v/>
      </c>
      <c r="K2817" s="24" t="str">
        <f aca="false" t="array" ref="K2817:K2817">IF(A2817&lt;&gt;"",IF(COUNTIF(A$996:A2818,"&lt;&gt;")=0,COUNTA(B$996:B2817),IFERROR(MATCH(TRUE(),INDEX((A$996:A2818&lt;&gt;""),0),0),COUNTA(B$996:B2817))),"")</f>
        <v/>
      </c>
      <c r="L2817" s="27"/>
    </row>
    <row r="2818" customFormat="false" ht="13.8" hidden="false" customHeight="false" outlineLevel="0" collapsed="false">
      <c r="A2818" s="16"/>
      <c r="B2818" s="16"/>
      <c r="C2818" s="26"/>
      <c r="D2818" s="26"/>
      <c r="E2818" s="16"/>
      <c r="F2818" s="18"/>
      <c r="G2818" s="19" t="str">
        <f aca="true">IF(F2818="", "", DATEDIF(F2818, TODAY(), "Y"))</f>
        <v/>
      </c>
      <c r="H2818" s="28"/>
      <c r="I2818" s="28"/>
      <c r="J2818" s="24" t="str">
        <f aca="true">IF(ISBLANK(H2818), "", I2818-TODAY())</f>
        <v/>
      </c>
      <c r="K2818" s="24" t="str">
        <f aca="false" t="array" ref="K2818:K2818">IF(A2818&lt;&gt;"",IF(COUNTIF(A$996:A2819,"&lt;&gt;")=0,COUNTA(B$996:B2818),IFERROR(MATCH(TRUE(),INDEX((A$996:A2819&lt;&gt;""),0),0),COUNTA(B$996:B2818))),"")</f>
        <v/>
      </c>
      <c r="L2818" s="27"/>
    </row>
    <row r="2819" customFormat="false" ht="13.8" hidden="false" customHeight="false" outlineLevel="0" collapsed="false">
      <c r="A2819" s="16"/>
      <c r="B2819" s="16"/>
      <c r="C2819" s="26"/>
      <c r="D2819" s="26"/>
      <c r="E2819" s="16"/>
      <c r="F2819" s="18"/>
      <c r="G2819" s="19" t="str">
        <f aca="true">IF(F2819="", "", DATEDIF(F2819, TODAY(), "Y"))</f>
        <v/>
      </c>
      <c r="H2819" s="28"/>
      <c r="I2819" s="28"/>
      <c r="J2819" s="24" t="str">
        <f aca="true">IF(ISBLANK(H2819), "", I2819-TODAY())</f>
        <v/>
      </c>
      <c r="K2819" s="24" t="str">
        <f aca="false" t="array" ref="K2819:K2819">IF(A2819&lt;&gt;"",IF(COUNTIF(A$996:A2820,"&lt;&gt;")=0,COUNTA(B$996:B2819),IFERROR(MATCH(TRUE(),INDEX((A$996:A2820&lt;&gt;""),0),0),COUNTA(B$996:B2819))),"")</f>
        <v/>
      </c>
      <c r="L2819" s="27"/>
    </row>
    <row r="2820" customFormat="false" ht="13.8" hidden="false" customHeight="false" outlineLevel="0" collapsed="false">
      <c r="A2820" s="16"/>
      <c r="B2820" s="16"/>
      <c r="C2820" s="26"/>
      <c r="D2820" s="26"/>
      <c r="E2820" s="16"/>
      <c r="F2820" s="18"/>
      <c r="G2820" s="19" t="str">
        <f aca="true">IF(F2820="", "", DATEDIF(F2820, TODAY(), "Y"))</f>
        <v/>
      </c>
      <c r="H2820" s="28"/>
      <c r="I2820" s="28"/>
      <c r="J2820" s="24" t="str">
        <f aca="true">IF(ISBLANK(H2820), "", I2820-TODAY())</f>
        <v/>
      </c>
      <c r="K2820" s="24" t="str">
        <f aca="false" t="array" ref="K2820:K2820">IF(A2820&lt;&gt;"",IF(COUNTIF(A$996:A2821,"&lt;&gt;")=0,COUNTA(B$996:B2820),IFERROR(MATCH(TRUE(),INDEX((A$996:A2821&lt;&gt;""),0),0),COUNTA(B$996:B2820))),"")</f>
        <v/>
      </c>
      <c r="L2820" s="27"/>
    </row>
    <row r="2821" customFormat="false" ht="13.8" hidden="false" customHeight="false" outlineLevel="0" collapsed="false">
      <c r="A2821" s="16"/>
      <c r="B2821" s="16"/>
      <c r="C2821" s="26"/>
      <c r="D2821" s="26"/>
      <c r="E2821" s="16"/>
      <c r="F2821" s="18"/>
      <c r="G2821" s="19" t="str">
        <f aca="true">IF(F2821="", "", DATEDIF(F2821, TODAY(), "Y"))</f>
        <v/>
      </c>
      <c r="H2821" s="28"/>
      <c r="I2821" s="28"/>
      <c r="J2821" s="24" t="str">
        <f aca="true">IF(ISBLANK(H2821), "", I2821-TODAY())</f>
        <v/>
      </c>
      <c r="K2821" s="24" t="str">
        <f aca="false" t="array" ref="K2821:K2821">IF(A2821&lt;&gt;"",IF(COUNTIF(A$996:A2822,"&lt;&gt;")=0,COUNTA(B$996:B2821),IFERROR(MATCH(TRUE(),INDEX((A$996:A2822&lt;&gt;""),0),0),COUNTA(B$996:B2821))),"")</f>
        <v/>
      </c>
      <c r="L2821" s="27"/>
    </row>
    <row r="2822" customFormat="false" ht="13.8" hidden="false" customHeight="false" outlineLevel="0" collapsed="false">
      <c r="A2822" s="16"/>
      <c r="B2822" s="16"/>
      <c r="C2822" s="26"/>
      <c r="D2822" s="26"/>
      <c r="E2822" s="16"/>
      <c r="F2822" s="18"/>
      <c r="G2822" s="19" t="str">
        <f aca="true">IF(F2822="", "", DATEDIF(F2822, TODAY(), "Y"))</f>
        <v/>
      </c>
      <c r="H2822" s="28"/>
      <c r="I2822" s="28"/>
      <c r="J2822" s="24" t="str">
        <f aca="true">IF(ISBLANK(H2822), "", I2822-TODAY())</f>
        <v/>
      </c>
      <c r="K2822" s="24" t="str">
        <f aca="false" t="array" ref="K2822:K2822">IF(A2822&lt;&gt;"",IF(COUNTIF(A$996:A2823,"&lt;&gt;")=0,COUNTA(B$996:B2822),IFERROR(MATCH(TRUE(),INDEX((A$996:A2823&lt;&gt;""),0),0),COUNTA(B$996:B2822))),"")</f>
        <v/>
      </c>
      <c r="L2822" s="27"/>
    </row>
    <row r="2823" customFormat="false" ht="13.8" hidden="false" customHeight="false" outlineLevel="0" collapsed="false">
      <c r="A2823" s="16"/>
      <c r="B2823" s="16"/>
      <c r="C2823" s="26"/>
      <c r="D2823" s="26"/>
      <c r="E2823" s="16"/>
      <c r="F2823" s="18"/>
      <c r="G2823" s="19" t="str">
        <f aca="true">IF(F2823="", "", DATEDIF(F2823, TODAY(), "Y"))</f>
        <v/>
      </c>
      <c r="H2823" s="28"/>
      <c r="I2823" s="28"/>
      <c r="J2823" s="24" t="str">
        <f aca="true">IF(ISBLANK(H2823), "", I2823-TODAY())</f>
        <v/>
      </c>
      <c r="K2823" s="24" t="str">
        <f aca="false" t="array" ref="K2823:K2823">IF(A2823&lt;&gt;"",IF(COUNTIF(A$996:A2824,"&lt;&gt;")=0,COUNTA(B$996:B2823),IFERROR(MATCH(TRUE(),INDEX((A$996:A2824&lt;&gt;""),0),0),COUNTA(B$996:B2823))),"")</f>
        <v/>
      </c>
      <c r="L2823" s="27"/>
    </row>
    <row r="2824" customFormat="false" ht="13.8" hidden="false" customHeight="false" outlineLevel="0" collapsed="false">
      <c r="A2824" s="16"/>
      <c r="B2824" s="16"/>
      <c r="C2824" s="26"/>
      <c r="D2824" s="26"/>
      <c r="E2824" s="16"/>
      <c r="F2824" s="18"/>
      <c r="G2824" s="19" t="str">
        <f aca="true">IF(F2824="", "", DATEDIF(F2824, TODAY(), "Y"))</f>
        <v/>
      </c>
      <c r="H2824" s="28"/>
      <c r="I2824" s="28"/>
      <c r="J2824" s="24" t="str">
        <f aca="true">IF(ISBLANK(H2824), "", I2824-TODAY())</f>
        <v/>
      </c>
      <c r="K2824" s="24" t="str">
        <f aca="false" t="array" ref="K2824:K2824">IF(A2824&lt;&gt;"",IF(COUNTIF(A$996:A2825,"&lt;&gt;")=0,COUNTA(B$996:B2824),IFERROR(MATCH(TRUE(),INDEX((A$996:A2825&lt;&gt;""),0),0),COUNTA(B$996:B2824))),"")</f>
        <v/>
      </c>
      <c r="L2824" s="27"/>
    </row>
    <row r="2825" customFormat="false" ht="13.8" hidden="false" customHeight="false" outlineLevel="0" collapsed="false">
      <c r="A2825" s="16"/>
      <c r="B2825" s="16"/>
      <c r="C2825" s="26"/>
      <c r="D2825" s="26"/>
      <c r="E2825" s="16"/>
      <c r="F2825" s="18"/>
      <c r="G2825" s="19" t="str">
        <f aca="true">IF(F2825="", "", DATEDIF(F2825, TODAY(), "Y"))</f>
        <v/>
      </c>
      <c r="H2825" s="28"/>
      <c r="I2825" s="28"/>
      <c r="J2825" s="24" t="str">
        <f aca="true">IF(ISBLANK(H2825), "", I2825-TODAY())</f>
        <v/>
      </c>
      <c r="K2825" s="24" t="str">
        <f aca="false" t="array" ref="K2825:K2825">IF(A2825&lt;&gt;"",IF(COUNTIF(A$996:A2826,"&lt;&gt;")=0,COUNTA(B$996:B2825),IFERROR(MATCH(TRUE(),INDEX((A$996:A2826&lt;&gt;""),0),0),COUNTA(B$996:B2825))),"")</f>
        <v/>
      </c>
      <c r="L2825" s="27"/>
    </row>
    <row r="2826" customFormat="false" ht="13.8" hidden="false" customHeight="false" outlineLevel="0" collapsed="false">
      <c r="A2826" s="16"/>
      <c r="B2826" s="16"/>
      <c r="C2826" s="26"/>
      <c r="D2826" s="26"/>
      <c r="E2826" s="16"/>
      <c r="F2826" s="18"/>
      <c r="G2826" s="19" t="str">
        <f aca="true">IF(F2826="", "", DATEDIF(F2826, TODAY(), "Y"))</f>
        <v/>
      </c>
      <c r="H2826" s="28"/>
      <c r="I2826" s="28"/>
      <c r="J2826" s="24" t="str">
        <f aca="true">IF(ISBLANK(H2826), "", I2826-TODAY())</f>
        <v/>
      </c>
      <c r="K2826" s="24" t="str">
        <f aca="false" t="array" ref="K2826:K2826">IF(A2826&lt;&gt;"",IF(COUNTIF(A$996:A2827,"&lt;&gt;")=0,COUNTA(B$996:B2826),IFERROR(MATCH(TRUE(),INDEX((A$996:A2827&lt;&gt;""),0),0),COUNTA(B$996:B2826))),"")</f>
        <v/>
      </c>
      <c r="L2826" s="27"/>
    </row>
    <row r="2827" customFormat="false" ht="13.8" hidden="false" customHeight="false" outlineLevel="0" collapsed="false">
      <c r="A2827" s="16"/>
      <c r="B2827" s="16"/>
      <c r="C2827" s="26"/>
      <c r="D2827" s="26"/>
      <c r="E2827" s="16"/>
      <c r="F2827" s="18"/>
      <c r="G2827" s="19" t="str">
        <f aca="true">IF(F2827="", "", DATEDIF(F2827, TODAY(), "Y"))</f>
        <v/>
      </c>
      <c r="H2827" s="28"/>
      <c r="I2827" s="28"/>
      <c r="J2827" s="24" t="str">
        <f aca="true">IF(ISBLANK(H2827), "", I2827-TODAY())</f>
        <v/>
      </c>
      <c r="K2827" s="24" t="str">
        <f aca="false" t="array" ref="K2827:K2827">IF(A2827&lt;&gt;"",IF(COUNTIF(A$996:A2828,"&lt;&gt;")=0,COUNTA(B$996:B2827),IFERROR(MATCH(TRUE(),INDEX((A$996:A2828&lt;&gt;""),0),0),COUNTA(B$996:B2827))),"")</f>
        <v/>
      </c>
      <c r="L2827" s="27"/>
    </row>
    <row r="2828" customFormat="false" ht="13.8" hidden="false" customHeight="false" outlineLevel="0" collapsed="false">
      <c r="A2828" s="16"/>
      <c r="B2828" s="16"/>
      <c r="C2828" s="26"/>
      <c r="D2828" s="26"/>
      <c r="E2828" s="16"/>
      <c r="F2828" s="18"/>
      <c r="G2828" s="19" t="str">
        <f aca="true">IF(F2828="", "", DATEDIF(F2828, TODAY(), "Y"))</f>
        <v/>
      </c>
      <c r="H2828" s="28"/>
      <c r="I2828" s="28"/>
      <c r="J2828" s="24" t="str">
        <f aca="true">IF(ISBLANK(H2828), "", I2828-TODAY())</f>
        <v/>
      </c>
      <c r="K2828" s="24" t="str">
        <f aca="false" t="array" ref="K2828:K2828">IF(A2828&lt;&gt;"",IF(COUNTIF(A$996:A2829,"&lt;&gt;")=0,COUNTA(B$996:B2828),IFERROR(MATCH(TRUE(),INDEX((A$996:A2829&lt;&gt;""),0),0),COUNTA(B$996:B2828))),"")</f>
        <v/>
      </c>
      <c r="L2828" s="27"/>
    </row>
    <row r="2829" customFormat="false" ht="13.8" hidden="false" customHeight="false" outlineLevel="0" collapsed="false">
      <c r="A2829" s="16"/>
      <c r="B2829" s="16"/>
      <c r="C2829" s="26"/>
      <c r="D2829" s="26"/>
      <c r="E2829" s="16"/>
      <c r="F2829" s="18"/>
      <c r="G2829" s="19" t="str">
        <f aca="true">IF(F2829="", "", DATEDIF(F2829, TODAY(), "Y"))</f>
        <v/>
      </c>
      <c r="H2829" s="28"/>
      <c r="I2829" s="28"/>
      <c r="J2829" s="24" t="str">
        <f aca="true">IF(ISBLANK(H2829), "", I2829-TODAY())</f>
        <v/>
      </c>
      <c r="K2829" s="24" t="str">
        <f aca="false" t="array" ref="K2829:K2829">IF(A2829&lt;&gt;"",IF(COUNTIF(A$996:A2830,"&lt;&gt;")=0,COUNTA(B$996:B2829),IFERROR(MATCH(TRUE(),INDEX((A$996:A2830&lt;&gt;""),0),0),COUNTA(B$996:B2829))),"")</f>
        <v/>
      </c>
      <c r="L2829" s="27"/>
    </row>
    <row r="2830" customFormat="false" ht="13.8" hidden="false" customHeight="false" outlineLevel="0" collapsed="false">
      <c r="A2830" s="16"/>
      <c r="B2830" s="16"/>
      <c r="C2830" s="26"/>
      <c r="D2830" s="26"/>
      <c r="E2830" s="16"/>
      <c r="F2830" s="18"/>
      <c r="G2830" s="19" t="str">
        <f aca="true">IF(F2830="", "", DATEDIF(F2830, TODAY(), "Y"))</f>
        <v/>
      </c>
      <c r="H2830" s="28"/>
      <c r="I2830" s="28"/>
      <c r="J2830" s="24" t="str">
        <f aca="true">IF(ISBLANK(H2830), "", I2830-TODAY())</f>
        <v/>
      </c>
      <c r="K2830" s="24" t="str">
        <f aca="false" t="array" ref="K2830:K2830">IF(A2830&lt;&gt;"",IF(COUNTIF(A$996:A2831,"&lt;&gt;")=0,COUNTA(B$996:B2830),IFERROR(MATCH(TRUE(),INDEX((A$996:A2831&lt;&gt;""),0),0),COUNTA(B$996:B2830))),"")</f>
        <v/>
      </c>
      <c r="L2830" s="27"/>
    </row>
    <row r="2831" customFormat="false" ht="13.8" hidden="false" customHeight="false" outlineLevel="0" collapsed="false">
      <c r="A2831" s="16"/>
      <c r="B2831" s="16"/>
      <c r="C2831" s="26"/>
      <c r="D2831" s="26"/>
      <c r="E2831" s="16"/>
      <c r="F2831" s="18"/>
      <c r="G2831" s="19" t="str">
        <f aca="true">IF(F2831="", "", DATEDIF(F2831, TODAY(), "Y"))</f>
        <v/>
      </c>
      <c r="H2831" s="28"/>
      <c r="I2831" s="28"/>
      <c r="J2831" s="24" t="str">
        <f aca="true">IF(ISBLANK(H2831), "", I2831-TODAY())</f>
        <v/>
      </c>
      <c r="K2831" s="24" t="str">
        <f aca="false" t="array" ref="K2831:K2831">IF(A2831&lt;&gt;"",IF(COUNTIF(A$996:A2832,"&lt;&gt;")=0,COUNTA(B$996:B2831),IFERROR(MATCH(TRUE(),INDEX((A$996:A2832&lt;&gt;""),0),0),COUNTA(B$996:B2831))),"")</f>
        <v/>
      </c>
      <c r="L2831" s="27"/>
    </row>
    <row r="2832" customFormat="false" ht="13.8" hidden="false" customHeight="false" outlineLevel="0" collapsed="false">
      <c r="A2832" s="16"/>
      <c r="B2832" s="16"/>
      <c r="C2832" s="26"/>
      <c r="D2832" s="26"/>
      <c r="E2832" s="16"/>
      <c r="F2832" s="18"/>
      <c r="G2832" s="19" t="str">
        <f aca="true">IF(F2832="", "", DATEDIF(F2832, TODAY(), "Y"))</f>
        <v/>
      </c>
      <c r="H2832" s="28"/>
      <c r="I2832" s="28"/>
      <c r="J2832" s="24" t="str">
        <f aca="true">IF(ISBLANK(H2832), "", I2832-TODAY())</f>
        <v/>
      </c>
      <c r="K2832" s="24" t="str">
        <f aca="false" t="array" ref="K2832:K2832">IF(A2832&lt;&gt;"",IF(COUNTIF(A$996:A2833,"&lt;&gt;")=0,COUNTA(B$996:B2832),IFERROR(MATCH(TRUE(),INDEX((A$996:A2833&lt;&gt;""),0),0),COUNTA(B$996:B2832))),"")</f>
        <v/>
      </c>
      <c r="L2832" s="27"/>
    </row>
    <row r="2833" customFormat="false" ht="13.8" hidden="false" customHeight="false" outlineLevel="0" collapsed="false">
      <c r="A2833" s="16"/>
      <c r="B2833" s="16"/>
      <c r="C2833" s="26"/>
      <c r="D2833" s="26"/>
      <c r="E2833" s="16"/>
      <c r="F2833" s="18"/>
      <c r="G2833" s="19" t="str">
        <f aca="true">IF(F2833="", "", DATEDIF(F2833, TODAY(), "Y"))</f>
        <v/>
      </c>
      <c r="H2833" s="28"/>
      <c r="I2833" s="28"/>
      <c r="J2833" s="24" t="str">
        <f aca="true">IF(ISBLANK(H2833), "", I2833-TODAY())</f>
        <v/>
      </c>
      <c r="K2833" s="24" t="str">
        <f aca="false" t="array" ref="K2833:K2833">IF(A2833&lt;&gt;"",IF(COUNTIF(A$996:A2834,"&lt;&gt;")=0,COUNTA(B$996:B2833),IFERROR(MATCH(TRUE(),INDEX((A$996:A2834&lt;&gt;""),0),0),COUNTA(B$996:B2833))),"")</f>
        <v/>
      </c>
      <c r="L2833" s="27"/>
    </row>
    <row r="2834" customFormat="false" ht="13.8" hidden="false" customHeight="false" outlineLevel="0" collapsed="false">
      <c r="A2834" s="16"/>
      <c r="B2834" s="16"/>
      <c r="C2834" s="26"/>
      <c r="D2834" s="26"/>
      <c r="E2834" s="16"/>
      <c r="F2834" s="18"/>
      <c r="G2834" s="19" t="str">
        <f aca="true">IF(F2834="", "", DATEDIF(F2834, TODAY(), "Y"))</f>
        <v/>
      </c>
      <c r="H2834" s="28"/>
      <c r="I2834" s="28"/>
      <c r="J2834" s="24" t="str">
        <f aca="true">IF(ISBLANK(H2834), "", I2834-TODAY())</f>
        <v/>
      </c>
      <c r="K2834" s="24" t="str">
        <f aca="false" t="array" ref="K2834:K2834">IF(A2834&lt;&gt;"",IF(COUNTIF(A$996:A2835,"&lt;&gt;")=0,COUNTA(B$996:B2834),IFERROR(MATCH(TRUE(),INDEX((A$996:A2835&lt;&gt;""),0),0),COUNTA(B$996:B2834))),"")</f>
        <v/>
      </c>
      <c r="L2834" s="27"/>
    </row>
    <row r="2835" customFormat="false" ht="13.8" hidden="false" customHeight="false" outlineLevel="0" collapsed="false">
      <c r="A2835" s="16"/>
      <c r="B2835" s="16"/>
      <c r="C2835" s="26"/>
      <c r="D2835" s="26"/>
      <c r="E2835" s="16"/>
      <c r="F2835" s="18"/>
      <c r="G2835" s="19" t="str">
        <f aca="true">IF(F2835="", "", DATEDIF(F2835, TODAY(), "Y"))</f>
        <v/>
      </c>
      <c r="H2835" s="28"/>
      <c r="I2835" s="28"/>
      <c r="J2835" s="24" t="str">
        <f aca="true">IF(ISBLANK(H2835), "", I2835-TODAY())</f>
        <v/>
      </c>
      <c r="K2835" s="24" t="str">
        <f aca="false" t="array" ref="K2835:K2835">IF(A2835&lt;&gt;"",IF(COUNTIF(A$996:A2836,"&lt;&gt;")=0,COUNTA(B$996:B2835),IFERROR(MATCH(TRUE(),INDEX((A$996:A2836&lt;&gt;""),0),0),COUNTA(B$996:B2835))),"")</f>
        <v/>
      </c>
      <c r="L2835" s="27"/>
    </row>
    <row r="2836" customFormat="false" ht="13.8" hidden="false" customHeight="false" outlineLevel="0" collapsed="false">
      <c r="A2836" s="16"/>
      <c r="B2836" s="16"/>
      <c r="C2836" s="26"/>
      <c r="D2836" s="26"/>
      <c r="E2836" s="16"/>
      <c r="F2836" s="18"/>
      <c r="G2836" s="19" t="str">
        <f aca="true">IF(F2836="", "", DATEDIF(F2836, TODAY(), "Y"))</f>
        <v/>
      </c>
      <c r="H2836" s="28"/>
      <c r="I2836" s="28"/>
      <c r="J2836" s="24" t="str">
        <f aca="true">IF(ISBLANK(H2836), "", I2836-TODAY())</f>
        <v/>
      </c>
      <c r="K2836" s="24" t="str">
        <f aca="false" t="array" ref="K2836:K2836">IF(A2836&lt;&gt;"",IF(COUNTIF(A$996:A2837,"&lt;&gt;")=0,COUNTA(B$996:B2836),IFERROR(MATCH(TRUE(),INDEX((A$996:A2837&lt;&gt;""),0),0),COUNTA(B$996:B2836))),"")</f>
        <v/>
      </c>
      <c r="L2836" s="27"/>
    </row>
    <row r="2837" customFormat="false" ht="13.8" hidden="false" customHeight="false" outlineLevel="0" collapsed="false">
      <c r="A2837" s="16"/>
      <c r="B2837" s="16"/>
      <c r="C2837" s="26"/>
      <c r="D2837" s="26"/>
      <c r="E2837" s="16"/>
      <c r="F2837" s="18"/>
      <c r="G2837" s="19" t="str">
        <f aca="true">IF(F2837="", "", DATEDIF(F2837, TODAY(), "Y"))</f>
        <v/>
      </c>
      <c r="H2837" s="28"/>
      <c r="I2837" s="28"/>
      <c r="J2837" s="24" t="str">
        <f aca="true">IF(ISBLANK(H2837), "", I2837-TODAY())</f>
        <v/>
      </c>
      <c r="K2837" s="24" t="str">
        <f aca="false" t="array" ref="K2837:K2837">IF(A2837&lt;&gt;"",IF(COUNTIF(A$996:A2838,"&lt;&gt;")=0,COUNTA(B$996:B2837),IFERROR(MATCH(TRUE(),INDEX((A$996:A2838&lt;&gt;""),0),0),COUNTA(B$996:B2837))),"")</f>
        <v/>
      </c>
      <c r="L2837" s="27"/>
    </row>
    <row r="2838" customFormat="false" ht="13.8" hidden="false" customHeight="false" outlineLevel="0" collapsed="false">
      <c r="A2838" s="16"/>
      <c r="B2838" s="16"/>
      <c r="C2838" s="26"/>
      <c r="D2838" s="26"/>
      <c r="E2838" s="16"/>
      <c r="F2838" s="18"/>
      <c r="G2838" s="19" t="str">
        <f aca="true">IF(F2838="", "", DATEDIF(F2838, TODAY(), "Y"))</f>
        <v/>
      </c>
      <c r="H2838" s="28"/>
      <c r="I2838" s="28"/>
      <c r="J2838" s="24" t="str">
        <f aca="true">IF(ISBLANK(H2838), "", I2838-TODAY())</f>
        <v/>
      </c>
      <c r="K2838" s="24" t="str">
        <f aca="false" t="array" ref="K2838:K2838">IF(A2838&lt;&gt;"",IF(COUNTIF(A$996:A2839,"&lt;&gt;")=0,COUNTA(B$996:B2838),IFERROR(MATCH(TRUE(),INDEX((A$996:A2839&lt;&gt;""),0),0),COUNTA(B$996:B2838))),"")</f>
        <v/>
      </c>
      <c r="L2838" s="27"/>
    </row>
    <row r="2839" customFormat="false" ht="13.8" hidden="false" customHeight="false" outlineLevel="0" collapsed="false">
      <c r="A2839" s="16"/>
      <c r="B2839" s="16"/>
      <c r="C2839" s="26"/>
      <c r="D2839" s="26"/>
      <c r="E2839" s="16"/>
      <c r="F2839" s="18"/>
      <c r="G2839" s="19" t="str">
        <f aca="true">IF(F2839="", "", DATEDIF(F2839, TODAY(), "Y"))</f>
        <v/>
      </c>
      <c r="H2839" s="28"/>
      <c r="I2839" s="28"/>
      <c r="J2839" s="24" t="str">
        <f aca="true">IF(ISBLANK(H2839), "", I2839-TODAY())</f>
        <v/>
      </c>
      <c r="K2839" s="24" t="str">
        <f aca="false" t="array" ref="K2839:K2839">IF(A2839&lt;&gt;"",IF(COUNTIF(A$996:A2840,"&lt;&gt;")=0,COUNTA(B$996:B2839),IFERROR(MATCH(TRUE(),INDEX((A$996:A2840&lt;&gt;""),0),0),COUNTA(B$996:B2839))),"")</f>
        <v/>
      </c>
      <c r="L2839" s="27"/>
    </row>
    <row r="2840" customFormat="false" ht="13.8" hidden="false" customHeight="false" outlineLevel="0" collapsed="false">
      <c r="A2840" s="16"/>
      <c r="B2840" s="16"/>
      <c r="C2840" s="26"/>
      <c r="D2840" s="26"/>
      <c r="E2840" s="16"/>
      <c r="F2840" s="18"/>
      <c r="G2840" s="19" t="str">
        <f aca="true">IF(F2840="", "", DATEDIF(F2840, TODAY(), "Y"))</f>
        <v/>
      </c>
      <c r="H2840" s="28"/>
      <c r="I2840" s="28"/>
      <c r="J2840" s="24" t="str">
        <f aca="true">IF(ISBLANK(H2840), "", I2840-TODAY())</f>
        <v/>
      </c>
      <c r="K2840" s="24" t="str">
        <f aca="false" t="array" ref="K2840:K2840">IF(A2840&lt;&gt;"",IF(COUNTIF(A$996:A2841,"&lt;&gt;")=0,COUNTA(B$996:B2840),IFERROR(MATCH(TRUE(),INDEX((A$996:A2841&lt;&gt;""),0),0),COUNTA(B$996:B2840))),"")</f>
        <v/>
      </c>
      <c r="L2840" s="27"/>
    </row>
    <row r="2841" customFormat="false" ht="13.8" hidden="false" customHeight="false" outlineLevel="0" collapsed="false">
      <c r="A2841" s="16"/>
      <c r="B2841" s="16"/>
      <c r="C2841" s="26"/>
      <c r="D2841" s="26"/>
      <c r="E2841" s="16"/>
      <c r="F2841" s="18"/>
      <c r="G2841" s="19" t="str">
        <f aca="true">IF(F2841="", "", DATEDIF(F2841, TODAY(), "Y"))</f>
        <v/>
      </c>
      <c r="H2841" s="28"/>
      <c r="I2841" s="28"/>
      <c r="J2841" s="24" t="str">
        <f aca="true">IF(ISBLANK(H2841), "", I2841-TODAY())</f>
        <v/>
      </c>
      <c r="K2841" s="24" t="str">
        <f aca="false" t="array" ref="K2841:K2841">IF(A2841&lt;&gt;"",IF(COUNTIF(A$996:A2842,"&lt;&gt;")=0,COUNTA(B$996:B2841),IFERROR(MATCH(TRUE(),INDEX((A$996:A2842&lt;&gt;""),0),0),COUNTA(B$996:B2841))),"")</f>
        <v/>
      </c>
      <c r="L2841" s="27"/>
    </row>
    <row r="2842" customFormat="false" ht="13.8" hidden="false" customHeight="false" outlineLevel="0" collapsed="false">
      <c r="A2842" s="16"/>
      <c r="B2842" s="16"/>
      <c r="C2842" s="26"/>
      <c r="D2842" s="26"/>
      <c r="E2842" s="16"/>
      <c r="F2842" s="18"/>
      <c r="G2842" s="19" t="str">
        <f aca="true">IF(F2842="", "", DATEDIF(F2842, TODAY(), "Y"))</f>
        <v/>
      </c>
      <c r="H2842" s="28"/>
      <c r="I2842" s="28"/>
      <c r="J2842" s="24" t="str">
        <f aca="true">IF(ISBLANK(H2842), "", I2842-TODAY())</f>
        <v/>
      </c>
      <c r="K2842" s="24" t="str">
        <f aca="false" t="array" ref="K2842:K2842">IF(A2842&lt;&gt;"",IF(COUNTIF(A$996:A2843,"&lt;&gt;")=0,COUNTA(B$996:B2842),IFERROR(MATCH(TRUE(),INDEX((A$996:A2843&lt;&gt;""),0),0),COUNTA(B$996:B2842))),"")</f>
        <v/>
      </c>
      <c r="L2842" s="27"/>
    </row>
    <row r="2843" customFormat="false" ht="13.8" hidden="false" customHeight="false" outlineLevel="0" collapsed="false">
      <c r="A2843" s="16"/>
      <c r="B2843" s="16"/>
      <c r="C2843" s="26"/>
      <c r="D2843" s="26"/>
      <c r="E2843" s="16"/>
      <c r="F2843" s="18"/>
      <c r="G2843" s="19" t="str">
        <f aca="true">IF(F2843="", "", DATEDIF(F2843, TODAY(), "Y"))</f>
        <v/>
      </c>
      <c r="H2843" s="28"/>
      <c r="I2843" s="28"/>
      <c r="J2843" s="24" t="str">
        <f aca="true">IF(ISBLANK(H2843), "", I2843-TODAY())</f>
        <v/>
      </c>
      <c r="K2843" s="24" t="str">
        <f aca="false" t="array" ref="K2843:K2843">IF(A2843&lt;&gt;"",IF(COUNTIF(A$996:A2844,"&lt;&gt;")=0,COUNTA(B$996:B2843),IFERROR(MATCH(TRUE(),INDEX((A$996:A2844&lt;&gt;""),0),0),COUNTA(B$996:B2843))),"")</f>
        <v/>
      </c>
      <c r="L2843" s="27"/>
    </row>
    <row r="2844" customFormat="false" ht="13.8" hidden="false" customHeight="false" outlineLevel="0" collapsed="false">
      <c r="A2844" s="16"/>
      <c r="B2844" s="16"/>
      <c r="C2844" s="26"/>
      <c r="D2844" s="26"/>
      <c r="E2844" s="16"/>
      <c r="F2844" s="18"/>
      <c r="G2844" s="19" t="str">
        <f aca="true">IF(F2844="", "", DATEDIF(F2844, TODAY(), "Y"))</f>
        <v/>
      </c>
      <c r="H2844" s="28"/>
      <c r="I2844" s="28"/>
      <c r="J2844" s="24" t="str">
        <f aca="true">IF(ISBLANK(H2844), "", I2844-TODAY())</f>
        <v/>
      </c>
      <c r="K2844" s="24" t="str">
        <f aca="false" t="array" ref="K2844:K2844">IF(A2844&lt;&gt;"",IF(COUNTIF(A$996:A2845,"&lt;&gt;")=0,COUNTA(B$996:B2844),IFERROR(MATCH(TRUE(),INDEX((A$996:A2845&lt;&gt;""),0),0),COUNTA(B$996:B2844))),"")</f>
        <v/>
      </c>
      <c r="L2844" s="27"/>
    </row>
    <row r="2845" customFormat="false" ht="13.8" hidden="false" customHeight="false" outlineLevel="0" collapsed="false">
      <c r="A2845" s="16"/>
      <c r="B2845" s="16"/>
      <c r="C2845" s="26"/>
      <c r="D2845" s="26"/>
      <c r="E2845" s="16"/>
      <c r="F2845" s="18"/>
      <c r="G2845" s="19" t="str">
        <f aca="true">IF(F2845="", "", DATEDIF(F2845, TODAY(), "Y"))</f>
        <v/>
      </c>
      <c r="H2845" s="28"/>
      <c r="I2845" s="28"/>
      <c r="J2845" s="24" t="str">
        <f aca="true">IF(ISBLANK(H2845), "", I2845-TODAY())</f>
        <v/>
      </c>
      <c r="K2845" s="24" t="str">
        <f aca="false" t="array" ref="K2845:K2845">IF(A2845&lt;&gt;"",IF(COUNTIF(A$996:A2846,"&lt;&gt;")=0,COUNTA(B$996:B2845),IFERROR(MATCH(TRUE(),INDEX((A$996:A2846&lt;&gt;""),0),0),COUNTA(B$996:B2845))),"")</f>
        <v/>
      </c>
      <c r="L2845" s="27"/>
    </row>
    <row r="2846" customFormat="false" ht="13.8" hidden="false" customHeight="false" outlineLevel="0" collapsed="false">
      <c r="A2846" s="16"/>
      <c r="B2846" s="16"/>
      <c r="C2846" s="26"/>
      <c r="D2846" s="26"/>
      <c r="E2846" s="16"/>
      <c r="F2846" s="18"/>
      <c r="G2846" s="19" t="str">
        <f aca="true">IF(F2846="", "", DATEDIF(F2846, TODAY(), "Y"))</f>
        <v/>
      </c>
      <c r="H2846" s="28"/>
      <c r="I2846" s="28"/>
      <c r="J2846" s="24" t="str">
        <f aca="true">IF(ISBLANK(H2846), "", I2846-TODAY())</f>
        <v/>
      </c>
      <c r="K2846" s="24" t="str">
        <f aca="false" t="array" ref="K2846:K2846">IF(A2846&lt;&gt;"",IF(COUNTIF(A$996:A2847,"&lt;&gt;")=0,COUNTA(B$996:B2846),IFERROR(MATCH(TRUE(),INDEX((A$996:A2847&lt;&gt;""),0),0),COUNTA(B$996:B2846))),"")</f>
        <v/>
      </c>
      <c r="L2846" s="27"/>
    </row>
    <row r="2847" customFormat="false" ht="13.8" hidden="false" customHeight="false" outlineLevel="0" collapsed="false">
      <c r="A2847" s="16"/>
      <c r="B2847" s="16"/>
      <c r="C2847" s="26"/>
      <c r="D2847" s="26"/>
      <c r="E2847" s="16"/>
      <c r="F2847" s="18"/>
      <c r="G2847" s="19" t="str">
        <f aca="true">IF(F2847="", "", DATEDIF(F2847, TODAY(), "Y"))</f>
        <v/>
      </c>
      <c r="H2847" s="28"/>
      <c r="I2847" s="28"/>
      <c r="J2847" s="24" t="str">
        <f aca="true">IF(ISBLANK(H2847), "", I2847-TODAY())</f>
        <v/>
      </c>
      <c r="K2847" s="24" t="str">
        <f aca="false" t="array" ref="K2847:K2847">IF(A2847&lt;&gt;"",IF(COUNTIF(A$996:A2848,"&lt;&gt;")=0,COUNTA(B$996:B2847),IFERROR(MATCH(TRUE(),INDEX((A$996:A2848&lt;&gt;""),0),0),COUNTA(B$996:B2847))),"")</f>
        <v/>
      </c>
      <c r="L2847" s="27"/>
    </row>
    <row r="2848" customFormat="false" ht="13.8" hidden="false" customHeight="false" outlineLevel="0" collapsed="false">
      <c r="A2848" s="16"/>
      <c r="B2848" s="16"/>
      <c r="C2848" s="26"/>
      <c r="D2848" s="26"/>
      <c r="E2848" s="16"/>
      <c r="F2848" s="18"/>
      <c r="G2848" s="19" t="str">
        <f aca="true">IF(F2848="", "", DATEDIF(F2848, TODAY(), "Y"))</f>
        <v/>
      </c>
      <c r="H2848" s="28"/>
      <c r="I2848" s="28"/>
      <c r="J2848" s="24" t="str">
        <f aca="true">IF(ISBLANK(H2848), "", I2848-TODAY())</f>
        <v/>
      </c>
      <c r="K2848" s="24" t="str">
        <f aca="false" t="array" ref="K2848:K2848">IF(A2848&lt;&gt;"",IF(COUNTIF(A$996:A2849,"&lt;&gt;")=0,COUNTA(B$996:B2848),IFERROR(MATCH(TRUE(),INDEX((A$996:A2849&lt;&gt;""),0),0),COUNTA(B$996:B2848))),"")</f>
        <v/>
      </c>
      <c r="L2848" s="27"/>
    </row>
    <row r="2849" customFormat="false" ht="13.8" hidden="false" customHeight="false" outlineLevel="0" collapsed="false">
      <c r="A2849" s="16"/>
      <c r="B2849" s="16"/>
      <c r="C2849" s="26"/>
      <c r="D2849" s="26"/>
      <c r="E2849" s="16"/>
      <c r="F2849" s="18"/>
      <c r="G2849" s="19" t="str">
        <f aca="true">IF(F2849="", "", DATEDIF(F2849, TODAY(), "Y"))</f>
        <v/>
      </c>
      <c r="H2849" s="28"/>
      <c r="I2849" s="28"/>
      <c r="J2849" s="24" t="str">
        <f aca="true">IF(ISBLANK(H2849), "", I2849-TODAY())</f>
        <v/>
      </c>
      <c r="K2849" s="24" t="str">
        <f aca="false" t="array" ref="K2849:K2849">IF(A2849&lt;&gt;"",IF(COUNTIF(A$996:A2850,"&lt;&gt;")=0,COUNTA(B$996:B2849),IFERROR(MATCH(TRUE(),INDEX((A$996:A2850&lt;&gt;""),0),0),COUNTA(B$996:B2849))),"")</f>
        <v/>
      </c>
      <c r="L2849" s="27"/>
    </row>
    <row r="2850" customFormat="false" ht="13.8" hidden="false" customHeight="false" outlineLevel="0" collapsed="false">
      <c r="A2850" s="16"/>
      <c r="B2850" s="16"/>
      <c r="C2850" s="26"/>
      <c r="D2850" s="26"/>
      <c r="E2850" s="16"/>
      <c r="F2850" s="18"/>
      <c r="G2850" s="19" t="str">
        <f aca="true">IF(F2850="", "", DATEDIF(F2850, TODAY(), "Y"))</f>
        <v/>
      </c>
      <c r="H2850" s="28"/>
      <c r="I2850" s="28"/>
      <c r="J2850" s="24" t="str">
        <f aca="true">IF(ISBLANK(H2850), "", I2850-TODAY())</f>
        <v/>
      </c>
      <c r="K2850" s="24" t="str">
        <f aca="false" t="array" ref="K2850:K2850">IF(A2850&lt;&gt;"",IF(COUNTIF(A$996:A2851,"&lt;&gt;")=0,COUNTA(B$996:B2850),IFERROR(MATCH(TRUE(),INDEX((A$996:A2851&lt;&gt;""),0),0),COUNTA(B$996:B2850))),"")</f>
        <v/>
      </c>
      <c r="L2850" s="27"/>
    </row>
    <row r="2851" customFormat="false" ht="13.8" hidden="false" customHeight="false" outlineLevel="0" collapsed="false">
      <c r="A2851" s="16"/>
      <c r="B2851" s="16"/>
      <c r="C2851" s="26"/>
      <c r="D2851" s="26"/>
      <c r="E2851" s="16"/>
      <c r="F2851" s="18"/>
      <c r="G2851" s="19" t="str">
        <f aca="true">IF(F2851="", "", DATEDIF(F2851, TODAY(), "Y"))</f>
        <v/>
      </c>
      <c r="H2851" s="28"/>
      <c r="I2851" s="28"/>
      <c r="J2851" s="24" t="str">
        <f aca="true">IF(ISBLANK(H2851), "", I2851-TODAY())</f>
        <v/>
      </c>
      <c r="K2851" s="24" t="str">
        <f aca="false" t="array" ref="K2851:K2851">IF(A2851&lt;&gt;"",IF(COUNTIF(A$996:A2852,"&lt;&gt;")=0,COUNTA(B$996:B2851),IFERROR(MATCH(TRUE(),INDEX((A$996:A2852&lt;&gt;""),0),0),COUNTA(B$996:B2851))),"")</f>
        <v/>
      </c>
      <c r="L2851" s="27"/>
    </row>
    <row r="2852" customFormat="false" ht="13.8" hidden="false" customHeight="false" outlineLevel="0" collapsed="false">
      <c r="A2852" s="16"/>
      <c r="B2852" s="16"/>
      <c r="C2852" s="26"/>
      <c r="D2852" s="26"/>
      <c r="E2852" s="16"/>
      <c r="F2852" s="18"/>
      <c r="G2852" s="19" t="str">
        <f aca="true">IF(F2852="", "", DATEDIF(F2852, TODAY(), "Y"))</f>
        <v/>
      </c>
      <c r="H2852" s="28"/>
      <c r="I2852" s="28"/>
      <c r="J2852" s="24" t="str">
        <f aca="true">IF(ISBLANK(H2852), "", I2852-TODAY())</f>
        <v/>
      </c>
      <c r="K2852" s="24" t="str">
        <f aca="false" t="array" ref="K2852:K2852">IF(A2852&lt;&gt;"",IF(COUNTIF(A$996:A2853,"&lt;&gt;")=0,COUNTA(B$996:B2852),IFERROR(MATCH(TRUE(),INDEX((A$996:A2853&lt;&gt;""),0),0),COUNTA(B$996:B2852))),"")</f>
        <v/>
      </c>
      <c r="L2852" s="27"/>
    </row>
    <row r="2853" customFormat="false" ht="13.8" hidden="false" customHeight="false" outlineLevel="0" collapsed="false">
      <c r="A2853" s="16"/>
      <c r="B2853" s="16"/>
      <c r="C2853" s="26"/>
      <c r="D2853" s="26"/>
      <c r="E2853" s="16"/>
      <c r="F2853" s="18"/>
      <c r="G2853" s="19" t="str">
        <f aca="true">IF(F2853="", "", DATEDIF(F2853, TODAY(), "Y"))</f>
        <v/>
      </c>
      <c r="H2853" s="28"/>
      <c r="I2853" s="28"/>
      <c r="J2853" s="24" t="str">
        <f aca="true">IF(ISBLANK(H2853), "", I2853-TODAY())</f>
        <v/>
      </c>
      <c r="K2853" s="24" t="str">
        <f aca="false" t="array" ref="K2853:K2853">IF(A2853&lt;&gt;"",IF(COUNTIF(A$996:A2854,"&lt;&gt;")=0,COUNTA(B$996:B2853),IFERROR(MATCH(TRUE(),INDEX((A$996:A2854&lt;&gt;""),0),0),COUNTA(B$996:B2853))),"")</f>
        <v/>
      </c>
      <c r="L2853" s="27"/>
    </row>
    <row r="2854" customFormat="false" ht="13.8" hidden="false" customHeight="false" outlineLevel="0" collapsed="false">
      <c r="A2854" s="16"/>
      <c r="B2854" s="16"/>
      <c r="C2854" s="26"/>
      <c r="D2854" s="26"/>
      <c r="E2854" s="16"/>
      <c r="F2854" s="18"/>
      <c r="G2854" s="19" t="str">
        <f aca="true">IF(F2854="", "", DATEDIF(F2854, TODAY(), "Y"))</f>
        <v/>
      </c>
      <c r="H2854" s="28"/>
      <c r="I2854" s="28"/>
      <c r="J2854" s="24" t="str">
        <f aca="true">IF(ISBLANK(H2854), "", I2854-TODAY())</f>
        <v/>
      </c>
      <c r="K2854" s="24" t="str">
        <f aca="false" t="array" ref="K2854:K2854">IF(A2854&lt;&gt;"",IF(COUNTIF(A$996:A2855,"&lt;&gt;")=0,COUNTA(B$996:B2854),IFERROR(MATCH(TRUE(),INDEX((A$996:A2855&lt;&gt;""),0),0),COUNTA(B$996:B2854))),"")</f>
        <v/>
      </c>
      <c r="L2854" s="27"/>
    </row>
    <row r="2855" customFormat="false" ht="13.8" hidden="false" customHeight="false" outlineLevel="0" collapsed="false">
      <c r="A2855" s="16"/>
      <c r="B2855" s="16"/>
      <c r="C2855" s="26"/>
      <c r="D2855" s="26"/>
      <c r="E2855" s="16"/>
      <c r="F2855" s="18"/>
      <c r="G2855" s="19" t="str">
        <f aca="true">IF(F2855="", "", DATEDIF(F2855, TODAY(), "Y"))</f>
        <v/>
      </c>
      <c r="H2855" s="28"/>
      <c r="I2855" s="28"/>
      <c r="J2855" s="24" t="str">
        <f aca="true">IF(ISBLANK(H2855), "", I2855-TODAY())</f>
        <v/>
      </c>
      <c r="K2855" s="24" t="str">
        <f aca="false" t="array" ref="K2855:K2855">IF(A2855&lt;&gt;"",IF(COUNTIF(A$996:A2856,"&lt;&gt;")=0,COUNTA(B$996:B2855),IFERROR(MATCH(TRUE(),INDEX((A$996:A2856&lt;&gt;""),0),0),COUNTA(B$996:B2855))),"")</f>
        <v/>
      </c>
      <c r="L2855" s="27"/>
    </row>
    <row r="2856" customFormat="false" ht="13.8" hidden="false" customHeight="false" outlineLevel="0" collapsed="false">
      <c r="A2856" s="16"/>
      <c r="B2856" s="16"/>
      <c r="C2856" s="26"/>
      <c r="D2856" s="26"/>
      <c r="E2856" s="16"/>
      <c r="F2856" s="18"/>
      <c r="G2856" s="19" t="str">
        <f aca="true">IF(F2856="", "", DATEDIF(F2856, TODAY(), "Y"))</f>
        <v/>
      </c>
      <c r="H2856" s="28"/>
      <c r="I2856" s="28"/>
      <c r="J2856" s="24" t="str">
        <f aca="true">IF(ISBLANK(H2856), "", I2856-TODAY())</f>
        <v/>
      </c>
      <c r="K2856" s="24" t="str">
        <f aca="false" t="array" ref="K2856:K2856">IF(A2856&lt;&gt;"",IF(COUNTIF(A$996:A2857,"&lt;&gt;")=0,COUNTA(B$996:B2856),IFERROR(MATCH(TRUE(),INDEX((A$996:A2857&lt;&gt;""),0),0),COUNTA(B$996:B2856))),"")</f>
        <v/>
      </c>
      <c r="L2856" s="27"/>
    </row>
    <row r="2857" customFormat="false" ht="13.8" hidden="false" customHeight="false" outlineLevel="0" collapsed="false">
      <c r="A2857" s="16"/>
      <c r="B2857" s="16"/>
      <c r="C2857" s="26"/>
      <c r="D2857" s="26"/>
      <c r="E2857" s="16"/>
      <c r="F2857" s="18"/>
      <c r="G2857" s="19" t="str">
        <f aca="true">IF(F2857="", "", DATEDIF(F2857, TODAY(), "Y"))</f>
        <v/>
      </c>
      <c r="H2857" s="28"/>
      <c r="I2857" s="28"/>
      <c r="J2857" s="24" t="str">
        <f aca="true">IF(ISBLANK(H2857), "", I2857-TODAY())</f>
        <v/>
      </c>
      <c r="K2857" s="24" t="str">
        <f aca="false" t="array" ref="K2857:K2857">IF(A2857&lt;&gt;"",IF(COUNTIF(A$996:A2858,"&lt;&gt;")=0,COUNTA(B$996:B2857),IFERROR(MATCH(TRUE(),INDEX((A$996:A2858&lt;&gt;""),0),0),COUNTA(B$996:B2857))),"")</f>
        <v/>
      </c>
      <c r="L2857" s="27"/>
    </row>
    <row r="2858" customFormat="false" ht="13.8" hidden="false" customHeight="false" outlineLevel="0" collapsed="false">
      <c r="A2858" s="16"/>
      <c r="B2858" s="16"/>
      <c r="C2858" s="26"/>
      <c r="D2858" s="26"/>
      <c r="E2858" s="16"/>
      <c r="F2858" s="18"/>
      <c r="G2858" s="19" t="str">
        <f aca="true">IF(F2858="", "", DATEDIF(F2858, TODAY(), "Y"))</f>
        <v/>
      </c>
      <c r="H2858" s="28"/>
      <c r="I2858" s="28"/>
      <c r="J2858" s="24" t="str">
        <f aca="true">IF(ISBLANK(H2858), "", I2858-TODAY())</f>
        <v/>
      </c>
      <c r="K2858" s="24" t="str">
        <f aca="false" t="array" ref="K2858:K2858">IF(A2858&lt;&gt;"",IF(COUNTIF(A$996:A2859,"&lt;&gt;")=0,COUNTA(B$996:B2858),IFERROR(MATCH(TRUE(),INDEX((A$996:A2859&lt;&gt;""),0),0),COUNTA(B$996:B2858))),"")</f>
        <v/>
      </c>
      <c r="L2858" s="27"/>
    </row>
    <row r="2859" customFormat="false" ht="13.8" hidden="false" customHeight="false" outlineLevel="0" collapsed="false">
      <c r="A2859" s="16"/>
      <c r="B2859" s="16"/>
      <c r="C2859" s="26"/>
      <c r="D2859" s="26"/>
      <c r="E2859" s="16"/>
      <c r="F2859" s="18"/>
      <c r="G2859" s="19" t="str">
        <f aca="true">IF(F2859="", "", DATEDIF(F2859, TODAY(), "Y"))</f>
        <v/>
      </c>
      <c r="H2859" s="28"/>
      <c r="I2859" s="28"/>
      <c r="J2859" s="24" t="str">
        <f aca="true">IF(ISBLANK(H2859), "", I2859-TODAY())</f>
        <v/>
      </c>
      <c r="K2859" s="24" t="str">
        <f aca="false" t="array" ref="K2859:K2859">IF(A2859&lt;&gt;"",IF(COUNTIF(A$996:A2860,"&lt;&gt;")=0,COUNTA(B$996:B2859),IFERROR(MATCH(TRUE(),INDEX((A$996:A2860&lt;&gt;""),0),0),COUNTA(B$996:B2859))),"")</f>
        <v/>
      </c>
      <c r="L2859" s="27"/>
    </row>
    <row r="2860" customFormat="false" ht="13.8" hidden="false" customHeight="false" outlineLevel="0" collapsed="false">
      <c r="A2860" s="16"/>
      <c r="B2860" s="16"/>
      <c r="C2860" s="26"/>
      <c r="D2860" s="26"/>
      <c r="E2860" s="16"/>
      <c r="F2860" s="18"/>
      <c r="G2860" s="19" t="str">
        <f aca="true">IF(F2860="", "", DATEDIF(F2860, TODAY(), "Y"))</f>
        <v/>
      </c>
      <c r="H2860" s="28"/>
      <c r="I2860" s="28"/>
      <c r="J2860" s="24" t="str">
        <f aca="true">IF(ISBLANK(H2860), "", I2860-TODAY())</f>
        <v/>
      </c>
      <c r="K2860" s="24" t="str">
        <f aca="false" t="array" ref="K2860:K2860">IF(A2860&lt;&gt;"",IF(COUNTIF(A$996:A2861,"&lt;&gt;")=0,COUNTA(B$996:B2860),IFERROR(MATCH(TRUE(),INDEX((A$996:A2861&lt;&gt;""),0),0),COUNTA(B$996:B2860))),"")</f>
        <v/>
      </c>
      <c r="L2860" s="27"/>
    </row>
    <row r="2861" customFormat="false" ht="13.8" hidden="false" customHeight="false" outlineLevel="0" collapsed="false">
      <c r="A2861" s="16"/>
      <c r="B2861" s="16"/>
      <c r="C2861" s="26"/>
      <c r="D2861" s="26"/>
      <c r="E2861" s="16"/>
      <c r="F2861" s="18"/>
      <c r="G2861" s="19" t="str">
        <f aca="true">IF(F2861="", "", DATEDIF(F2861, TODAY(), "Y"))</f>
        <v/>
      </c>
      <c r="H2861" s="28"/>
      <c r="I2861" s="28"/>
      <c r="J2861" s="24" t="str">
        <f aca="true">IF(ISBLANK(H2861), "", I2861-TODAY())</f>
        <v/>
      </c>
      <c r="K2861" s="24" t="str">
        <f aca="false" t="array" ref="K2861:K2861">IF(A2861&lt;&gt;"",IF(COUNTIF(A$996:A2862,"&lt;&gt;")=0,COUNTA(B$996:B2861),IFERROR(MATCH(TRUE(),INDEX((A$996:A2862&lt;&gt;""),0),0),COUNTA(B$996:B2861))),"")</f>
        <v/>
      </c>
      <c r="L2861" s="27"/>
    </row>
    <row r="2862" customFormat="false" ht="13.8" hidden="false" customHeight="false" outlineLevel="0" collapsed="false">
      <c r="A2862" s="16"/>
      <c r="B2862" s="16"/>
      <c r="C2862" s="26"/>
      <c r="D2862" s="26"/>
      <c r="E2862" s="16"/>
      <c r="F2862" s="18"/>
      <c r="G2862" s="19" t="str">
        <f aca="true">IF(F2862="", "", DATEDIF(F2862, TODAY(), "Y"))</f>
        <v/>
      </c>
      <c r="H2862" s="28"/>
      <c r="I2862" s="28"/>
      <c r="J2862" s="24" t="str">
        <f aca="true">IF(ISBLANK(H2862), "", I2862-TODAY())</f>
        <v/>
      </c>
      <c r="K2862" s="24" t="str">
        <f aca="false" t="array" ref="K2862:K2862">IF(A2862&lt;&gt;"",IF(COUNTIF(A$996:A2863,"&lt;&gt;")=0,COUNTA(B$996:B2862),IFERROR(MATCH(TRUE(),INDEX((A$996:A2863&lt;&gt;""),0),0),COUNTA(B$996:B2862))),"")</f>
        <v/>
      </c>
      <c r="L2862" s="27"/>
    </row>
    <row r="2863" customFormat="false" ht="13.8" hidden="false" customHeight="false" outlineLevel="0" collapsed="false">
      <c r="A2863" s="16"/>
      <c r="B2863" s="16"/>
      <c r="C2863" s="26"/>
      <c r="D2863" s="26"/>
      <c r="E2863" s="16"/>
      <c r="F2863" s="18"/>
      <c r="G2863" s="19" t="str">
        <f aca="true">IF(F2863="", "", DATEDIF(F2863, TODAY(), "Y"))</f>
        <v/>
      </c>
      <c r="H2863" s="28"/>
      <c r="I2863" s="28"/>
      <c r="J2863" s="24" t="str">
        <f aca="true">IF(ISBLANK(H2863), "", I2863-TODAY())</f>
        <v/>
      </c>
      <c r="K2863" s="24" t="str">
        <f aca="false" t="array" ref="K2863:K2863">IF(A2863&lt;&gt;"",IF(COUNTIF(A$996:A2864,"&lt;&gt;")=0,COUNTA(B$996:B2863),IFERROR(MATCH(TRUE(),INDEX((A$996:A2864&lt;&gt;""),0),0),COUNTA(B$996:B2863))),"")</f>
        <v/>
      </c>
      <c r="L2863" s="27"/>
    </row>
    <row r="2864" customFormat="false" ht="13.8" hidden="false" customHeight="false" outlineLevel="0" collapsed="false">
      <c r="A2864" s="16"/>
      <c r="B2864" s="16"/>
      <c r="C2864" s="26"/>
      <c r="D2864" s="26"/>
      <c r="E2864" s="16"/>
      <c r="F2864" s="18"/>
      <c r="G2864" s="19" t="str">
        <f aca="true">IF(F2864="", "", DATEDIF(F2864, TODAY(), "Y"))</f>
        <v/>
      </c>
      <c r="H2864" s="28"/>
      <c r="I2864" s="28"/>
      <c r="J2864" s="24" t="str">
        <f aca="true">IF(ISBLANK(H2864), "", I2864-TODAY())</f>
        <v/>
      </c>
      <c r="K2864" s="24" t="str">
        <f aca="false" t="array" ref="K2864:K2864">IF(A2864&lt;&gt;"",IF(COUNTIF(A$996:A2865,"&lt;&gt;")=0,COUNTA(B$996:B2864),IFERROR(MATCH(TRUE(),INDEX((A$996:A2865&lt;&gt;""),0),0),COUNTA(B$996:B2864))),"")</f>
        <v/>
      </c>
      <c r="L2864" s="27"/>
    </row>
    <row r="2865" customFormat="false" ht="13.8" hidden="false" customHeight="false" outlineLevel="0" collapsed="false">
      <c r="A2865" s="16"/>
      <c r="B2865" s="16"/>
      <c r="C2865" s="26"/>
      <c r="D2865" s="26"/>
      <c r="E2865" s="16"/>
      <c r="F2865" s="18"/>
      <c r="G2865" s="19" t="str">
        <f aca="true">IF(F2865="", "", DATEDIF(F2865, TODAY(), "Y"))</f>
        <v/>
      </c>
      <c r="H2865" s="28"/>
      <c r="I2865" s="28"/>
      <c r="J2865" s="24" t="str">
        <f aca="true">IF(ISBLANK(H2865), "", I2865-TODAY())</f>
        <v/>
      </c>
      <c r="K2865" s="24" t="str">
        <f aca="false" t="array" ref="K2865:K2865">IF(A2865&lt;&gt;"",IF(COUNTIF(A$996:A2866,"&lt;&gt;")=0,COUNTA(B$996:B2865),IFERROR(MATCH(TRUE(),INDEX((A$996:A2866&lt;&gt;""),0),0),COUNTA(B$996:B2865))),"")</f>
        <v/>
      </c>
      <c r="L2865" s="27"/>
    </row>
    <row r="2866" customFormat="false" ht="13.8" hidden="false" customHeight="false" outlineLevel="0" collapsed="false">
      <c r="A2866" s="16"/>
      <c r="B2866" s="16"/>
      <c r="C2866" s="26"/>
      <c r="D2866" s="26"/>
      <c r="E2866" s="16"/>
      <c r="F2866" s="18"/>
      <c r="G2866" s="19" t="str">
        <f aca="true">IF(F2866="", "", DATEDIF(F2866, TODAY(), "Y"))</f>
        <v/>
      </c>
      <c r="H2866" s="28"/>
      <c r="I2866" s="28"/>
      <c r="J2866" s="24" t="str">
        <f aca="true">IF(ISBLANK(H2866), "", I2866-TODAY())</f>
        <v/>
      </c>
      <c r="K2866" s="24" t="str">
        <f aca="false" t="array" ref="K2866:K2866">IF(A2866&lt;&gt;"",IF(COUNTIF(A$996:A2867,"&lt;&gt;")=0,COUNTA(B$996:B2866),IFERROR(MATCH(TRUE(),INDEX((A$996:A2867&lt;&gt;""),0),0),COUNTA(B$996:B2866))),"")</f>
        <v/>
      </c>
      <c r="L2866" s="27"/>
    </row>
    <row r="2867" customFormat="false" ht="13.8" hidden="false" customHeight="false" outlineLevel="0" collapsed="false">
      <c r="A2867" s="16"/>
      <c r="B2867" s="16"/>
      <c r="C2867" s="26"/>
      <c r="D2867" s="26"/>
      <c r="E2867" s="16"/>
      <c r="F2867" s="18"/>
      <c r="G2867" s="19" t="str">
        <f aca="true">IF(F2867="", "", DATEDIF(F2867, TODAY(), "Y"))</f>
        <v/>
      </c>
      <c r="H2867" s="28"/>
      <c r="I2867" s="28"/>
      <c r="J2867" s="24" t="str">
        <f aca="true">IF(ISBLANK(H2867), "", I2867-TODAY())</f>
        <v/>
      </c>
      <c r="K2867" s="24" t="str">
        <f aca="false" t="array" ref="K2867:K2867">IF(A2867&lt;&gt;"",IF(COUNTIF(A$996:A2868,"&lt;&gt;")=0,COUNTA(B$996:B2867),IFERROR(MATCH(TRUE(),INDEX((A$996:A2868&lt;&gt;""),0),0),COUNTA(B$996:B2867))),"")</f>
        <v/>
      </c>
      <c r="L2867" s="27"/>
    </row>
    <row r="2868" customFormat="false" ht="13.8" hidden="false" customHeight="false" outlineLevel="0" collapsed="false">
      <c r="A2868" s="16"/>
      <c r="B2868" s="16"/>
      <c r="C2868" s="26"/>
      <c r="D2868" s="26"/>
      <c r="E2868" s="16"/>
      <c r="F2868" s="18"/>
      <c r="G2868" s="19" t="str">
        <f aca="true">IF(F2868="", "", DATEDIF(F2868, TODAY(), "Y"))</f>
        <v/>
      </c>
      <c r="H2868" s="28"/>
      <c r="I2868" s="28"/>
      <c r="J2868" s="24" t="str">
        <f aca="true">IF(ISBLANK(H2868), "", I2868-TODAY())</f>
        <v/>
      </c>
      <c r="K2868" s="24" t="str">
        <f aca="false" t="array" ref="K2868:K2868">IF(A2868&lt;&gt;"",IF(COUNTIF(A$996:A2869,"&lt;&gt;")=0,COUNTA(B$996:B2868),IFERROR(MATCH(TRUE(),INDEX((A$996:A2869&lt;&gt;""),0),0),COUNTA(B$996:B2868))),"")</f>
        <v/>
      </c>
      <c r="L2868" s="27"/>
    </row>
    <row r="2869" customFormat="false" ht="13.8" hidden="false" customHeight="false" outlineLevel="0" collapsed="false">
      <c r="A2869" s="16"/>
      <c r="B2869" s="16"/>
      <c r="C2869" s="26"/>
      <c r="D2869" s="26"/>
      <c r="E2869" s="16"/>
      <c r="F2869" s="18"/>
      <c r="G2869" s="19" t="str">
        <f aca="true">IF(F2869="", "", DATEDIF(F2869, TODAY(), "Y"))</f>
        <v/>
      </c>
      <c r="H2869" s="28"/>
      <c r="I2869" s="28"/>
      <c r="J2869" s="24" t="str">
        <f aca="true">IF(ISBLANK(H2869), "", I2869-TODAY())</f>
        <v/>
      </c>
      <c r="K2869" s="24" t="str">
        <f aca="false" t="array" ref="K2869:K2869">IF(A2869&lt;&gt;"",IF(COUNTIF(A$996:A2870,"&lt;&gt;")=0,COUNTA(B$996:B2869),IFERROR(MATCH(TRUE(),INDEX((A$996:A2870&lt;&gt;""),0),0),COUNTA(B$996:B2869))),"")</f>
        <v/>
      </c>
      <c r="L2869" s="27"/>
    </row>
    <row r="2870" customFormat="false" ht="13.8" hidden="false" customHeight="false" outlineLevel="0" collapsed="false">
      <c r="A2870" s="16"/>
      <c r="B2870" s="16"/>
      <c r="C2870" s="26"/>
      <c r="D2870" s="26"/>
      <c r="E2870" s="16"/>
      <c r="F2870" s="18"/>
      <c r="G2870" s="19" t="str">
        <f aca="true">IF(F2870="", "", DATEDIF(F2870, TODAY(), "Y"))</f>
        <v/>
      </c>
      <c r="H2870" s="28"/>
      <c r="I2870" s="28"/>
      <c r="J2870" s="24" t="str">
        <f aca="true">IF(ISBLANK(H2870), "", I2870-TODAY())</f>
        <v/>
      </c>
      <c r="K2870" s="24" t="str">
        <f aca="false" t="array" ref="K2870:K2870">IF(A2870&lt;&gt;"",IF(COUNTIF(A$996:A2871,"&lt;&gt;")=0,COUNTA(B$996:B2870),IFERROR(MATCH(TRUE(),INDEX((A$996:A2871&lt;&gt;""),0),0),COUNTA(B$996:B2870))),"")</f>
        <v/>
      </c>
      <c r="L2870" s="27"/>
    </row>
    <row r="2871" customFormat="false" ht="13.8" hidden="false" customHeight="false" outlineLevel="0" collapsed="false">
      <c r="A2871" s="16"/>
      <c r="B2871" s="16"/>
      <c r="C2871" s="26"/>
      <c r="D2871" s="26"/>
      <c r="E2871" s="16"/>
      <c r="F2871" s="18"/>
      <c r="G2871" s="19" t="str">
        <f aca="true">IF(F2871="", "", DATEDIF(F2871, TODAY(), "Y"))</f>
        <v/>
      </c>
      <c r="H2871" s="28"/>
      <c r="I2871" s="28"/>
      <c r="J2871" s="24" t="str">
        <f aca="true">IF(ISBLANK(H2871), "", I2871-TODAY())</f>
        <v/>
      </c>
      <c r="K2871" s="24" t="str">
        <f aca="false" t="array" ref="K2871:K2871">IF(A2871&lt;&gt;"",IF(COUNTIF(A$996:A2872,"&lt;&gt;")=0,COUNTA(B$996:B2871),IFERROR(MATCH(TRUE(),INDEX((A$996:A2872&lt;&gt;""),0),0),COUNTA(B$996:B2871))),"")</f>
        <v/>
      </c>
      <c r="L2871" s="27"/>
    </row>
    <row r="2872" customFormat="false" ht="13.8" hidden="false" customHeight="false" outlineLevel="0" collapsed="false">
      <c r="A2872" s="16"/>
      <c r="B2872" s="16"/>
      <c r="C2872" s="26"/>
      <c r="D2872" s="26"/>
      <c r="E2872" s="16"/>
      <c r="F2872" s="18"/>
      <c r="G2872" s="19" t="str">
        <f aca="true">IF(F2872="", "", DATEDIF(F2872, TODAY(), "Y"))</f>
        <v/>
      </c>
      <c r="H2872" s="28"/>
      <c r="I2872" s="28"/>
      <c r="J2872" s="24" t="str">
        <f aca="true">IF(ISBLANK(H2872), "", I2872-TODAY())</f>
        <v/>
      </c>
      <c r="K2872" s="24" t="str">
        <f aca="false" t="array" ref="K2872:K2872">IF(A2872&lt;&gt;"",IF(COUNTIF(A$996:A2873,"&lt;&gt;")=0,COUNTA(B$996:B2872),IFERROR(MATCH(TRUE(),INDEX((A$996:A2873&lt;&gt;""),0),0),COUNTA(B$996:B2872))),"")</f>
        <v/>
      </c>
      <c r="L2872" s="27"/>
    </row>
    <row r="2873" customFormat="false" ht="13.8" hidden="false" customHeight="false" outlineLevel="0" collapsed="false">
      <c r="A2873" s="16"/>
      <c r="B2873" s="16"/>
      <c r="C2873" s="26"/>
      <c r="D2873" s="26"/>
      <c r="E2873" s="16"/>
      <c r="F2873" s="18"/>
      <c r="G2873" s="19" t="str">
        <f aca="true">IF(F2873="", "", DATEDIF(F2873, TODAY(), "Y"))</f>
        <v/>
      </c>
      <c r="H2873" s="28"/>
      <c r="I2873" s="28"/>
      <c r="J2873" s="24" t="str">
        <f aca="true">IF(ISBLANK(H2873), "", I2873-TODAY())</f>
        <v/>
      </c>
      <c r="K2873" s="24" t="str">
        <f aca="false" t="array" ref="K2873:K2873">IF(A2873&lt;&gt;"",IF(COUNTIF(A$996:A2874,"&lt;&gt;")=0,COUNTA(B$996:B2873),IFERROR(MATCH(TRUE(),INDEX((A$996:A2874&lt;&gt;""),0),0),COUNTA(B$996:B2873))),"")</f>
        <v/>
      </c>
      <c r="L2873" s="27"/>
    </row>
    <row r="2874" customFormat="false" ht="13.8" hidden="false" customHeight="false" outlineLevel="0" collapsed="false">
      <c r="A2874" s="16"/>
      <c r="B2874" s="16"/>
      <c r="C2874" s="26"/>
      <c r="D2874" s="26"/>
      <c r="E2874" s="16"/>
      <c r="F2874" s="18"/>
      <c r="G2874" s="19" t="str">
        <f aca="true">IF(F2874="", "", DATEDIF(F2874, TODAY(), "Y"))</f>
        <v/>
      </c>
      <c r="H2874" s="28"/>
      <c r="I2874" s="28"/>
      <c r="J2874" s="24" t="str">
        <f aca="true">IF(ISBLANK(H2874), "", I2874-TODAY())</f>
        <v/>
      </c>
      <c r="K2874" s="24" t="str">
        <f aca="false" t="array" ref="K2874:K2874">IF(A2874&lt;&gt;"",IF(COUNTIF(A$996:A2875,"&lt;&gt;")=0,COUNTA(B$996:B2874),IFERROR(MATCH(TRUE(),INDEX((A$996:A2875&lt;&gt;""),0),0),COUNTA(B$996:B2874))),"")</f>
        <v/>
      </c>
      <c r="L2874" s="27"/>
    </row>
    <row r="2875" customFormat="false" ht="13.8" hidden="false" customHeight="false" outlineLevel="0" collapsed="false">
      <c r="A2875" s="16"/>
      <c r="B2875" s="16"/>
      <c r="C2875" s="26"/>
      <c r="D2875" s="26"/>
      <c r="E2875" s="16"/>
      <c r="F2875" s="18"/>
      <c r="G2875" s="19" t="str">
        <f aca="true">IF(F2875="", "", DATEDIF(F2875, TODAY(), "Y"))</f>
        <v/>
      </c>
      <c r="H2875" s="28"/>
      <c r="I2875" s="28"/>
      <c r="J2875" s="24" t="str">
        <f aca="true">IF(ISBLANK(H2875), "", I2875-TODAY())</f>
        <v/>
      </c>
      <c r="K2875" s="24" t="str">
        <f aca="false" t="array" ref="K2875:K2875">IF(A2875&lt;&gt;"",IF(COUNTIF(A$996:A2876,"&lt;&gt;")=0,COUNTA(B$996:B2875),IFERROR(MATCH(TRUE(),INDEX((A$996:A2876&lt;&gt;""),0),0),COUNTA(B$996:B2875))),"")</f>
        <v/>
      </c>
      <c r="L2875" s="27"/>
    </row>
    <row r="2876" customFormat="false" ht="13.8" hidden="false" customHeight="false" outlineLevel="0" collapsed="false">
      <c r="A2876" s="16"/>
      <c r="B2876" s="16"/>
      <c r="C2876" s="26"/>
      <c r="D2876" s="26"/>
      <c r="E2876" s="16"/>
      <c r="F2876" s="18"/>
      <c r="G2876" s="19" t="str">
        <f aca="true">IF(F2876="", "", DATEDIF(F2876, TODAY(), "Y"))</f>
        <v/>
      </c>
      <c r="H2876" s="28"/>
      <c r="I2876" s="28"/>
      <c r="J2876" s="24" t="str">
        <f aca="true">IF(ISBLANK(H2876), "", I2876-TODAY())</f>
        <v/>
      </c>
      <c r="K2876" s="24" t="str">
        <f aca="false" t="array" ref="K2876:K2876">IF(A2876&lt;&gt;"",IF(COUNTIF(A$996:A2877,"&lt;&gt;")=0,COUNTA(B$996:B2876),IFERROR(MATCH(TRUE(),INDEX((A$996:A2877&lt;&gt;""),0),0),COUNTA(B$996:B2876))),"")</f>
        <v/>
      </c>
      <c r="L2876" s="27"/>
    </row>
    <row r="2877" customFormat="false" ht="13.8" hidden="false" customHeight="false" outlineLevel="0" collapsed="false">
      <c r="A2877" s="16"/>
      <c r="B2877" s="16"/>
      <c r="C2877" s="26"/>
      <c r="D2877" s="26"/>
      <c r="E2877" s="16"/>
      <c r="F2877" s="18"/>
      <c r="G2877" s="19" t="str">
        <f aca="true">IF(F2877="", "", DATEDIF(F2877, TODAY(), "Y"))</f>
        <v/>
      </c>
      <c r="H2877" s="28"/>
      <c r="I2877" s="28"/>
      <c r="J2877" s="24" t="str">
        <f aca="true">IF(ISBLANK(H2877), "", I2877-TODAY())</f>
        <v/>
      </c>
      <c r="K2877" s="24" t="str">
        <f aca="false" t="array" ref="K2877:K2877">IF(A2877&lt;&gt;"",IF(COUNTIF(A$996:A2878,"&lt;&gt;")=0,COUNTA(B$996:B2877),IFERROR(MATCH(TRUE(),INDEX((A$996:A2878&lt;&gt;""),0),0),COUNTA(B$996:B2877))),"")</f>
        <v/>
      </c>
      <c r="L2877" s="27"/>
    </row>
    <row r="2878" customFormat="false" ht="13.8" hidden="false" customHeight="false" outlineLevel="0" collapsed="false">
      <c r="A2878" s="16"/>
      <c r="B2878" s="16"/>
      <c r="C2878" s="26"/>
      <c r="D2878" s="26"/>
      <c r="E2878" s="16"/>
      <c r="F2878" s="18"/>
      <c r="G2878" s="19" t="str">
        <f aca="true">IF(F2878="", "", DATEDIF(F2878, TODAY(), "Y"))</f>
        <v/>
      </c>
      <c r="H2878" s="28"/>
      <c r="I2878" s="28"/>
      <c r="J2878" s="24" t="str">
        <f aca="true">IF(ISBLANK(H2878), "", I2878-TODAY())</f>
        <v/>
      </c>
      <c r="K2878" s="24" t="str">
        <f aca="false" t="array" ref="K2878:K2878">IF(A2878&lt;&gt;"",IF(COUNTIF(A$996:A2879,"&lt;&gt;")=0,COUNTA(B$996:B2878),IFERROR(MATCH(TRUE(),INDEX((A$996:A2879&lt;&gt;""),0),0),COUNTA(B$996:B2878))),"")</f>
        <v/>
      </c>
      <c r="L2878" s="27"/>
    </row>
    <row r="2879" customFormat="false" ht="13.8" hidden="false" customHeight="false" outlineLevel="0" collapsed="false">
      <c r="A2879" s="16"/>
      <c r="B2879" s="16"/>
      <c r="C2879" s="26"/>
      <c r="D2879" s="26"/>
      <c r="E2879" s="16"/>
      <c r="F2879" s="18"/>
      <c r="G2879" s="19" t="str">
        <f aca="true">IF(F2879="", "", DATEDIF(F2879, TODAY(), "Y"))</f>
        <v/>
      </c>
      <c r="H2879" s="28"/>
      <c r="I2879" s="28"/>
      <c r="J2879" s="24" t="str">
        <f aca="true">IF(ISBLANK(H2879), "", I2879-TODAY())</f>
        <v/>
      </c>
      <c r="K2879" s="24" t="str">
        <f aca="false" t="array" ref="K2879:K2879">IF(A2879&lt;&gt;"",IF(COUNTIF(A$996:A2880,"&lt;&gt;")=0,COUNTA(B$996:B2879),IFERROR(MATCH(TRUE(),INDEX((A$996:A2880&lt;&gt;""),0),0),COUNTA(B$996:B2879))),"")</f>
        <v/>
      </c>
      <c r="L2879" s="27"/>
    </row>
    <row r="2880" customFormat="false" ht="13.8" hidden="false" customHeight="false" outlineLevel="0" collapsed="false">
      <c r="A2880" s="16"/>
      <c r="B2880" s="16"/>
      <c r="C2880" s="26"/>
      <c r="D2880" s="26"/>
      <c r="E2880" s="16"/>
      <c r="F2880" s="18"/>
      <c r="G2880" s="19" t="str">
        <f aca="true">IF(F2880="", "", DATEDIF(F2880, TODAY(), "Y"))</f>
        <v/>
      </c>
      <c r="H2880" s="28"/>
      <c r="I2880" s="28"/>
      <c r="J2880" s="24" t="str">
        <f aca="true">IF(ISBLANK(H2880), "", I2880-TODAY())</f>
        <v/>
      </c>
      <c r="K2880" s="24" t="str">
        <f aca="false" t="array" ref="K2880:K2880">IF(A2880&lt;&gt;"",IF(COUNTIF(A$996:A2881,"&lt;&gt;")=0,COUNTA(B$996:B2880),IFERROR(MATCH(TRUE(),INDEX((A$996:A2881&lt;&gt;""),0),0),COUNTA(B$996:B2880))),"")</f>
        <v/>
      </c>
      <c r="L2880" s="27"/>
    </row>
    <row r="2881" customFormat="false" ht="13.8" hidden="false" customHeight="false" outlineLevel="0" collapsed="false">
      <c r="A2881" s="16"/>
      <c r="B2881" s="16"/>
      <c r="C2881" s="26"/>
      <c r="D2881" s="26"/>
      <c r="E2881" s="16"/>
      <c r="F2881" s="18"/>
      <c r="G2881" s="19" t="str">
        <f aca="true">IF(F2881="", "", DATEDIF(F2881, TODAY(), "Y"))</f>
        <v/>
      </c>
      <c r="H2881" s="28"/>
      <c r="I2881" s="28"/>
      <c r="J2881" s="24" t="str">
        <f aca="true">IF(ISBLANK(H2881), "", I2881-TODAY())</f>
        <v/>
      </c>
      <c r="K2881" s="24" t="str">
        <f aca="false" t="array" ref="K2881:K2881">IF(A2881&lt;&gt;"",IF(COUNTIF(A$996:A2882,"&lt;&gt;")=0,COUNTA(B$996:B2881),IFERROR(MATCH(TRUE(),INDEX((A$996:A2882&lt;&gt;""),0),0),COUNTA(B$996:B2881))),"")</f>
        <v/>
      </c>
      <c r="L2881" s="27"/>
    </row>
    <row r="2882" customFormat="false" ht="13.8" hidden="false" customHeight="false" outlineLevel="0" collapsed="false">
      <c r="A2882" s="16"/>
      <c r="B2882" s="16"/>
      <c r="C2882" s="26"/>
      <c r="D2882" s="26"/>
      <c r="E2882" s="16"/>
      <c r="F2882" s="18"/>
      <c r="G2882" s="19" t="str">
        <f aca="true">IF(F2882="", "", DATEDIF(F2882, TODAY(), "Y"))</f>
        <v/>
      </c>
      <c r="H2882" s="28"/>
      <c r="I2882" s="28"/>
      <c r="J2882" s="24" t="str">
        <f aca="true">IF(ISBLANK(H2882), "", I2882-TODAY())</f>
        <v/>
      </c>
      <c r="K2882" s="24" t="str">
        <f aca="false" t="array" ref="K2882:K2882">IF(A2882&lt;&gt;"",IF(COUNTIF(A$996:A2883,"&lt;&gt;")=0,COUNTA(B$996:B2882),IFERROR(MATCH(TRUE(),INDEX((A$996:A2883&lt;&gt;""),0),0),COUNTA(B$996:B2882))),"")</f>
        <v/>
      </c>
      <c r="L2882" s="27"/>
    </row>
    <row r="2883" customFormat="false" ht="13.8" hidden="false" customHeight="false" outlineLevel="0" collapsed="false">
      <c r="A2883" s="16"/>
      <c r="B2883" s="16"/>
      <c r="C2883" s="26"/>
      <c r="D2883" s="26"/>
      <c r="E2883" s="16"/>
      <c r="F2883" s="18"/>
      <c r="G2883" s="19" t="str">
        <f aca="true">IF(F2883="", "", DATEDIF(F2883, TODAY(), "Y"))</f>
        <v/>
      </c>
      <c r="H2883" s="28"/>
      <c r="I2883" s="28"/>
      <c r="J2883" s="24" t="str">
        <f aca="true">IF(ISBLANK(H2883), "", I2883-TODAY())</f>
        <v/>
      </c>
      <c r="K2883" s="24" t="str">
        <f aca="false" t="array" ref="K2883:K2883">IF(A2883&lt;&gt;"",IF(COUNTIF(A$996:A2884,"&lt;&gt;")=0,COUNTA(B$996:B2883),IFERROR(MATCH(TRUE(),INDEX((A$996:A2884&lt;&gt;""),0),0),COUNTA(B$996:B2883))),"")</f>
        <v/>
      </c>
      <c r="L2883" s="27"/>
    </row>
    <row r="2884" customFormat="false" ht="13.8" hidden="false" customHeight="false" outlineLevel="0" collapsed="false">
      <c r="A2884" s="16"/>
      <c r="B2884" s="16"/>
      <c r="C2884" s="26"/>
      <c r="D2884" s="26"/>
      <c r="E2884" s="16"/>
      <c r="F2884" s="18"/>
      <c r="G2884" s="19" t="str">
        <f aca="true">IF(F2884="", "", DATEDIF(F2884, TODAY(), "Y"))</f>
        <v/>
      </c>
      <c r="H2884" s="28"/>
      <c r="I2884" s="28"/>
      <c r="J2884" s="24" t="str">
        <f aca="true">IF(ISBLANK(H2884), "", I2884-TODAY())</f>
        <v/>
      </c>
      <c r="K2884" s="24" t="str">
        <f aca="false" t="array" ref="K2884:K2884">IF(A2884&lt;&gt;"",IF(COUNTIF(A$996:A2885,"&lt;&gt;")=0,COUNTA(B$996:B2884),IFERROR(MATCH(TRUE(),INDEX((A$996:A2885&lt;&gt;""),0),0),COUNTA(B$996:B2884))),"")</f>
        <v/>
      </c>
      <c r="L2884" s="27"/>
    </row>
    <row r="2885" customFormat="false" ht="13.8" hidden="false" customHeight="false" outlineLevel="0" collapsed="false">
      <c r="A2885" s="16"/>
      <c r="B2885" s="16"/>
      <c r="C2885" s="26"/>
      <c r="D2885" s="26"/>
      <c r="E2885" s="16"/>
      <c r="F2885" s="18"/>
      <c r="G2885" s="19" t="str">
        <f aca="true">IF(F2885="", "", DATEDIF(F2885, TODAY(), "Y"))</f>
        <v/>
      </c>
      <c r="H2885" s="28"/>
      <c r="I2885" s="28"/>
      <c r="J2885" s="24" t="str">
        <f aca="true">IF(ISBLANK(H2885), "", I2885-TODAY())</f>
        <v/>
      </c>
      <c r="K2885" s="24" t="str">
        <f aca="false" t="array" ref="K2885:K2885">IF(A2885&lt;&gt;"",IF(COUNTIF(A$996:A2886,"&lt;&gt;")=0,COUNTA(B$996:B2885),IFERROR(MATCH(TRUE(),INDEX((A$996:A2886&lt;&gt;""),0),0),COUNTA(B$996:B2885))),"")</f>
        <v/>
      </c>
      <c r="L2885" s="27"/>
    </row>
    <row r="2886" customFormat="false" ht="13.8" hidden="false" customHeight="false" outlineLevel="0" collapsed="false">
      <c r="A2886" s="16"/>
      <c r="B2886" s="16"/>
      <c r="C2886" s="26"/>
      <c r="D2886" s="26"/>
      <c r="E2886" s="16"/>
      <c r="F2886" s="18"/>
      <c r="G2886" s="19" t="str">
        <f aca="true">IF(F2886="", "", DATEDIF(F2886, TODAY(), "Y"))</f>
        <v/>
      </c>
      <c r="H2886" s="28"/>
      <c r="I2886" s="28"/>
      <c r="J2886" s="24" t="str">
        <f aca="true">IF(ISBLANK(H2886), "", I2886-TODAY())</f>
        <v/>
      </c>
      <c r="K2886" s="24" t="str">
        <f aca="false" t="array" ref="K2886:K2886">IF(A2886&lt;&gt;"",IF(COUNTIF(A$996:A2887,"&lt;&gt;")=0,COUNTA(B$996:B2886),IFERROR(MATCH(TRUE(),INDEX((A$996:A2887&lt;&gt;""),0),0),COUNTA(B$996:B2886))),"")</f>
        <v/>
      </c>
      <c r="L2886" s="27"/>
    </row>
    <row r="2887" customFormat="false" ht="13.8" hidden="false" customHeight="false" outlineLevel="0" collapsed="false">
      <c r="A2887" s="16"/>
      <c r="B2887" s="16"/>
      <c r="C2887" s="26"/>
      <c r="D2887" s="26"/>
      <c r="E2887" s="16"/>
      <c r="F2887" s="18"/>
      <c r="G2887" s="19" t="str">
        <f aca="true">IF(F2887="", "", DATEDIF(F2887, TODAY(), "Y"))</f>
        <v/>
      </c>
      <c r="H2887" s="28"/>
      <c r="I2887" s="28"/>
      <c r="J2887" s="24" t="str">
        <f aca="true">IF(ISBLANK(H2887), "", I2887-TODAY())</f>
        <v/>
      </c>
      <c r="K2887" s="24" t="str">
        <f aca="false" t="array" ref="K2887:K2887">IF(A2887&lt;&gt;"",IF(COUNTIF(A$996:A2888,"&lt;&gt;")=0,COUNTA(B$996:B2887),IFERROR(MATCH(TRUE(),INDEX((A$996:A2888&lt;&gt;""),0),0),COUNTA(B$996:B2887))),"")</f>
        <v/>
      </c>
      <c r="L2887" s="27"/>
    </row>
    <row r="2888" customFormat="false" ht="13.8" hidden="false" customHeight="false" outlineLevel="0" collapsed="false">
      <c r="A2888" s="16"/>
      <c r="B2888" s="16"/>
      <c r="C2888" s="26"/>
      <c r="D2888" s="26"/>
      <c r="E2888" s="16"/>
      <c r="F2888" s="18"/>
      <c r="G2888" s="19" t="str">
        <f aca="true">IF(F2888="", "", DATEDIF(F2888, TODAY(), "Y"))</f>
        <v/>
      </c>
      <c r="H2888" s="28"/>
      <c r="I2888" s="28"/>
      <c r="J2888" s="24" t="str">
        <f aca="true">IF(ISBLANK(H2888), "", I2888-TODAY())</f>
        <v/>
      </c>
      <c r="K2888" s="24" t="str">
        <f aca="false" t="array" ref="K2888:K2888">IF(A2888&lt;&gt;"",IF(COUNTIF(A$996:A2889,"&lt;&gt;")=0,COUNTA(B$996:B2888),IFERROR(MATCH(TRUE(),INDEX((A$996:A2889&lt;&gt;""),0),0),COUNTA(B$996:B2888))),"")</f>
        <v/>
      </c>
      <c r="L2888" s="27"/>
    </row>
    <row r="2889" customFormat="false" ht="13.8" hidden="false" customHeight="false" outlineLevel="0" collapsed="false">
      <c r="A2889" s="16"/>
      <c r="B2889" s="16"/>
      <c r="C2889" s="26"/>
      <c r="D2889" s="26"/>
      <c r="E2889" s="16"/>
      <c r="F2889" s="18"/>
      <c r="G2889" s="19" t="str">
        <f aca="true">IF(F2889="", "", DATEDIF(F2889, TODAY(), "Y"))</f>
        <v/>
      </c>
      <c r="H2889" s="28"/>
      <c r="I2889" s="28"/>
      <c r="J2889" s="24" t="str">
        <f aca="true">IF(ISBLANK(H2889), "", I2889-TODAY())</f>
        <v/>
      </c>
      <c r="K2889" s="24" t="str">
        <f aca="false" t="array" ref="K2889:K2889">IF(A2889&lt;&gt;"",IF(COUNTIF(A$996:A2890,"&lt;&gt;")=0,COUNTA(B$996:B2889),IFERROR(MATCH(TRUE(),INDEX((A$996:A2890&lt;&gt;""),0),0),COUNTA(B$996:B2889))),"")</f>
        <v/>
      </c>
      <c r="L2889" s="27"/>
    </row>
    <row r="2890" customFormat="false" ht="13.8" hidden="false" customHeight="false" outlineLevel="0" collapsed="false">
      <c r="A2890" s="16"/>
      <c r="B2890" s="16"/>
      <c r="C2890" s="26"/>
      <c r="D2890" s="26"/>
      <c r="E2890" s="16"/>
      <c r="F2890" s="18"/>
      <c r="G2890" s="19" t="str">
        <f aca="true">IF(F2890="", "", DATEDIF(F2890, TODAY(), "Y"))</f>
        <v/>
      </c>
      <c r="H2890" s="28"/>
      <c r="I2890" s="28"/>
      <c r="J2890" s="24" t="str">
        <f aca="true">IF(ISBLANK(H2890), "", I2890-TODAY())</f>
        <v/>
      </c>
      <c r="K2890" s="24" t="str">
        <f aca="false" t="array" ref="K2890:K2890">IF(A2890&lt;&gt;"",IF(COUNTIF(A$996:A2891,"&lt;&gt;")=0,COUNTA(B$996:B2890),IFERROR(MATCH(TRUE(),INDEX((A$996:A2891&lt;&gt;""),0),0),COUNTA(B$996:B2890))),"")</f>
        <v/>
      </c>
      <c r="L2890" s="27"/>
    </row>
    <row r="2891" customFormat="false" ht="13.8" hidden="false" customHeight="false" outlineLevel="0" collapsed="false">
      <c r="A2891" s="16"/>
      <c r="B2891" s="16"/>
      <c r="C2891" s="26"/>
      <c r="D2891" s="26"/>
      <c r="E2891" s="16"/>
      <c r="F2891" s="18"/>
      <c r="G2891" s="19" t="str">
        <f aca="true">IF(F2891="", "", DATEDIF(F2891, TODAY(), "Y"))</f>
        <v/>
      </c>
      <c r="H2891" s="28"/>
      <c r="I2891" s="28"/>
      <c r="J2891" s="24" t="str">
        <f aca="true">IF(ISBLANK(H2891), "", I2891-TODAY())</f>
        <v/>
      </c>
      <c r="K2891" s="24" t="str">
        <f aca="false" t="array" ref="K2891:K2891">IF(A2891&lt;&gt;"",IF(COUNTIF(A$996:A2892,"&lt;&gt;")=0,COUNTA(B$996:B2891),IFERROR(MATCH(TRUE(),INDEX((A$996:A2892&lt;&gt;""),0),0),COUNTA(B$996:B2891))),"")</f>
        <v/>
      </c>
      <c r="L2891" s="27"/>
    </row>
    <row r="2892" customFormat="false" ht="13.8" hidden="false" customHeight="false" outlineLevel="0" collapsed="false">
      <c r="A2892" s="16"/>
      <c r="B2892" s="16"/>
      <c r="C2892" s="26"/>
      <c r="D2892" s="26"/>
      <c r="E2892" s="16"/>
      <c r="F2892" s="18"/>
      <c r="G2892" s="19" t="str">
        <f aca="true">IF(F2892="", "", DATEDIF(F2892, TODAY(), "Y"))</f>
        <v/>
      </c>
      <c r="H2892" s="28"/>
      <c r="I2892" s="28"/>
      <c r="J2892" s="24" t="str">
        <f aca="true">IF(ISBLANK(H2892), "", I2892-TODAY())</f>
        <v/>
      </c>
      <c r="K2892" s="24" t="str">
        <f aca="false" t="array" ref="K2892:K2892">IF(A2892&lt;&gt;"",IF(COUNTIF(A$996:A2893,"&lt;&gt;")=0,COUNTA(B$996:B2892),IFERROR(MATCH(TRUE(),INDEX((A$996:A2893&lt;&gt;""),0),0),COUNTA(B$996:B2892))),"")</f>
        <v/>
      </c>
      <c r="L2892" s="27"/>
    </row>
    <row r="2893" customFormat="false" ht="13.8" hidden="false" customHeight="false" outlineLevel="0" collapsed="false">
      <c r="A2893" s="16"/>
      <c r="B2893" s="16"/>
      <c r="C2893" s="26"/>
      <c r="D2893" s="26"/>
      <c r="E2893" s="16"/>
      <c r="F2893" s="18"/>
      <c r="G2893" s="19" t="str">
        <f aca="true">IF(F2893="", "", DATEDIF(F2893, TODAY(), "Y"))</f>
        <v/>
      </c>
      <c r="H2893" s="28"/>
      <c r="I2893" s="28"/>
      <c r="J2893" s="24" t="str">
        <f aca="true">IF(ISBLANK(H2893), "", I2893-TODAY())</f>
        <v/>
      </c>
      <c r="K2893" s="24" t="str">
        <f aca="false" t="array" ref="K2893:K2893">IF(A2893&lt;&gt;"",IF(COUNTIF(A$996:A2894,"&lt;&gt;")=0,COUNTA(B$996:B2893),IFERROR(MATCH(TRUE(),INDEX((A$996:A2894&lt;&gt;""),0),0),COUNTA(B$996:B2893))),"")</f>
        <v/>
      </c>
      <c r="L2893" s="27"/>
    </row>
    <row r="2894" customFormat="false" ht="13.8" hidden="false" customHeight="false" outlineLevel="0" collapsed="false">
      <c r="A2894" s="16"/>
      <c r="B2894" s="16"/>
      <c r="C2894" s="26"/>
      <c r="D2894" s="26"/>
      <c r="E2894" s="16"/>
      <c r="F2894" s="18"/>
      <c r="G2894" s="19" t="str">
        <f aca="true">IF(F2894="", "", DATEDIF(F2894, TODAY(), "Y"))</f>
        <v/>
      </c>
      <c r="H2894" s="28"/>
      <c r="I2894" s="28"/>
      <c r="J2894" s="24" t="str">
        <f aca="true">IF(ISBLANK(H2894), "", I2894-TODAY())</f>
        <v/>
      </c>
      <c r="K2894" s="24" t="str">
        <f aca="false" t="array" ref="K2894:K2894">IF(A2894&lt;&gt;"",IF(COUNTIF(A$996:A2895,"&lt;&gt;")=0,COUNTA(B$996:B2894),IFERROR(MATCH(TRUE(),INDEX((A$996:A2895&lt;&gt;""),0),0),COUNTA(B$996:B2894))),"")</f>
        <v/>
      </c>
      <c r="L2894" s="27"/>
    </row>
    <row r="2895" customFormat="false" ht="13.8" hidden="false" customHeight="false" outlineLevel="0" collapsed="false">
      <c r="A2895" s="16"/>
      <c r="B2895" s="16"/>
      <c r="C2895" s="26"/>
      <c r="D2895" s="26"/>
      <c r="E2895" s="16"/>
      <c r="F2895" s="18"/>
      <c r="G2895" s="19" t="str">
        <f aca="true">IF(F2895="", "", DATEDIF(F2895, TODAY(), "Y"))</f>
        <v/>
      </c>
      <c r="H2895" s="28"/>
      <c r="I2895" s="28"/>
      <c r="J2895" s="24" t="str">
        <f aca="true">IF(ISBLANK(H2895), "", I2895-TODAY())</f>
        <v/>
      </c>
      <c r="K2895" s="24" t="str">
        <f aca="false" t="array" ref="K2895:K2895">IF(A2895&lt;&gt;"",IF(COUNTIF(A$996:A2896,"&lt;&gt;")=0,COUNTA(B$996:B2895),IFERROR(MATCH(TRUE(),INDEX((A$996:A2896&lt;&gt;""),0),0),COUNTA(B$996:B2895))),"")</f>
        <v/>
      </c>
      <c r="L2895" s="27"/>
    </row>
    <row r="2896" customFormat="false" ht="13.8" hidden="false" customHeight="false" outlineLevel="0" collapsed="false">
      <c r="A2896" s="16"/>
      <c r="B2896" s="16"/>
      <c r="C2896" s="26"/>
      <c r="D2896" s="26"/>
      <c r="E2896" s="16"/>
      <c r="F2896" s="18"/>
      <c r="G2896" s="19" t="str">
        <f aca="true">IF(F2896="", "", DATEDIF(F2896, TODAY(), "Y"))</f>
        <v/>
      </c>
      <c r="H2896" s="28"/>
      <c r="I2896" s="28"/>
      <c r="J2896" s="24" t="str">
        <f aca="true">IF(ISBLANK(H2896), "", I2896-TODAY())</f>
        <v/>
      </c>
      <c r="K2896" s="24" t="str">
        <f aca="false" t="array" ref="K2896:K2896">IF(A2896&lt;&gt;"",IF(COUNTIF(A$996:A2897,"&lt;&gt;")=0,COUNTA(B$996:B2896),IFERROR(MATCH(TRUE(),INDEX((A$996:A2897&lt;&gt;""),0),0),COUNTA(B$996:B2896))),"")</f>
        <v/>
      </c>
      <c r="L2896" s="27"/>
    </row>
    <row r="2897" customFormat="false" ht="13.8" hidden="false" customHeight="false" outlineLevel="0" collapsed="false">
      <c r="A2897" s="16"/>
      <c r="B2897" s="16"/>
      <c r="C2897" s="26"/>
      <c r="D2897" s="26"/>
      <c r="E2897" s="16"/>
      <c r="F2897" s="18"/>
      <c r="G2897" s="19" t="str">
        <f aca="true">IF(F2897="", "", DATEDIF(F2897, TODAY(), "Y"))</f>
        <v/>
      </c>
      <c r="H2897" s="28"/>
      <c r="I2897" s="28"/>
      <c r="J2897" s="24" t="str">
        <f aca="true">IF(ISBLANK(H2897), "", I2897-TODAY())</f>
        <v/>
      </c>
      <c r="K2897" s="24" t="str">
        <f aca="false" t="array" ref="K2897:K2897">IF(A2897&lt;&gt;"",IF(COUNTIF(A$996:A2898,"&lt;&gt;")=0,COUNTA(B$996:B2897),IFERROR(MATCH(TRUE(),INDEX((A$996:A2898&lt;&gt;""),0),0),COUNTA(B$996:B2897))),"")</f>
        <v/>
      </c>
      <c r="L2897" s="27"/>
    </row>
    <row r="2898" customFormat="false" ht="13.8" hidden="false" customHeight="false" outlineLevel="0" collapsed="false">
      <c r="A2898" s="16"/>
      <c r="B2898" s="16"/>
      <c r="C2898" s="26"/>
      <c r="D2898" s="26"/>
      <c r="E2898" s="16"/>
      <c r="F2898" s="18"/>
      <c r="G2898" s="19" t="str">
        <f aca="true">IF(F2898="", "", DATEDIF(F2898, TODAY(), "Y"))</f>
        <v/>
      </c>
      <c r="H2898" s="28"/>
      <c r="I2898" s="28"/>
      <c r="J2898" s="24" t="str">
        <f aca="true">IF(ISBLANK(H2898), "", I2898-TODAY())</f>
        <v/>
      </c>
      <c r="K2898" s="24" t="str">
        <f aca="false" t="array" ref="K2898:K2898">IF(A2898&lt;&gt;"",IF(COUNTIF(A$996:A2899,"&lt;&gt;")=0,COUNTA(B$996:B2898),IFERROR(MATCH(TRUE(),INDEX((A$996:A2899&lt;&gt;""),0),0),COUNTA(B$996:B2898))),"")</f>
        <v/>
      </c>
      <c r="L2898" s="27"/>
    </row>
    <row r="2899" customFormat="false" ht="13.8" hidden="false" customHeight="false" outlineLevel="0" collapsed="false">
      <c r="A2899" s="16"/>
      <c r="B2899" s="16"/>
      <c r="C2899" s="26"/>
      <c r="D2899" s="26"/>
      <c r="E2899" s="16"/>
      <c r="F2899" s="18"/>
      <c r="G2899" s="19" t="str">
        <f aca="true">IF(F2899="", "", DATEDIF(F2899, TODAY(), "Y"))</f>
        <v/>
      </c>
      <c r="H2899" s="28"/>
      <c r="I2899" s="28"/>
      <c r="J2899" s="24" t="str">
        <f aca="true">IF(ISBLANK(H2899), "", I2899-TODAY())</f>
        <v/>
      </c>
      <c r="K2899" s="24" t="str">
        <f aca="false" t="array" ref="K2899:K2899">IF(A2899&lt;&gt;"",IF(COUNTIF(A$996:A2900,"&lt;&gt;")=0,COUNTA(B$996:B2899),IFERROR(MATCH(TRUE(),INDEX((A$996:A2900&lt;&gt;""),0),0),COUNTA(B$996:B2899))),"")</f>
        <v/>
      </c>
      <c r="L2899" s="27"/>
    </row>
    <row r="2900" customFormat="false" ht="13.8" hidden="false" customHeight="false" outlineLevel="0" collapsed="false">
      <c r="A2900" s="16"/>
      <c r="B2900" s="16"/>
      <c r="C2900" s="26"/>
      <c r="D2900" s="26"/>
      <c r="E2900" s="16"/>
      <c r="F2900" s="18"/>
      <c r="G2900" s="19" t="str">
        <f aca="true">IF(F2900="", "", DATEDIF(F2900, TODAY(), "Y"))</f>
        <v/>
      </c>
      <c r="H2900" s="28"/>
      <c r="I2900" s="28"/>
      <c r="J2900" s="24" t="str">
        <f aca="true">IF(ISBLANK(H2900), "", I2900-TODAY())</f>
        <v/>
      </c>
      <c r="K2900" s="24" t="str">
        <f aca="false" t="array" ref="K2900:K2900">IF(A2900&lt;&gt;"",IF(COUNTIF(A$996:A2901,"&lt;&gt;")=0,COUNTA(B$996:B2900),IFERROR(MATCH(TRUE(),INDEX((A$996:A2901&lt;&gt;""),0),0),COUNTA(B$996:B2900))),"")</f>
        <v/>
      </c>
      <c r="L2900" s="27"/>
    </row>
    <row r="2901" customFormat="false" ht="13.8" hidden="false" customHeight="false" outlineLevel="0" collapsed="false">
      <c r="A2901" s="16"/>
      <c r="B2901" s="16"/>
      <c r="C2901" s="26"/>
      <c r="D2901" s="26"/>
      <c r="E2901" s="16"/>
      <c r="F2901" s="18"/>
      <c r="G2901" s="19" t="str">
        <f aca="true">IF(F2901="", "", DATEDIF(F2901, TODAY(), "Y"))</f>
        <v/>
      </c>
      <c r="H2901" s="28"/>
      <c r="I2901" s="28"/>
      <c r="J2901" s="24" t="str">
        <f aca="true">IF(ISBLANK(H2901), "", I2901-TODAY())</f>
        <v/>
      </c>
      <c r="K2901" s="24" t="str">
        <f aca="false" t="array" ref="K2901:K2901">IF(A2901&lt;&gt;"",IF(COUNTIF(A$996:A2902,"&lt;&gt;")=0,COUNTA(B$996:B2901),IFERROR(MATCH(TRUE(),INDEX((A$996:A2902&lt;&gt;""),0),0),COUNTA(B$996:B2901))),"")</f>
        <v/>
      </c>
      <c r="L2901" s="27"/>
    </row>
    <row r="2902" customFormat="false" ht="13.8" hidden="false" customHeight="false" outlineLevel="0" collapsed="false">
      <c r="A2902" s="16"/>
      <c r="B2902" s="16"/>
      <c r="C2902" s="26"/>
      <c r="D2902" s="26"/>
      <c r="E2902" s="16"/>
      <c r="F2902" s="18"/>
      <c r="G2902" s="19" t="str">
        <f aca="true">IF(F2902="", "", DATEDIF(F2902, TODAY(), "Y"))</f>
        <v/>
      </c>
      <c r="H2902" s="28"/>
      <c r="I2902" s="28"/>
      <c r="J2902" s="24" t="str">
        <f aca="true">IF(ISBLANK(H2902), "", I2902-TODAY())</f>
        <v/>
      </c>
      <c r="K2902" s="24" t="str">
        <f aca="false" t="array" ref="K2902:K2902">IF(A2902&lt;&gt;"",IF(COUNTIF(A$996:A2903,"&lt;&gt;")=0,COUNTA(B$996:B2902),IFERROR(MATCH(TRUE(),INDEX((A$996:A2903&lt;&gt;""),0),0),COUNTA(B$996:B2902))),"")</f>
        <v/>
      </c>
      <c r="L2902" s="27"/>
    </row>
    <row r="2903" customFormat="false" ht="13.8" hidden="false" customHeight="false" outlineLevel="0" collapsed="false">
      <c r="A2903" s="16"/>
      <c r="B2903" s="16"/>
      <c r="C2903" s="26"/>
      <c r="D2903" s="26"/>
      <c r="E2903" s="16"/>
      <c r="F2903" s="18"/>
      <c r="G2903" s="19" t="str">
        <f aca="true">IF(F2903="", "", DATEDIF(F2903, TODAY(), "Y"))</f>
        <v/>
      </c>
      <c r="H2903" s="28"/>
      <c r="I2903" s="28"/>
      <c r="J2903" s="24" t="str">
        <f aca="true">IF(ISBLANK(H2903), "", I2903-TODAY())</f>
        <v/>
      </c>
      <c r="K2903" s="24" t="str">
        <f aca="false" t="array" ref="K2903:K2903">IF(A2903&lt;&gt;"",IF(COUNTIF(A$996:A2904,"&lt;&gt;")=0,COUNTA(B$996:B2903),IFERROR(MATCH(TRUE(),INDEX((A$996:A2904&lt;&gt;""),0),0),COUNTA(B$996:B2903))),"")</f>
        <v/>
      </c>
      <c r="L2903" s="27"/>
    </row>
    <row r="2904" customFormat="false" ht="13.8" hidden="false" customHeight="false" outlineLevel="0" collapsed="false">
      <c r="A2904" s="16"/>
      <c r="B2904" s="16"/>
      <c r="C2904" s="26"/>
      <c r="D2904" s="26"/>
      <c r="E2904" s="16"/>
      <c r="F2904" s="18"/>
      <c r="G2904" s="19" t="str">
        <f aca="true">IF(F2904="", "", DATEDIF(F2904, TODAY(), "Y"))</f>
        <v/>
      </c>
      <c r="H2904" s="28"/>
      <c r="I2904" s="28"/>
      <c r="J2904" s="24" t="str">
        <f aca="true">IF(ISBLANK(H2904), "", I2904-TODAY())</f>
        <v/>
      </c>
      <c r="K2904" s="24" t="str">
        <f aca="false" t="array" ref="K2904:K2904">IF(A2904&lt;&gt;"",IF(COUNTIF(A$996:A2905,"&lt;&gt;")=0,COUNTA(B$996:B2904),IFERROR(MATCH(TRUE(),INDEX((A$996:A2905&lt;&gt;""),0),0),COUNTA(B$996:B2904))),"")</f>
        <v/>
      </c>
      <c r="L2904" s="27"/>
    </row>
    <row r="2905" customFormat="false" ht="13.8" hidden="false" customHeight="false" outlineLevel="0" collapsed="false">
      <c r="A2905" s="16"/>
      <c r="B2905" s="16"/>
      <c r="C2905" s="26"/>
      <c r="D2905" s="26"/>
      <c r="E2905" s="16"/>
      <c r="F2905" s="18"/>
      <c r="G2905" s="19" t="str">
        <f aca="true">IF(F2905="", "", DATEDIF(F2905, TODAY(), "Y"))</f>
        <v/>
      </c>
      <c r="H2905" s="28"/>
      <c r="I2905" s="28"/>
      <c r="J2905" s="24" t="str">
        <f aca="true">IF(ISBLANK(H2905), "", I2905-TODAY())</f>
        <v/>
      </c>
      <c r="K2905" s="24" t="str">
        <f aca="false" t="array" ref="K2905:K2905">IF(A2905&lt;&gt;"",IF(COUNTIF(A$996:A2906,"&lt;&gt;")=0,COUNTA(B$996:B2905),IFERROR(MATCH(TRUE(),INDEX((A$996:A2906&lt;&gt;""),0),0),COUNTA(B$996:B2905))),"")</f>
        <v/>
      </c>
      <c r="L2905" s="27"/>
    </row>
    <row r="2906" customFormat="false" ht="13.8" hidden="false" customHeight="false" outlineLevel="0" collapsed="false">
      <c r="A2906" s="16"/>
      <c r="B2906" s="16"/>
      <c r="C2906" s="26"/>
      <c r="D2906" s="26"/>
      <c r="E2906" s="16"/>
      <c r="F2906" s="18"/>
      <c r="G2906" s="19" t="str">
        <f aca="true">IF(F2906="", "", DATEDIF(F2906, TODAY(), "Y"))</f>
        <v/>
      </c>
      <c r="H2906" s="28"/>
      <c r="I2906" s="28"/>
      <c r="J2906" s="24" t="str">
        <f aca="true">IF(ISBLANK(H2906), "", I2906-TODAY())</f>
        <v/>
      </c>
      <c r="K2906" s="24" t="str">
        <f aca="false" t="array" ref="K2906:K2906">IF(A2906&lt;&gt;"",IF(COUNTIF(A$996:A2907,"&lt;&gt;")=0,COUNTA(B$996:B2906),IFERROR(MATCH(TRUE(),INDEX((A$996:A2907&lt;&gt;""),0),0),COUNTA(B$996:B2906))),"")</f>
        <v/>
      </c>
      <c r="L2906" s="27"/>
    </row>
    <row r="2907" customFormat="false" ht="13.8" hidden="false" customHeight="false" outlineLevel="0" collapsed="false">
      <c r="A2907" s="16"/>
      <c r="B2907" s="16"/>
      <c r="C2907" s="26"/>
      <c r="D2907" s="26"/>
      <c r="E2907" s="16"/>
      <c r="F2907" s="18"/>
      <c r="G2907" s="19" t="str">
        <f aca="true">IF(F2907="", "", DATEDIF(F2907, TODAY(), "Y"))</f>
        <v/>
      </c>
      <c r="H2907" s="28"/>
      <c r="I2907" s="28"/>
      <c r="J2907" s="24" t="str">
        <f aca="true">IF(ISBLANK(H2907), "", I2907-TODAY())</f>
        <v/>
      </c>
      <c r="K2907" s="24" t="str">
        <f aca="false" t="array" ref="K2907:K2907">IF(A2907&lt;&gt;"",IF(COUNTIF(A$996:A2908,"&lt;&gt;")=0,COUNTA(B$996:B2907),IFERROR(MATCH(TRUE(),INDEX((A$996:A2908&lt;&gt;""),0),0),COUNTA(B$996:B2907))),"")</f>
        <v/>
      </c>
      <c r="L2907" s="27"/>
    </row>
    <row r="2908" customFormat="false" ht="13.8" hidden="false" customHeight="false" outlineLevel="0" collapsed="false">
      <c r="A2908" s="16"/>
      <c r="B2908" s="16"/>
      <c r="C2908" s="26"/>
      <c r="D2908" s="26"/>
      <c r="E2908" s="16"/>
      <c r="F2908" s="18"/>
      <c r="G2908" s="19" t="str">
        <f aca="true">IF(F2908="", "", DATEDIF(F2908, TODAY(), "Y"))</f>
        <v/>
      </c>
      <c r="H2908" s="28"/>
      <c r="I2908" s="28"/>
      <c r="J2908" s="24" t="str">
        <f aca="true">IF(ISBLANK(H2908), "", I2908-TODAY())</f>
        <v/>
      </c>
      <c r="K2908" s="24" t="str">
        <f aca="false" t="array" ref="K2908:K2908">IF(A2908&lt;&gt;"",IF(COUNTIF(A$996:A2909,"&lt;&gt;")=0,COUNTA(B$996:B2908),IFERROR(MATCH(TRUE(),INDEX((A$996:A2909&lt;&gt;""),0),0),COUNTA(B$996:B2908))),"")</f>
        <v/>
      </c>
      <c r="L2908" s="27"/>
    </row>
    <row r="2909" customFormat="false" ht="13.8" hidden="false" customHeight="false" outlineLevel="0" collapsed="false">
      <c r="A2909" s="16"/>
      <c r="B2909" s="16"/>
      <c r="C2909" s="26"/>
      <c r="D2909" s="26"/>
      <c r="E2909" s="16"/>
      <c r="F2909" s="18"/>
      <c r="G2909" s="19" t="str">
        <f aca="true">IF(F2909="", "", DATEDIF(F2909, TODAY(), "Y"))</f>
        <v/>
      </c>
      <c r="H2909" s="28"/>
      <c r="I2909" s="28"/>
      <c r="J2909" s="24" t="str">
        <f aca="true">IF(ISBLANK(H2909), "", I2909-TODAY())</f>
        <v/>
      </c>
      <c r="K2909" s="24" t="str">
        <f aca="false" t="array" ref="K2909:K2909">IF(A2909&lt;&gt;"",IF(COUNTIF(A$996:A2910,"&lt;&gt;")=0,COUNTA(B$996:B2909),IFERROR(MATCH(TRUE(),INDEX((A$996:A2910&lt;&gt;""),0),0),COUNTA(B$996:B2909))),"")</f>
        <v/>
      </c>
      <c r="L2909" s="27"/>
    </row>
    <row r="2910" customFormat="false" ht="13.8" hidden="false" customHeight="false" outlineLevel="0" collapsed="false">
      <c r="A2910" s="16"/>
      <c r="B2910" s="16"/>
      <c r="C2910" s="26"/>
      <c r="D2910" s="26"/>
      <c r="E2910" s="16"/>
      <c r="F2910" s="18"/>
      <c r="G2910" s="19" t="str">
        <f aca="true">IF(F2910="", "", DATEDIF(F2910, TODAY(), "Y"))</f>
        <v/>
      </c>
      <c r="H2910" s="28"/>
      <c r="I2910" s="28"/>
      <c r="J2910" s="24" t="str">
        <f aca="true">IF(ISBLANK(H2910), "", I2910-TODAY())</f>
        <v/>
      </c>
      <c r="K2910" s="24" t="str">
        <f aca="false" t="array" ref="K2910:K2910">IF(A2910&lt;&gt;"",IF(COUNTIF(A$996:A2911,"&lt;&gt;")=0,COUNTA(B$996:B2910),IFERROR(MATCH(TRUE(),INDEX((A$996:A2911&lt;&gt;""),0),0),COUNTA(B$996:B2910))),"")</f>
        <v/>
      </c>
      <c r="L2910" s="27"/>
    </row>
    <row r="2911" customFormat="false" ht="13.8" hidden="false" customHeight="false" outlineLevel="0" collapsed="false">
      <c r="A2911" s="16"/>
      <c r="B2911" s="16"/>
      <c r="C2911" s="26"/>
      <c r="D2911" s="26"/>
      <c r="E2911" s="16"/>
      <c r="F2911" s="18"/>
      <c r="G2911" s="19" t="str">
        <f aca="true">IF(F2911="", "", DATEDIF(F2911, TODAY(), "Y"))</f>
        <v/>
      </c>
      <c r="H2911" s="28"/>
      <c r="I2911" s="28"/>
      <c r="J2911" s="24" t="str">
        <f aca="true">IF(ISBLANK(H2911), "", I2911-TODAY())</f>
        <v/>
      </c>
      <c r="K2911" s="24" t="str">
        <f aca="false" t="array" ref="K2911:K2911">IF(A2911&lt;&gt;"",IF(COUNTIF(A$996:A2912,"&lt;&gt;")=0,COUNTA(B$996:B2911),IFERROR(MATCH(TRUE(),INDEX((A$996:A2912&lt;&gt;""),0),0),COUNTA(B$996:B2911))),"")</f>
        <v/>
      </c>
      <c r="L2911" s="27"/>
    </row>
    <row r="2912" customFormat="false" ht="13.8" hidden="false" customHeight="false" outlineLevel="0" collapsed="false">
      <c r="A2912" s="16"/>
      <c r="B2912" s="16"/>
      <c r="C2912" s="26"/>
      <c r="D2912" s="26"/>
      <c r="E2912" s="16"/>
      <c r="F2912" s="18"/>
      <c r="G2912" s="19" t="str">
        <f aca="true">IF(F2912="", "", DATEDIF(F2912, TODAY(), "Y"))</f>
        <v/>
      </c>
      <c r="H2912" s="28"/>
      <c r="I2912" s="28"/>
      <c r="J2912" s="24" t="str">
        <f aca="true">IF(ISBLANK(H2912), "", I2912-TODAY())</f>
        <v/>
      </c>
      <c r="K2912" s="24" t="str">
        <f aca="false" t="array" ref="K2912:K2912">IF(A2912&lt;&gt;"",IF(COUNTIF(A$996:A2913,"&lt;&gt;")=0,COUNTA(B$996:B2912),IFERROR(MATCH(TRUE(),INDEX((A$996:A2913&lt;&gt;""),0),0),COUNTA(B$996:B2912))),"")</f>
        <v/>
      </c>
      <c r="L2912" s="27"/>
    </row>
    <row r="2913" customFormat="false" ht="13.8" hidden="false" customHeight="false" outlineLevel="0" collapsed="false">
      <c r="A2913" s="16"/>
      <c r="B2913" s="16"/>
      <c r="C2913" s="26"/>
      <c r="D2913" s="26"/>
      <c r="E2913" s="16"/>
      <c r="F2913" s="18"/>
      <c r="G2913" s="19" t="str">
        <f aca="true">IF(F2913="", "", DATEDIF(F2913, TODAY(), "Y"))</f>
        <v/>
      </c>
      <c r="H2913" s="28"/>
      <c r="I2913" s="28"/>
      <c r="J2913" s="24" t="str">
        <f aca="true">IF(ISBLANK(H2913), "", I2913-TODAY())</f>
        <v/>
      </c>
      <c r="K2913" s="24" t="str">
        <f aca="false" t="array" ref="K2913:K2913">IF(A2913&lt;&gt;"",IF(COUNTIF(A$996:A2914,"&lt;&gt;")=0,COUNTA(B$996:B2913),IFERROR(MATCH(TRUE(),INDEX((A$996:A2914&lt;&gt;""),0),0),COUNTA(B$996:B2913))),"")</f>
        <v/>
      </c>
      <c r="L2913" s="27"/>
    </row>
    <row r="2914" customFormat="false" ht="13.8" hidden="false" customHeight="false" outlineLevel="0" collapsed="false">
      <c r="A2914" s="16"/>
      <c r="B2914" s="16"/>
      <c r="C2914" s="26"/>
      <c r="D2914" s="26"/>
      <c r="E2914" s="16"/>
      <c r="F2914" s="18"/>
      <c r="G2914" s="19" t="str">
        <f aca="true">IF(F2914="", "", DATEDIF(F2914, TODAY(), "Y"))</f>
        <v/>
      </c>
      <c r="H2914" s="28"/>
      <c r="I2914" s="28"/>
      <c r="J2914" s="24" t="str">
        <f aca="true">IF(ISBLANK(H2914), "", I2914-TODAY())</f>
        <v/>
      </c>
      <c r="K2914" s="24" t="str">
        <f aca="false" t="array" ref="K2914:K2914">IF(A2914&lt;&gt;"",IF(COUNTIF(A$996:A2915,"&lt;&gt;")=0,COUNTA(B$996:B2914),IFERROR(MATCH(TRUE(),INDEX((A$996:A2915&lt;&gt;""),0),0),COUNTA(B$996:B2914))),"")</f>
        <v/>
      </c>
      <c r="L2914" s="27"/>
    </row>
    <row r="2915" customFormat="false" ht="13.8" hidden="false" customHeight="false" outlineLevel="0" collapsed="false">
      <c r="A2915" s="16"/>
      <c r="B2915" s="16"/>
      <c r="C2915" s="26"/>
      <c r="D2915" s="26"/>
      <c r="E2915" s="16"/>
      <c r="F2915" s="18"/>
      <c r="G2915" s="19" t="str">
        <f aca="true">IF(F2915="", "", DATEDIF(F2915, TODAY(), "Y"))</f>
        <v/>
      </c>
      <c r="H2915" s="28"/>
      <c r="I2915" s="28"/>
      <c r="J2915" s="24" t="str">
        <f aca="true">IF(ISBLANK(H2915), "", I2915-TODAY())</f>
        <v/>
      </c>
      <c r="K2915" s="24" t="str">
        <f aca="false" t="array" ref="K2915:K2915">IF(A2915&lt;&gt;"",IF(COUNTIF(A$996:A2916,"&lt;&gt;")=0,COUNTA(B$996:B2915),IFERROR(MATCH(TRUE(),INDEX((A$996:A2916&lt;&gt;""),0),0),COUNTA(B$996:B2915))),"")</f>
        <v/>
      </c>
      <c r="L2915" s="27"/>
    </row>
    <row r="2916" customFormat="false" ht="13.8" hidden="false" customHeight="false" outlineLevel="0" collapsed="false">
      <c r="A2916" s="16"/>
      <c r="B2916" s="16"/>
      <c r="C2916" s="26"/>
      <c r="D2916" s="26"/>
      <c r="E2916" s="16"/>
      <c r="F2916" s="18"/>
      <c r="G2916" s="19" t="str">
        <f aca="true">IF(F2916="", "", DATEDIF(F2916, TODAY(), "Y"))</f>
        <v/>
      </c>
      <c r="H2916" s="28"/>
      <c r="I2916" s="28"/>
      <c r="J2916" s="24" t="str">
        <f aca="true">IF(ISBLANK(H2916), "", I2916-TODAY())</f>
        <v/>
      </c>
      <c r="K2916" s="24" t="str">
        <f aca="false" t="array" ref="K2916:K2916">IF(A2916&lt;&gt;"",IF(COUNTIF(A$996:A2917,"&lt;&gt;")=0,COUNTA(B$996:B2916),IFERROR(MATCH(TRUE(),INDEX((A$996:A2917&lt;&gt;""),0),0),COUNTA(B$996:B2916))),"")</f>
        <v/>
      </c>
      <c r="L2916" s="27"/>
    </row>
    <row r="2917" customFormat="false" ht="13.8" hidden="false" customHeight="false" outlineLevel="0" collapsed="false">
      <c r="A2917" s="16"/>
      <c r="B2917" s="16"/>
      <c r="C2917" s="26"/>
      <c r="D2917" s="26"/>
      <c r="E2917" s="16"/>
      <c r="F2917" s="18"/>
      <c r="G2917" s="19" t="str">
        <f aca="true">IF(F2917="", "", DATEDIF(F2917, TODAY(), "Y"))</f>
        <v/>
      </c>
      <c r="H2917" s="28"/>
      <c r="I2917" s="28"/>
      <c r="J2917" s="24" t="str">
        <f aca="true">IF(ISBLANK(H2917), "", I2917-TODAY())</f>
        <v/>
      </c>
      <c r="K2917" s="24" t="str">
        <f aca="false" t="array" ref="K2917:K2917">IF(A2917&lt;&gt;"",IF(COUNTIF(A$996:A2918,"&lt;&gt;")=0,COUNTA(B$996:B2917),IFERROR(MATCH(TRUE(),INDEX((A$996:A2918&lt;&gt;""),0),0),COUNTA(B$996:B2917))),"")</f>
        <v/>
      </c>
      <c r="L2917" s="27"/>
    </row>
    <row r="2918" customFormat="false" ht="13.8" hidden="false" customHeight="false" outlineLevel="0" collapsed="false">
      <c r="A2918" s="16"/>
      <c r="B2918" s="16"/>
      <c r="C2918" s="26"/>
      <c r="D2918" s="26"/>
      <c r="E2918" s="16"/>
      <c r="F2918" s="18"/>
      <c r="G2918" s="19" t="str">
        <f aca="true">IF(F2918="", "", DATEDIF(F2918, TODAY(), "Y"))</f>
        <v/>
      </c>
      <c r="H2918" s="28"/>
      <c r="I2918" s="28"/>
      <c r="J2918" s="24" t="str">
        <f aca="true">IF(ISBLANK(H2918), "", I2918-TODAY())</f>
        <v/>
      </c>
      <c r="K2918" s="24" t="str">
        <f aca="false" t="array" ref="K2918:K2918">IF(A2918&lt;&gt;"",IF(COUNTIF(A$996:A2919,"&lt;&gt;")=0,COUNTA(B$996:B2918),IFERROR(MATCH(TRUE(),INDEX((A$996:A2919&lt;&gt;""),0),0),COUNTA(B$996:B2918))),"")</f>
        <v/>
      </c>
      <c r="L2918" s="27"/>
    </row>
    <row r="2919" customFormat="false" ht="13.8" hidden="false" customHeight="false" outlineLevel="0" collapsed="false">
      <c r="A2919" s="16"/>
      <c r="B2919" s="16"/>
      <c r="C2919" s="26"/>
      <c r="D2919" s="26"/>
      <c r="E2919" s="16"/>
      <c r="F2919" s="18"/>
      <c r="G2919" s="19" t="str">
        <f aca="true">IF(F2919="", "", DATEDIF(F2919, TODAY(), "Y"))</f>
        <v/>
      </c>
      <c r="H2919" s="28"/>
      <c r="I2919" s="28"/>
      <c r="J2919" s="24" t="str">
        <f aca="true">IF(ISBLANK(H2919), "", I2919-TODAY())</f>
        <v/>
      </c>
      <c r="K2919" s="24" t="str">
        <f aca="false" t="array" ref="K2919:K2919">IF(A2919&lt;&gt;"",IF(COUNTIF(A$996:A2920,"&lt;&gt;")=0,COUNTA(B$996:B2919),IFERROR(MATCH(TRUE(),INDEX((A$996:A2920&lt;&gt;""),0),0),COUNTA(B$996:B2919))),"")</f>
        <v/>
      </c>
      <c r="L2919" s="27"/>
    </row>
    <row r="2920" customFormat="false" ht="13.8" hidden="false" customHeight="false" outlineLevel="0" collapsed="false">
      <c r="A2920" s="16"/>
      <c r="B2920" s="16"/>
      <c r="C2920" s="26"/>
      <c r="D2920" s="26"/>
      <c r="E2920" s="16"/>
      <c r="F2920" s="18"/>
      <c r="G2920" s="19" t="str">
        <f aca="true">IF(F2920="", "", DATEDIF(F2920, TODAY(), "Y"))</f>
        <v/>
      </c>
      <c r="H2920" s="28"/>
      <c r="I2920" s="28"/>
      <c r="J2920" s="24" t="str">
        <f aca="true">IF(ISBLANK(H2920), "", I2920-TODAY())</f>
        <v/>
      </c>
      <c r="K2920" s="24" t="str">
        <f aca="false" t="array" ref="K2920:K2920">IF(A2920&lt;&gt;"",IF(COUNTIF(A$996:A2921,"&lt;&gt;")=0,COUNTA(B$996:B2920),IFERROR(MATCH(TRUE(),INDEX((A$996:A2921&lt;&gt;""),0),0),COUNTA(B$996:B2920))),"")</f>
        <v/>
      </c>
      <c r="L2920" s="27"/>
    </row>
    <row r="2921" customFormat="false" ht="13.8" hidden="false" customHeight="false" outlineLevel="0" collapsed="false">
      <c r="A2921" s="16"/>
      <c r="B2921" s="16"/>
      <c r="C2921" s="26"/>
      <c r="D2921" s="26"/>
      <c r="E2921" s="16"/>
      <c r="F2921" s="18"/>
      <c r="G2921" s="19" t="str">
        <f aca="true">IF(F2921="", "", DATEDIF(F2921, TODAY(), "Y"))</f>
        <v/>
      </c>
      <c r="H2921" s="28"/>
      <c r="I2921" s="28"/>
      <c r="J2921" s="24" t="str">
        <f aca="true">IF(ISBLANK(H2921), "", I2921-TODAY())</f>
        <v/>
      </c>
      <c r="K2921" s="24" t="str">
        <f aca="false" t="array" ref="K2921:K2921">IF(A2921&lt;&gt;"",IF(COUNTIF(A$996:A2922,"&lt;&gt;")=0,COUNTA(B$996:B2921),IFERROR(MATCH(TRUE(),INDEX((A$996:A2922&lt;&gt;""),0),0),COUNTA(B$996:B2921))),"")</f>
        <v/>
      </c>
      <c r="L2921" s="27"/>
    </row>
    <row r="2922" customFormat="false" ht="13.8" hidden="false" customHeight="false" outlineLevel="0" collapsed="false">
      <c r="A2922" s="16"/>
      <c r="B2922" s="16"/>
      <c r="C2922" s="26"/>
      <c r="D2922" s="26"/>
      <c r="E2922" s="16"/>
      <c r="F2922" s="18"/>
      <c r="G2922" s="19" t="str">
        <f aca="true">IF(F2922="", "", DATEDIF(F2922, TODAY(), "Y"))</f>
        <v/>
      </c>
      <c r="H2922" s="28"/>
      <c r="I2922" s="28"/>
      <c r="J2922" s="24" t="str">
        <f aca="true">IF(ISBLANK(H2922), "", I2922-TODAY())</f>
        <v/>
      </c>
      <c r="K2922" s="24" t="str">
        <f aca="false" t="array" ref="K2922:K2922">IF(A2922&lt;&gt;"",IF(COUNTIF(A$996:A2923,"&lt;&gt;")=0,COUNTA(B$996:B2922),IFERROR(MATCH(TRUE(),INDEX((A$996:A2923&lt;&gt;""),0),0),COUNTA(B$996:B2922))),"")</f>
        <v/>
      </c>
      <c r="L2922" s="27"/>
    </row>
    <row r="2923" customFormat="false" ht="13.8" hidden="false" customHeight="false" outlineLevel="0" collapsed="false">
      <c r="A2923" s="16"/>
      <c r="B2923" s="16"/>
      <c r="C2923" s="26"/>
      <c r="D2923" s="26"/>
      <c r="E2923" s="16"/>
      <c r="F2923" s="18"/>
      <c r="G2923" s="19" t="str">
        <f aca="true">IF(F2923="", "", DATEDIF(F2923, TODAY(), "Y"))</f>
        <v/>
      </c>
      <c r="H2923" s="28"/>
      <c r="I2923" s="28"/>
      <c r="J2923" s="24" t="str">
        <f aca="true">IF(ISBLANK(H2923), "", I2923-TODAY())</f>
        <v/>
      </c>
      <c r="K2923" s="24" t="str">
        <f aca="false" t="array" ref="K2923:K2923">IF(A2923&lt;&gt;"",IF(COUNTIF(A$996:A2924,"&lt;&gt;")=0,COUNTA(B$996:B2923),IFERROR(MATCH(TRUE(),INDEX((A$996:A2924&lt;&gt;""),0),0),COUNTA(B$996:B2923))),"")</f>
        <v/>
      </c>
      <c r="L2923" s="27"/>
    </row>
    <row r="2924" customFormat="false" ht="13.8" hidden="false" customHeight="false" outlineLevel="0" collapsed="false">
      <c r="A2924" s="16"/>
      <c r="B2924" s="16"/>
      <c r="C2924" s="26"/>
      <c r="D2924" s="26"/>
      <c r="E2924" s="16"/>
      <c r="F2924" s="18"/>
      <c r="G2924" s="19" t="str">
        <f aca="true">IF(F2924="", "", DATEDIF(F2924, TODAY(), "Y"))</f>
        <v/>
      </c>
      <c r="H2924" s="28"/>
      <c r="I2924" s="28"/>
      <c r="J2924" s="24" t="str">
        <f aca="true">IF(ISBLANK(H2924), "", I2924-TODAY())</f>
        <v/>
      </c>
      <c r="K2924" s="24" t="str">
        <f aca="false" t="array" ref="K2924:K2924">IF(A2924&lt;&gt;"",IF(COUNTIF(A$996:A2925,"&lt;&gt;")=0,COUNTA(B$996:B2924),IFERROR(MATCH(TRUE(),INDEX((A$996:A2925&lt;&gt;""),0),0),COUNTA(B$996:B2924))),"")</f>
        <v/>
      </c>
      <c r="L2924" s="27"/>
    </row>
    <row r="2925" customFormat="false" ht="13.8" hidden="false" customHeight="false" outlineLevel="0" collapsed="false">
      <c r="A2925" s="16"/>
      <c r="B2925" s="16"/>
      <c r="C2925" s="26"/>
      <c r="D2925" s="26"/>
      <c r="E2925" s="16"/>
      <c r="F2925" s="18"/>
      <c r="G2925" s="19" t="str">
        <f aca="true">IF(F2925="", "", DATEDIF(F2925, TODAY(), "Y"))</f>
        <v/>
      </c>
      <c r="H2925" s="28"/>
      <c r="I2925" s="28"/>
      <c r="J2925" s="24" t="str">
        <f aca="true">IF(ISBLANK(H2925), "", I2925-TODAY())</f>
        <v/>
      </c>
      <c r="K2925" s="24" t="str">
        <f aca="false" t="array" ref="K2925:K2925">IF(A2925&lt;&gt;"",IF(COUNTIF(A$996:A2926,"&lt;&gt;")=0,COUNTA(B$996:B2925),IFERROR(MATCH(TRUE(),INDEX((A$996:A2926&lt;&gt;""),0),0),COUNTA(B$996:B2925))),"")</f>
        <v/>
      </c>
      <c r="L2925" s="27"/>
    </row>
    <row r="2926" customFormat="false" ht="13.8" hidden="false" customHeight="false" outlineLevel="0" collapsed="false">
      <c r="A2926" s="16"/>
      <c r="B2926" s="16"/>
      <c r="C2926" s="26"/>
      <c r="D2926" s="26"/>
      <c r="E2926" s="16"/>
      <c r="F2926" s="18"/>
      <c r="G2926" s="19" t="str">
        <f aca="true">IF(F2926="", "", DATEDIF(F2926, TODAY(), "Y"))</f>
        <v/>
      </c>
      <c r="H2926" s="28"/>
      <c r="I2926" s="28"/>
      <c r="J2926" s="24" t="str">
        <f aca="true">IF(ISBLANK(H2926), "", I2926-TODAY())</f>
        <v/>
      </c>
      <c r="K2926" s="24" t="str">
        <f aca="false" t="array" ref="K2926:K2926">IF(A2926&lt;&gt;"",IF(COUNTIF(A$996:A2927,"&lt;&gt;")=0,COUNTA(B$996:B2926),IFERROR(MATCH(TRUE(),INDEX((A$996:A2927&lt;&gt;""),0),0),COUNTA(B$996:B2926))),"")</f>
        <v/>
      </c>
      <c r="L2926" s="27"/>
    </row>
    <row r="2927" customFormat="false" ht="13.8" hidden="false" customHeight="false" outlineLevel="0" collapsed="false">
      <c r="A2927" s="16"/>
      <c r="B2927" s="16"/>
      <c r="C2927" s="26"/>
      <c r="D2927" s="26"/>
      <c r="E2927" s="16"/>
      <c r="F2927" s="18"/>
      <c r="G2927" s="19" t="str">
        <f aca="true">IF(F2927="", "", DATEDIF(F2927, TODAY(), "Y"))</f>
        <v/>
      </c>
      <c r="H2927" s="28"/>
      <c r="I2927" s="28"/>
      <c r="J2927" s="24" t="str">
        <f aca="true">IF(ISBLANK(H2927), "", I2927-TODAY())</f>
        <v/>
      </c>
      <c r="K2927" s="24" t="str">
        <f aca="false" t="array" ref="K2927:K2927">IF(A2927&lt;&gt;"",IF(COUNTIF(A$996:A2928,"&lt;&gt;")=0,COUNTA(B$996:B2927),IFERROR(MATCH(TRUE(),INDEX((A$996:A2928&lt;&gt;""),0),0),COUNTA(B$996:B2927))),"")</f>
        <v/>
      </c>
      <c r="L2927" s="27"/>
    </row>
    <row r="2928" customFormat="false" ht="13.8" hidden="false" customHeight="false" outlineLevel="0" collapsed="false">
      <c r="A2928" s="16"/>
      <c r="B2928" s="16"/>
      <c r="C2928" s="26"/>
      <c r="D2928" s="26"/>
      <c r="E2928" s="16"/>
      <c r="F2928" s="18"/>
      <c r="G2928" s="19" t="str">
        <f aca="true">IF(F2928="", "", DATEDIF(F2928, TODAY(), "Y"))</f>
        <v/>
      </c>
      <c r="H2928" s="28"/>
      <c r="I2928" s="28"/>
      <c r="J2928" s="24" t="str">
        <f aca="true">IF(ISBLANK(H2928), "", I2928-TODAY())</f>
        <v/>
      </c>
      <c r="K2928" s="24" t="str">
        <f aca="false" t="array" ref="K2928:K2928">IF(A2928&lt;&gt;"",IF(COUNTIF(A$996:A2929,"&lt;&gt;")=0,COUNTA(B$996:B2928),IFERROR(MATCH(TRUE(),INDEX((A$996:A2929&lt;&gt;""),0),0),COUNTA(B$996:B2928))),"")</f>
        <v/>
      </c>
      <c r="L2928" s="27"/>
    </row>
    <row r="2929" customFormat="false" ht="13.8" hidden="false" customHeight="false" outlineLevel="0" collapsed="false">
      <c r="A2929" s="16"/>
      <c r="B2929" s="16"/>
      <c r="C2929" s="26"/>
      <c r="D2929" s="26"/>
      <c r="E2929" s="16"/>
      <c r="F2929" s="18"/>
      <c r="G2929" s="19" t="str">
        <f aca="true">IF(F2929="", "", DATEDIF(F2929, TODAY(), "Y"))</f>
        <v/>
      </c>
      <c r="H2929" s="28"/>
      <c r="I2929" s="28"/>
      <c r="J2929" s="24" t="str">
        <f aca="true">IF(ISBLANK(H2929), "", I2929-TODAY())</f>
        <v/>
      </c>
      <c r="K2929" s="24" t="str">
        <f aca="false" t="array" ref="K2929:K2929">IF(A2929&lt;&gt;"",IF(COUNTIF(A$996:A2930,"&lt;&gt;")=0,COUNTA(B$996:B2929),IFERROR(MATCH(TRUE(),INDEX((A$996:A2930&lt;&gt;""),0),0),COUNTA(B$996:B2929))),"")</f>
        <v/>
      </c>
      <c r="L2929" s="27"/>
    </row>
    <row r="2930" customFormat="false" ht="13.8" hidden="false" customHeight="false" outlineLevel="0" collapsed="false">
      <c r="A2930" s="16"/>
      <c r="B2930" s="16"/>
      <c r="C2930" s="26"/>
      <c r="D2930" s="26"/>
      <c r="E2930" s="16"/>
      <c r="F2930" s="18"/>
      <c r="G2930" s="19" t="str">
        <f aca="true">IF(F2930="", "", DATEDIF(F2930, TODAY(), "Y"))</f>
        <v/>
      </c>
      <c r="H2930" s="28"/>
      <c r="I2930" s="28"/>
      <c r="J2930" s="24" t="str">
        <f aca="true">IF(ISBLANK(H2930), "", I2930-TODAY())</f>
        <v/>
      </c>
      <c r="K2930" s="24" t="str">
        <f aca="false" t="array" ref="K2930:K2930">IF(A2930&lt;&gt;"",IF(COUNTIF(A$996:A2931,"&lt;&gt;")=0,COUNTA(B$996:B2930),IFERROR(MATCH(TRUE(),INDEX((A$996:A2931&lt;&gt;""),0),0),COUNTA(B$996:B2930))),"")</f>
        <v/>
      </c>
      <c r="L2930" s="27"/>
    </row>
    <row r="2931" customFormat="false" ht="13.8" hidden="false" customHeight="false" outlineLevel="0" collapsed="false">
      <c r="A2931" s="16"/>
      <c r="B2931" s="16"/>
      <c r="C2931" s="26"/>
      <c r="D2931" s="26"/>
      <c r="E2931" s="16"/>
      <c r="F2931" s="18"/>
      <c r="G2931" s="19" t="str">
        <f aca="true">IF(F2931="", "", DATEDIF(F2931, TODAY(), "Y"))</f>
        <v/>
      </c>
      <c r="H2931" s="28"/>
      <c r="I2931" s="28"/>
      <c r="J2931" s="24" t="str">
        <f aca="true">IF(ISBLANK(H2931), "", I2931-TODAY())</f>
        <v/>
      </c>
      <c r="K2931" s="24" t="str">
        <f aca="false" t="array" ref="K2931:K2931">IF(A2931&lt;&gt;"",IF(COUNTIF(A$996:A2932,"&lt;&gt;")=0,COUNTA(B$996:B2931),IFERROR(MATCH(TRUE(),INDEX((A$996:A2932&lt;&gt;""),0),0),COUNTA(B$996:B2931))),"")</f>
        <v/>
      </c>
      <c r="L2931" s="27"/>
    </row>
    <row r="2932" customFormat="false" ht="13.8" hidden="false" customHeight="false" outlineLevel="0" collapsed="false">
      <c r="A2932" s="16"/>
      <c r="B2932" s="16"/>
      <c r="C2932" s="26"/>
      <c r="D2932" s="26"/>
      <c r="E2932" s="16"/>
      <c r="F2932" s="18"/>
      <c r="G2932" s="19" t="str">
        <f aca="true">IF(F2932="", "", DATEDIF(F2932, TODAY(), "Y"))</f>
        <v/>
      </c>
      <c r="H2932" s="28"/>
      <c r="I2932" s="28"/>
      <c r="J2932" s="24" t="str">
        <f aca="true">IF(ISBLANK(H2932), "", I2932-TODAY())</f>
        <v/>
      </c>
      <c r="K2932" s="24" t="str">
        <f aca="false" t="array" ref="K2932:K2932">IF(A2932&lt;&gt;"",IF(COUNTIF(A$996:A2933,"&lt;&gt;")=0,COUNTA(B$996:B2932),IFERROR(MATCH(TRUE(),INDEX((A$996:A2933&lt;&gt;""),0),0),COUNTA(B$996:B2932))),"")</f>
        <v/>
      </c>
      <c r="L2932" s="27"/>
    </row>
    <row r="2933" customFormat="false" ht="13.8" hidden="false" customHeight="false" outlineLevel="0" collapsed="false">
      <c r="A2933" s="16"/>
      <c r="B2933" s="16"/>
      <c r="C2933" s="26"/>
      <c r="D2933" s="26"/>
      <c r="E2933" s="16"/>
      <c r="F2933" s="18"/>
      <c r="G2933" s="19" t="str">
        <f aca="true">IF(F2933="", "", DATEDIF(F2933, TODAY(), "Y"))</f>
        <v/>
      </c>
      <c r="H2933" s="28"/>
      <c r="I2933" s="28"/>
      <c r="J2933" s="24" t="str">
        <f aca="true">IF(ISBLANK(H2933), "", I2933-TODAY())</f>
        <v/>
      </c>
      <c r="K2933" s="24" t="str">
        <f aca="false" t="array" ref="K2933:K2933">IF(A2933&lt;&gt;"",IF(COUNTIF(A$996:A2934,"&lt;&gt;")=0,COUNTA(B$996:B2933),IFERROR(MATCH(TRUE(),INDEX((A$996:A2934&lt;&gt;""),0),0),COUNTA(B$996:B2933))),"")</f>
        <v/>
      </c>
      <c r="L2933" s="27"/>
    </row>
    <row r="2934" customFormat="false" ht="13.8" hidden="false" customHeight="false" outlineLevel="0" collapsed="false">
      <c r="A2934" s="16"/>
      <c r="B2934" s="16"/>
      <c r="C2934" s="26"/>
      <c r="D2934" s="26"/>
      <c r="E2934" s="16"/>
      <c r="F2934" s="18"/>
      <c r="G2934" s="19" t="str">
        <f aca="true">IF(F2934="", "", DATEDIF(F2934, TODAY(), "Y"))</f>
        <v/>
      </c>
      <c r="H2934" s="28"/>
      <c r="I2934" s="28"/>
      <c r="J2934" s="24" t="str">
        <f aca="true">IF(ISBLANK(H2934), "", I2934-TODAY())</f>
        <v/>
      </c>
      <c r="K2934" s="24" t="str">
        <f aca="false" t="array" ref="K2934:K2934">IF(A2934&lt;&gt;"",IF(COUNTIF(A$996:A2935,"&lt;&gt;")=0,COUNTA(B$996:B2934),IFERROR(MATCH(TRUE(),INDEX((A$996:A2935&lt;&gt;""),0),0),COUNTA(B$996:B2934))),"")</f>
        <v/>
      </c>
      <c r="L2934" s="27"/>
    </row>
    <row r="2935" customFormat="false" ht="13.8" hidden="false" customHeight="false" outlineLevel="0" collapsed="false">
      <c r="A2935" s="16"/>
      <c r="B2935" s="16"/>
      <c r="C2935" s="26"/>
      <c r="D2935" s="26"/>
      <c r="E2935" s="16"/>
      <c r="F2935" s="18"/>
      <c r="G2935" s="19" t="str">
        <f aca="true">IF(F2935="", "", DATEDIF(F2935, TODAY(), "Y"))</f>
        <v/>
      </c>
      <c r="H2935" s="28"/>
      <c r="I2935" s="28"/>
      <c r="J2935" s="24" t="str">
        <f aca="true">IF(ISBLANK(H2935), "", I2935-TODAY())</f>
        <v/>
      </c>
      <c r="K2935" s="24" t="str">
        <f aca="false" t="array" ref="K2935:K2935">IF(A2935&lt;&gt;"",IF(COUNTIF(A$996:A2936,"&lt;&gt;")=0,COUNTA(B$996:B2935),IFERROR(MATCH(TRUE(),INDEX((A$996:A2936&lt;&gt;""),0),0),COUNTA(B$996:B2935))),"")</f>
        <v/>
      </c>
      <c r="L2935" s="27"/>
    </row>
    <row r="2936" customFormat="false" ht="13.8" hidden="false" customHeight="false" outlineLevel="0" collapsed="false">
      <c r="A2936" s="16"/>
      <c r="B2936" s="16"/>
      <c r="C2936" s="26"/>
      <c r="D2936" s="26"/>
      <c r="E2936" s="16"/>
      <c r="F2936" s="18"/>
      <c r="G2936" s="19" t="str">
        <f aca="true">IF(F2936="", "", DATEDIF(F2936, TODAY(), "Y"))</f>
        <v/>
      </c>
      <c r="H2936" s="28"/>
      <c r="I2936" s="28"/>
      <c r="J2936" s="24" t="str">
        <f aca="true">IF(ISBLANK(H2936), "", I2936-TODAY())</f>
        <v/>
      </c>
      <c r="K2936" s="24" t="str">
        <f aca="false" t="array" ref="K2936:K2936">IF(A2936&lt;&gt;"",IF(COUNTIF(A$996:A2937,"&lt;&gt;")=0,COUNTA(B$996:B2936),IFERROR(MATCH(TRUE(),INDEX((A$996:A2937&lt;&gt;""),0),0),COUNTA(B$996:B2936))),"")</f>
        <v/>
      </c>
      <c r="L2936" s="27"/>
    </row>
    <row r="2937" customFormat="false" ht="13.8" hidden="false" customHeight="false" outlineLevel="0" collapsed="false">
      <c r="A2937" s="16"/>
      <c r="B2937" s="16"/>
      <c r="C2937" s="26"/>
      <c r="D2937" s="26"/>
      <c r="E2937" s="16"/>
      <c r="F2937" s="18"/>
      <c r="G2937" s="19" t="str">
        <f aca="true">IF(F2937="", "", DATEDIF(F2937, TODAY(), "Y"))</f>
        <v/>
      </c>
      <c r="H2937" s="28"/>
      <c r="I2937" s="28"/>
      <c r="J2937" s="24" t="str">
        <f aca="true">IF(ISBLANK(H2937), "", I2937-TODAY())</f>
        <v/>
      </c>
      <c r="K2937" s="24" t="str">
        <f aca="false" t="array" ref="K2937:K2937">IF(A2937&lt;&gt;"",IF(COUNTIF(A$996:A2938,"&lt;&gt;")=0,COUNTA(B$996:B2937),IFERROR(MATCH(TRUE(),INDEX((A$996:A2938&lt;&gt;""),0),0),COUNTA(B$996:B2937))),"")</f>
        <v/>
      </c>
      <c r="L2937" s="27"/>
    </row>
    <row r="2938" customFormat="false" ht="13.8" hidden="false" customHeight="false" outlineLevel="0" collapsed="false">
      <c r="A2938" s="16"/>
      <c r="B2938" s="16"/>
      <c r="C2938" s="26"/>
      <c r="D2938" s="26"/>
      <c r="E2938" s="16"/>
      <c r="F2938" s="18"/>
      <c r="G2938" s="19" t="str">
        <f aca="true">IF(F2938="", "", DATEDIF(F2938, TODAY(), "Y"))</f>
        <v/>
      </c>
      <c r="H2938" s="28"/>
      <c r="I2938" s="28"/>
      <c r="J2938" s="24" t="str">
        <f aca="true">IF(ISBLANK(H2938), "", I2938-TODAY())</f>
        <v/>
      </c>
      <c r="K2938" s="24" t="str">
        <f aca="false" t="array" ref="K2938:K2938">IF(A2938&lt;&gt;"",IF(COUNTIF(A$996:A2939,"&lt;&gt;")=0,COUNTA(B$996:B2938),IFERROR(MATCH(TRUE(),INDEX((A$996:A2939&lt;&gt;""),0),0),COUNTA(B$996:B2938))),"")</f>
        <v/>
      </c>
      <c r="L2938" s="27"/>
    </row>
    <row r="2939" customFormat="false" ht="13.8" hidden="false" customHeight="false" outlineLevel="0" collapsed="false">
      <c r="A2939" s="16"/>
      <c r="B2939" s="16"/>
      <c r="C2939" s="26"/>
      <c r="D2939" s="26"/>
      <c r="E2939" s="16"/>
      <c r="F2939" s="18"/>
      <c r="G2939" s="19" t="str">
        <f aca="true">IF(F2939="", "", DATEDIF(F2939, TODAY(), "Y"))</f>
        <v/>
      </c>
      <c r="H2939" s="28"/>
      <c r="I2939" s="28"/>
      <c r="J2939" s="24" t="str">
        <f aca="true">IF(ISBLANK(H2939), "", I2939-TODAY())</f>
        <v/>
      </c>
      <c r="K2939" s="24" t="str">
        <f aca="false" t="array" ref="K2939:K2939">IF(A2939&lt;&gt;"",IF(COUNTIF(A$996:A2940,"&lt;&gt;")=0,COUNTA(B$996:B2939),IFERROR(MATCH(TRUE(),INDEX((A$996:A2940&lt;&gt;""),0),0),COUNTA(B$996:B2939))),"")</f>
        <v/>
      </c>
      <c r="L2939" s="27"/>
    </row>
    <row r="2940" customFormat="false" ht="13.8" hidden="false" customHeight="false" outlineLevel="0" collapsed="false">
      <c r="A2940" s="16"/>
      <c r="B2940" s="16"/>
      <c r="C2940" s="26"/>
      <c r="D2940" s="26"/>
      <c r="E2940" s="16"/>
      <c r="F2940" s="18"/>
      <c r="G2940" s="19" t="str">
        <f aca="true">IF(F2940="", "", DATEDIF(F2940, TODAY(), "Y"))</f>
        <v/>
      </c>
      <c r="H2940" s="28"/>
      <c r="I2940" s="28"/>
      <c r="J2940" s="24" t="str">
        <f aca="true">IF(ISBLANK(H2940), "", I2940-TODAY())</f>
        <v/>
      </c>
      <c r="K2940" s="24" t="str">
        <f aca="false" t="array" ref="K2940:K2940">IF(A2940&lt;&gt;"",IF(COUNTIF(A$996:A2941,"&lt;&gt;")=0,COUNTA(B$996:B2940),IFERROR(MATCH(TRUE(),INDEX((A$996:A2941&lt;&gt;""),0),0),COUNTA(B$996:B2940))),"")</f>
        <v/>
      </c>
      <c r="L2940" s="27"/>
    </row>
    <row r="2941" customFormat="false" ht="13.8" hidden="false" customHeight="false" outlineLevel="0" collapsed="false">
      <c r="A2941" s="16"/>
      <c r="B2941" s="16"/>
      <c r="C2941" s="26"/>
      <c r="D2941" s="26"/>
      <c r="E2941" s="16"/>
      <c r="F2941" s="18"/>
      <c r="G2941" s="19" t="str">
        <f aca="true">IF(F2941="", "", DATEDIF(F2941, TODAY(), "Y"))</f>
        <v/>
      </c>
      <c r="H2941" s="28"/>
      <c r="I2941" s="28"/>
      <c r="J2941" s="24" t="str">
        <f aca="true">IF(ISBLANK(H2941), "", I2941-TODAY())</f>
        <v/>
      </c>
      <c r="K2941" s="24" t="str">
        <f aca="false" t="array" ref="K2941:K2941">IF(A2941&lt;&gt;"",IF(COUNTIF(A$996:A2942,"&lt;&gt;")=0,COUNTA(B$996:B2941),IFERROR(MATCH(TRUE(),INDEX((A$996:A2942&lt;&gt;""),0),0),COUNTA(B$996:B2941))),"")</f>
        <v/>
      </c>
      <c r="L2941" s="27"/>
    </row>
    <row r="2942" customFormat="false" ht="13.8" hidden="false" customHeight="false" outlineLevel="0" collapsed="false">
      <c r="A2942" s="16"/>
      <c r="B2942" s="16"/>
      <c r="C2942" s="26"/>
      <c r="D2942" s="26"/>
      <c r="E2942" s="16"/>
      <c r="F2942" s="18"/>
      <c r="G2942" s="19" t="str">
        <f aca="true">IF(F2942="", "", DATEDIF(F2942, TODAY(), "Y"))</f>
        <v/>
      </c>
      <c r="H2942" s="28"/>
      <c r="I2942" s="28"/>
      <c r="J2942" s="24" t="str">
        <f aca="true">IF(ISBLANK(H2942), "", I2942-TODAY())</f>
        <v/>
      </c>
      <c r="K2942" s="24" t="str">
        <f aca="false" t="array" ref="K2942:K2942">IF(A2942&lt;&gt;"",IF(COUNTIF(A$996:A2943,"&lt;&gt;")=0,COUNTA(B$996:B2942),IFERROR(MATCH(TRUE(),INDEX((A$996:A2943&lt;&gt;""),0),0),COUNTA(B$996:B2942))),"")</f>
        <v/>
      </c>
      <c r="L2942" s="27"/>
    </row>
    <row r="2943" customFormat="false" ht="13.8" hidden="false" customHeight="false" outlineLevel="0" collapsed="false">
      <c r="A2943" s="16"/>
      <c r="B2943" s="16"/>
      <c r="C2943" s="26"/>
      <c r="D2943" s="26"/>
      <c r="E2943" s="16"/>
      <c r="F2943" s="18"/>
      <c r="G2943" s="19" t="str">
        <f aca="true">IF(F2943="", "", DATEDIF(F2943, TODAY(), "Y"))</f>
        <v/>
      </c>
      <c r="H2943" s="28"/>
      <c r="I2943" s="28"/>
      <c r="J2943" s="24" t="str">
        <f aca="true">IF(ISBLANK(H2943), "", I2943-TODAY())</f>
        <v/>
      </c>
      <c r="K2943" s="24" t="str">
        <f aca="false" t="array" ref="K2943:K2943">IF(A2943&lt;&gt;"",IF(COUNTIF(A$996:A2944,"&lt;&gt;")=0,COUNTA(B$996:B2943),IFERROR(MATCH(TRUE(),INDEX((A$996:A2944&lt;&gt;""),0),0),COUNTA(B$996:B2943))),"")</f>
        <v/>
      </c>
      <c r="L2943" s="27"/>
    </row>
    <row r="2944" customFormat="false" ht="13.8" hidden="false" customHeight="false" outlineLevel="0" collapsed="false">
      <c r="A2944" s="16"/>
      <c r="B2944" s="16"/>
      <c r="C2944" s="26"/>
      <c r="D2944" s="26"/>
      <c r="E2944" s="16"/>
      <c r="F2944" s="18"/>
      <c r="G2944" s="19" t="str">
        <f aca="true">IF(F2944="", "", DATEDIF(F2944, TODAY(), "Y"))</f>
        <v/>
      </c>
      <c r="H2944" s="28"/>
      <c r="I2944" s="28"/>
      <c r="J2944" s="24" t="str">
        <f aca="true">IF(ISBLANK(H2944), "", I2944-TODAY())</f>
        <v/>
      </c>
      <c r="K2944" s="24" t="str">
        <f aca="false" t="array" ref="K2944:K2944">IF(A2944&lt;&gt;"",IF(COUNTIF(A$996:A2945,"&lt;&gt;")=0,COUNTA(B$996:B2944),IFERROR(MATCH(TRUE(),INDEX((A$996:A2945&lt;&gt;""),0),0),COUNTA(B$996:B2944))),"")</f>
        <v/>
      </c>
      <c r="L2944" s="27"/>
    </row>
    <row r="2945" customFormat="false" ht="13.8" hidden="false" customHeight="false" outlineLevel="0" collapsed="false">
      <c r="A2945" s="16"/>
      <c r="B2945" s="16"/>
      <c r="C2945" s="26"/>
      <c r="D2945" s="26"/>
      <c r="E2945" s="16"/>
      <c r="F2945" s="18"/>
      <c r="G2945" s="19" t="str">
        <f aca="true">IF(F2945="", "", DATEDIF(F2945, TODAY(), "Y"))</f>
        <v/>
      </c>
      <c r="H2945" s="28"/>
      <c r="I2945" s="28"/>
      <c r="J2945" s="24" t="str">
        <f aca="true">IF(ISBLANK(H2945), "", I2945-TODAY())</f>
        <v/>
      </c>
      <c r="K2945" s="24" t="str">
        <f aca="false" t="array" ref="K2945:K2945">IF(A2945&lt;&gt;"",IF(COUNTIF(A$996:A2946,"&lt;&gt;")=0,COUNTA(B$996:B2945),IFERROR(MATCH(TRUE(),INDEX((A$996:A2946&lt;&gt;""),0),0),COUNTA(B$996:B2945))),"")</f>
        <v/>
      </c>
      <c r="L2945" s="27"/>
    </row>
    <row r="2946" customFormat="false" ht="13.8" hidden="false" customHeight="false" outlineLevel="0" collapsed="false">
      <c r="A2946" s="16"/>
      <c r="B2946" s="16"/>
      <c r="C2946" s="26"/>
      <c r="D2946" s="26"/>
      <c r="E2946" s="16"/>
      <c r="F2946" s="18"/>
      <c r="G2946" s="19" t="str">
        <f aca="true">IF(F2946="", "", DATEDIF(F2946, TODAY(), "Y"))</f>
        <v/>
      </c>
      <c r="H2946" s="28"/>
      <c r="I2946" s="28"/>
      <c r="J2946" s="24" t="str">
        <f aca="true">IF(ISBLANK(H2946), "", I2946-TODAY())</f>
        <v/>
      </c>
      <c r="K2946" s="24" t="str">
        <f aca="false" t="array" ref="K2946:K2946">IF(A2946&lt;&gt;"",IF(COUNTIF(A$996:A2947,"&lt;&gt;")=0,COUNTA(B$996:B2946),IFERROR(MATCH(TRUE(),INDEX((A$996:A2947&lt;&gt;""),0),0),COUNTA(B$996:B2946))),"")</f>
        <v/>
      </c>
      <c r="L2946" s="27"/>
    </row>
    <row r="2947" customFormat="false" ht="13.8" hidden="false" customHeight="false" outlineLevel="0" collapsed="false">
      <c r="A2947" s="16"/>
      <c r="B2947" s="16"/>
      <c r="C2947" s="26"/>
      <c r="D2947" s="26"/>
      <c r="E2947" s="16"/>
      <c r="F2947" s="18"/>
      <c r="G2947" s="19" t="str">
        <f aca="true">IF(F2947="", "", DATEDIF(F2947, TODAY(), "Y"))</f>
        <v/>
      </c>
      <c r="H2947" s="28"/>
      <c r="I2947" s="28"/>
      <c r="J2947" s="24" t="str">
        <f aca="true">IF(ISBLANK(H2947), "", I2947-TODAY())</f>
        <v/>
      </c>
      <c r="K2947" s="24" t="str">
        <f aca="false" t="array" ref="K2947:K2947">IF(A2947&lt;&gt;"",IF(COUNTIF(A$996:A2948,"&lt;&gt;")=0,COUNTA(B$996:B2947),IFERROR(MATCH(TRUE(),INDEX((A$996:A2948&lt;&gt;""),0),0),COUNTA(B$996:B2947))),"")</f>
        <v/>
      </c>
      <c r="L2947" s="27"/>
    </row>
    <row r="2948" customFormat="false" ht="13.8" hidden="false" customHeight="false" outlineLevel="0" collapsed="false">
      <c r="A2948" s="16"/>
      <c r="B2948" s="16"/>
      <c r="C2948" s="26"/>
      <c r="D2948" s="26"/>
      <c r="E2948" s="16"/>
      <c r="F2948" s="18"/>
      <c r="G2948" s="19" t="str">
        <f aca="true">IF(F2948="", "", DATEDIF(F2948, TODAY(), "Y"))</f>
        <v/>
      </c>
      <c r="H2948" s="28"/>
      <c r="I2948" s="28"/>
      <c r="J2948" s="24" t="str">
        <f aca="true">IF(ISBLANK(H2948), "", I2948-TODAY())</f>
        <v/>
      </c>
      <c r="K2948" s="24" t="str">
        <f aca="false" t="array" ref="K2948:K2948">IF(A2948&lt;&gt;"",IF(COUNTIF(A$996:A2949,"&lt;&gt;")=0,COUNTA(B$996:B2948),IFERROR(MATCH(TRUE(),INDEX((A$996:A2949&lt;&gt;""),0),0),COUNTA(B$996:B2948))),"")</f>
        <v/>
      </c>
      <c r="L2948" s="27"/>
    </row>
    <row r="2949" customFormat="false" ht="13.8" hidden="false" customHeight="false" outlineLevel="0" collapsed="false">
      <c r="A2949" s="16"/>
      <c r="B2949" s="16"/>
      <c r="C2949" s="26"/>
      <c r="D2949" s="26"/>
      <c r="E2949" s="16"/>
      <c r="F2949" s="18"/>
      <c r="G2949" s="19" t="str">
        <f aca="true">IF(F2949="", "", DATEDIF(F2949, TODAY(), "Y"))</f>
        <v/>
      </c>
      <c r="H2949" s="28"/>
      <c r="I2949" s="28"/>
      <c r="J2949" s="24" t="str">
        <f aca="true">IF(ISBLANK(H2949), "", I2949-TODAY())</f>
        <v/>
      </c>
      <c r="K2949" s="24" t="str">
        <f aca="false" t="array" ref="K2949:K2949">IF(A2949&lt;&gt;"",IF(COUNTIF(A$996:A2950,"&lt;&gt;")=0,COUNTA(B$996:B2949),IFERROR(MATCH(TRUE(),INDEX((A$996:A2950&lt;&gt;""),0),0),COUNTA(B$996:B2949))),"")</f>
        <v/>
      </c>
      <c r="L2949" s="27"/>
    </row>
    <row r="2950" customFormat="false" ht="13.8" hidden="false" customHeight="false" outlineLevel="0" collapsed="false">
      <c r="A2950" s="16"/>
      <c r="B2950" s="16"/>
      <c r="C2950" s="26"/>
      <c r="D2950" s="26"/>
      <c r="E2950" s="16"/>
      <c r="F2950" s="18"/>
      <c r="G2950" s="19" t="str">
        <f aca="true">IF(F2950="", "", DATEDIF(F2950, TODAY(), "Y"))</f>
        <v/>
      </c>
      <c r="H2950" s="28"/>
      <c r="I2950" s="28"/>
      <c r="J2950" s="24" t="str">
        <f aca="true">IF(ISBLANK(H2950), "", I2950-TODAY())</f>
        <v/>
      </c>
      <c r="K2950" s="24" t="str">
        <f aca="false" t="array" ref="K2950:K2950">IF(A2950&lt;&gt;"",IF(COUNTIF(A$996:A2951,"&lt;&gt;")=0,COUNTA(B$996:B2950),IFERROR(MATCH(TRUE(),INDEX((A$996:A2951&lt;&gt;""),0),0),COUNTA(B$996:B2950))),"")</f>
        <v/>
      </c>
      <c r="L2950" s="27"/>
    </row>
    <row r="2951" customFormat="false" ht="13.8" hidden="false" customHeight="false" outlineLevel="0" collapsed="false">
      <c r="A2951" s="16"/>
      <c r="B2951" s="16"/>
      <c r="C2951" s="26"/>
      <c r="D2951" s="26"/>
      <c r="E2951" s="16"/>
      <c r="F2951" s="18"/>
      <c r="G2951" s="19" t="str">
        <f aca="true">IF(F2951="", "", DATEDIF(F2951, TODAY(), "Y"))</f>
        <v/>
      </c>
      <c r="H2951" s="28"/>
      <c r="I2951" s="28"/>
      <c r="J2951" s="24" t="str">
        <f aca="true">IF(ISBLANK(H2951), "", I2951-TODAY())</f>
        <v/>
      </c>
      <c r="K2951" s="24" t="str">
        <f aca="false" t="array" ref="K2951:K2951">IF(A2951&lt;&gt;"",IF(COUNTIF(A$996:A2952,"&lt;&gt;")=0,COUNTA(B$996:B2951),IFERROR(MATCH(TRUE(),INDEX((A$996:A2952&lt;&gt;""),0),0),COUNTA(B$996:B2951))),"")</f>
        <v/>
      </c>
      <c r="L2951" s="27"/>
    </row>
    <row r="2952" customFormat="false" ht="13.8" hidden="false" customHeight="false" outlineLevel="0" collapsed="false">
      <c r="A2952" s="16"/>
      <c r="B2952" s="16"/>
      <c r="C2952" s="26"/>
      <c r="D2952" s="26"/>
      <c r="E2952" s="16"/>
      <c r="F2952" s="18"/>
      <c r="G2952" s="19" t="str">
        <f aca="true">IF(F2952="", "", DATEDIF(F2952, TODAY(), "Y"))</f>
        <v/>
      </c>
      <c r="H2952" s="28"/>
      <c r="I2952" s="28"/>
      <c r="J2952" s="24" t="str">
        <f aca="true">IF(ISBLANK(H2952), "", I2952-TODAY())</f>
        <v/>
      </c>
      <c r="K2952" s="24" t="str">
        <f aca="false" t="array" ref="K2952:K2952">IF(A2952&lt;&gt;"",IF(COUNTIF(A$996:A2953,"&lt;&gt;")=0,COUNTA(B$996:B2952),IFERROR(MATCH(TRUE(),INDEX((A$996:A2953&lt;&gt;""),0),0),COUNTA(B$996:B2952))),"")</f>
        <v/>
      </c>
      <c r="L2952" s="27"/>
    </row>
    <row r="2953" customFormat="false" ht="13.8" hidden="false" customHeight="false" outlineLevel="0" collapsed="false">
      <c r="A2953" s="16"/>
      <c r="B2953" s="16"/>
      <c r="C2953" s="26"/>
      <c r="D2953" s="26"/>
      <c r="E2953" s="16"/>
      <c r="F2953" s="18"/>
      <c r="G2953" s="19" t="str">
        <f aca="true">IF(F2953="", "", DATEDIF(F2953, TODAY(), "Y"))</f>
        <v/>
      </c>
      <c r="H2953" s="28"/>
      <c r="I2953" s="28"/>
      <c r="J2953" s="24" t="str">
        <f aca="true">IF(ISBLANK(H2953), "", I2953-TODAY())</f>
        <v/>
      </c>
      <c r="K2953" s="24" t="str">
        <f aca="false" t="array" ref="K2953:K2953">IF(A2953&lt;&gt;"",IF(COUNTIF(A$996:A2954,"&lt;&gt;")=0,COUNTA(B$996:B2953),IFERROR(MATCH(TRUE(),INDEX((A$996:A2954&lt;&gt;""),0),0),COUNTA(B$996:B2953))),"")</f>
        <v/>
      </c>
      <c r="L2953" s="27"/>
    </row>
    <row r="2954" customFormat="false" ht="13.8" hidden="false" customHeight="false" outlineLevel="0" collapsed="false">
      <c r="A2954" s="16"/>
      <c r="B2954" s="16"/>
      <c r="C2954" s="26"/>
      <c r="D2954" s="26"/>
      <c r="E2954" s="16"/>
      <c r="F2954" s="18"/>
      <c r="G2954" s="19" t="str">
        <f aca="true">IF(F2954="", "", DATEDIF(F2954, TODAY(), "Y"))</f>
        <v/>
      </c>
      <c r="H2954" s="28"/>
      <c r="I2954" s="28"/>
      <c r="J2954" s="24" t="str">
        <f aca="true">IF(ISBLANK(H2954), "", I2954-TODAY())</f>
        <v/>
      </c>
      <c r="K2954" s="24" t="str">
        <f aca="false" t="array" ref="K2954:K2954">IF(A2954&lt;&gt;"",IF(COUNTIF(A$996:A2955,"&lt;&gt;")=0,COUNTA(B$996:B2954),IFERROR(MATCH(TRUE(),INDEX((A$996:A2955&lt;&gt;""),0),0),COUNTA(B$996:B2954))),"")</f>
        <v/>
      </c>
      <c r="L2954" s="27"/>
    </row>
    <row r="2955" customFormat="false" ht="13.8" hidden="false" customHeight="false" outlineLevel="0" collapsed="false">
      <c r="A2955" s="16"/>
      <c r="B2955" s="16"/>
      <c r="C2955" s="26"/>
      <c r="D2955" s="26"/>
      <c r="E2955" s="16"/>
      <c r="F2955" s="18"/>
      <c r="G2955" s="19" t="str">
        <f aca="true">IF(F2955="", "", DATEDIF(F2955, TODAY(), "Y"))</f>
        <v/>
      </c>
      <c r="H2955" s="28"/>
      <c r="I2955" s="28"/>
      <c r="J2955" s="24" t="str">
        <f aca="true">IF(ISBLANK(H2955), "", I2955-TODAY())</f>
        <v/>
      </c>
      <c r="K2955" s="24" t="str">
        <f aca="false" t="array" ref="K2955:K2955">IF(A2955&lt;&gt;"",IF(COUNTIF(A$996:A2956,"&lt;&gt;")=0,COUNTA(B$996:B2955),IFERROR(MATCH(TRUE(),INDEX((A$996:A2956&lt;&gt;""),0),0),COUNTA(B$996:B2955))),"")</f>
        <v/>
      </c>
      <c r="L2955" s="27"/>
    </row>
    <row r="2956" customFormat="false" ht="13.8" hidden="false" customHeight="false" outlineLevel="0" collapsed="false">
      <c r="A2956" s="16"/>
      <c r="B2956" s="16"/>
      <c r="C2956" s="26"/>
      <c r="D2956" s="26"/>
      <c r="E2956" s="16"/>
      <c r="F2956" s="18"/>
      <c r="G2956" s="19" t="str">
        <f aca="true">IF(F2956="", "", DATEDIF(F2956, TODAY(), "Y"))</f>
        <v/>
      </c>
      <c r="H2956" s="28"/>
      <c r="I2956" s="28"/>
      <c r="J2956" s="24" t="str">
        <f aca="true">IF(ISBLANK(H2956), "", I2956-TODAY())</f>
        <v/>
      </c>
      <c r="K2956" s="24" t="str">
        <f aca="false" t="array" ref="K2956:K2956">IF(A2956&lt;&gt;"",IF(COUNTIF(A$996:A2957,"&lt;&gt;")=0,COUNTA(B$996:B2956),IFERROR(MATCH(TRUE(),INDEX((A$996:A2957&lt;&gt;""),0),0),COUNTA(B$996:B2956))),"")</f>
        <v/>
      </c>
      <c r="L2956" s="27"/>
    </row>
    <row r="2957" customFormat="false" ht="13.8" hidden="false" customHeight="false" outlineLevel="0" collapsed="false">
      <c r="A2957" s="16"/>
      <c r="B2957" s="16"/>
      <c r="C2957" s="26"/>
      <c r="D2957" s="26"/>
      <c r="E2957" s="16"/>
      <c r="F2957" s="18"/>
      <c r="G2957" s="19" t="str">
        <f aca="true">IF(F2957="", "", DATEDIF(F2957, TODAY(), "Y"))</f>
        <v/>
      </c>
      <c r="H2957" s="28"/>
      <c r="I2957" s="28"/>
      <c r="J2957" s="24" t="str">
        <f aca="true">IF(ISBLANK(H2957), "", I2957-TODAY())</f>
        <v/>
      </c>
      <c r="K2957" s="24" t="str">
        <f aca="false" t="array" ref="K2957:K2957">IF(A2957&lt;&gt;"",IF(COUNTIF(A$996:A2958,"&lt;&gt;")=0,COUNTA(B$996:B2957),IFERROR(MATCH(TRUE(),INDEX((A$996:A2958&lt;&gt;""),0),0),COUNTA(B$996:B2957))),"")</f>
        <v/>
      </c>
      <c r="L2957" s="27"/>
    </row>
    <row r="2958" customFormat="false" ht="13.8" hidden="false" customHeight="false" outlineLevel="0" collapsed="false">
      <c r="A2958" s="16"/>
      <c r="B2958" s="16"/>
      <c r="C2958" s="26"/>
      <c r="D2958" s="26"/>
      <c r="E2958" s="16"/>
      <c r="F2958" s="18"/>
      <c r="G2958" s="19" t="str">
        <f aca="true">IF(F2958="", "", DATEDIF(F2958, TODAY(), "Y"))</f>
        <v/>
      </c>
      <c r="H2958" s="28"/>
      <c r="I2958" s="28"/>
      <c r="J2958" s="24" t="str">
        <f aca="true">IF(ISBLANK(H2958), "", I2958-TODAY())</f>
        <v/>
      </c>
      <c r="K2958" s="24" t="str">
        <f aca="false" t="array" ref="K2958:K2958">IF(A2958&lt;&gt;"",IF(COUNTIF(A$996:A2959,"&lt;&gt;")=0,COUNTA(B$996:B2958),IFERROR(MATCH(TRUE(),INDEX((A$996:A2959&lt;&gt;""),0),0),COUNTA(B$996:B2958))),"")</f>
        <v/>
      </c>
      <c r="L2958" s="27"/>
    </row>
    <row r="2959" customFormat="false" ht="13.8" hidden="false" customHeight="false" outlineLevel="0" collapsed="false">
      <c r="A2959" s="16"/>
      <c r="B2959" s="16"/>
      <c r="C2959" s="26"/>
      <c r="D2959" s="26"/>
      <c r="E2959" s="16"/>
      <c r="F2959" s="18"/>
      <c r="G2959" s="19" t="str">
        <f aca="true">IF(F2959="", "", DATEDIF(F2959, TODAY(), "Y"))</f>
        <v/>
      </c>
      <c r="H2959" s="28"/>
      <c r="I2959" s="28"/>
      <c r="J2959" s="24" t="str">
        <f aca="true">IF(ISBLANK(H2959), "", I2959-TODAY())</f>
        <v/>
      </c>
      <c r="K2959" s="24" t="str">
        <f aca="false" t="array" ref="K2959:K2959">IF(A2959&lt;&gt;"",IF(COUNTIF(A$996:A2960,"&lt;&gt;")=0,COUNTA(B$996:B2959),IFERROR(MATCH(TRUE(),INDEX((A$996:A2960&lt;&gt;""),0),0),COUNTA(B$996:B2959))),"")</f>
        <v/>
      </c>
      <c r="L2959" s="27"/>
    </row>
    <row r="2960" customFormat="false" ht="13.8" hidden="false" customHeight="false" outlineLevel="0" collapsed="false">
      <c r="A2960" s="16"/>
      <c r="B2960" s="16"/>
      <c r="C2960" s="26"/>
      <c r="D2960" s="26"/>
      <c r="E2960" s="16"/>
      <c r="F2960" s="18"/>
      <c r="G2960" s="19" t="str">
        <f aca="true">IF(F2960="", "", DATEDIF(F2960, TODAY(), "Y"))</f>
        <v/>
      </c>
      <c r="H2960" s="28"/>
      <c r="I2960" s="28"/>
      <c r="J2960" s="24" t="str">
        <f aca="true">IF(ISBLANK(H2960), "", I2960-TODAY())</f>
        <v/>
      </c>
      <c r="K2960" s="24" t="str">
        <f aca="false" t="array" ref="K2960:K2960">IF(A2960&lt;&gt;"",IF(COUNTIF(A$996:A2961,"&lt;&gt;")=0,COUNTA(B$996:B2960),IFERROR(MATCH(TRUE(),INDEX((A$996:A2961&lt;&gt;""),0),0),COUNTA(B$996:B2960))),"")</f>
        <v/>
      </c>
      <c r="L2960" s="27"/>
    </row>
    <row r="2961" customFormat="false" ht="13.8" hidden="false" customHeight="false" outlineLevel="0" collapsed="false">
      <c r="A2961" s="16"/>
      <c r="B2961" s="16"/>
      <c r="C2961" s="26"/>
      <c r="D2961" s="26"/>
      <c r="E2961" s="16"/>
      <c r="F2961" s="18"/>
      <c r="G2961" s="19" t="str">
        <f aca="true">IF(F2961="", "", DATEDIF(F2961, TODAY(), "Y"))</f>
        <v/>
      </c>
      <c r="H2961" s="28"/>
      <c r="I2961" s="28"/>
      <c r="J2961" s="24" t="str">
        <f aca="true">IF(ISBLANK(H2961), "", I2961-TODAY())</f>
        <v/>
      </c>
      <c r="K2961" s="24" t="str">
        <f aca="false" t="array" ref="K2961:K2961">IF(A2961&lt;&gt;"",IF(COUNTIF(A$996:A2962,"&lt;&gt;")=0,COUNTA(B$996:B2961),IFERROR(MATCH(TRUE(),INDEX((A$996:A2962&lt;&gt;""),0),0),COUNTA(B$996:B2961))),"")</f>
        <v/>
      </c>
      <c r="L2961" s="27"/>
    </row>
    <row r="2962" customFormat="false" ht="13.8" hidden="false" customHeight="false" outlineLevel="0" collapsed="false">
      <c r="A2962" s="16"/>
      <c r="B2962" s="16"/>
      <c r="C2962" s="26"/>
      <c r="D2962" s="26"/>
      <c r="E2962" s="16"/>
      <c r="F2962" s="18"/>
      <c r="G2962" s="19" t="str">
        <f aca="true">IF(F2962="", "", DATEDIF(F2962, TODAY(), "Y"))</f>
        <v/>
      </c>
      <c r="H2962" s="28"/>
      <c r="I2962" s="28"/>
      <c r="J2962" s="24" t="str">
        <f aca="true">IF(ISBLANK(H2962), "", I2962-TODAY())</f>
        <v/>
      </c>
      <c r="K2962" s="24" t="str">
        <f aca="false" t="array" ref="K2962:K2962">IF(A2962&lt;&gt;"",IF(COUNTIF(A$996:A2963,"&lt;&gt;")=0,COUNTA(B$996:B2962),IFERROR(MATCH(TRUE(),INDEX((A$996:A2963&lt;&gt;""),0),0),COUNTA(B$996:B2962))),"")</f>
        <v/>
      </c>
      <c r="L2962" s="27"/>
    </row>
    <row r="2963" customFormat="false" ht="13.8" hidden="false" customHeight="false" outlineLevel="0" collapsed="false">
      <c r="A2963" s="16"/>
      <c r="B2963" s="16"/>
      <c r="C2963" s="26"/>
      <c r="D2963" s="26"/>
      <c r="E2963" s="16"/>
      <c r="F2963" s="18"/>
      <c r="G2963" s="19" t="str">
        <f aca="true">IF(F2963="", "", DATEDIF(F2963, TODAY(), "Y"))</f>
        <v/>
      </c>
      <c r="H2963" s="28"/>
      <c r="I2963" s="28"/>
      <c r="J2963" s="24" t="str">
        <f aca="true">IF(ISBLANK(H2963), "", I2963-TODAY())</f>
        <v/>
      </c>
      <c r="K2963" s="24" t="str">
        <f aca="false" t="array" ref="K2963:K2963">IF(A2963&lt;&gt;"",IF(COUNTIF(A$996:A2964,"&lt;&gt;")=0,COUNTA(B$996:B2963),IFERROR(MATCH(TRUE(),INDEX((A$996:A2964&lt;&gt;""),0),0),COUNTA(B$996:B2963))),"")</f>
        <v/>
      </c>
      <c r="L2963" s="27"/>
    </row>
    <row r="2964" customFormat="false" ht="13.8" hidden="false" customHeight="false" outlineLevel="0" collapsed="false">
      <c r="A2964" s="16"/>
      <c r="B2964" s="16"/>
      <c r="C2964" s="26"/>
      <c r="D2964" s="26"/>
      <c r="E2964" s="16"/>
      <c r="F2964" s="18"/>
      <c r="G2964" s="19" t="str">
        <f aca="true">IF(F2964="", "", DATEDIF(F2964, TODAY(), "Y"))</f>
        <v/>
      </c>
      <c r="H2964" s="28"/>
      <c r="I2964" s="28"/>
      <c r="J2964" s="24" t="str">
        <f aca="true">IF(ISBLANK(H2964), "", I2964-TODAY())</f>
        <v/>
      </c>
      <c r="K2964" s="24" t="str">
        <f aca="false" t="array" ref="K2964:K2964">IF(A2964&lt;&gt;"",IF(COUNTIF(A$996:A2965,"&lt;&gt;")=0,COUNTA(B$996:B2964),IFERROR(MATCH(TRUE(),INDEX((A$996:A2965&lt;&gt;""),0),0),COUNTA(B$996:B2964))),"")</f>
        <v/>
      </c>
      <c r="L2964" s="27"/>
    </row>
    <row r="2965" customFormat="false" ht="13.8" hidden="false" customHeight="false" outlineLevel="0" collapsed="false">
      <c r="A2965" s="16"/>
      <c r="B2965" s="16"/>
      <c r="C2965" s="26"/>
      <c r="D2965" s="26"/>
      <c r="E2965" s="16"/>
      <c r="F2965" s="18"/>
      <c r="G2965" s="19" t="str">
        <f aca="true">IF(F2965="", "", DATEDIF(F2965, TODAY(), "Y"))</f>
        <v/>
      </c>
      <c r="H2965" s="28"/>
      <c r="I2965" s="28"/>
      <c r="J2965" s="24" t="str">
        <f aca="true">IF(ISBLANK(H2965), "", I2965-TODAY())</f>
        <v/>
      </c>
      <c r="K2965" s="24" t="str">
        <f aca="false" t="array" ref="K2965:K2965">IF(A2965&lt;&gt;"",IF(COUNTIF(A$996:A2966,"&lt;&gt;")=0,COUNTA(B$996:B2965),IFERROR(MATCH(TRUE(),INDEX((A$996:A2966&lt;&gt;""),0),0),COUNTA(B$996:B2965))),"")</f>
        <v/>
      </c>
      <c r="L2965" s="27"/>
    </row>
    <row r="2966" customFormat="false" ht="13.8" hidden="false" customHeight="false" outlineLevel="0" collapsed="false">
      <c r="A2966" s="16"/>
      <c r="B2966" s="16"/>
      <c r="C2966" s="26"/>
      <c r="D2966" s="26"/>
      <c r="E2966" s="16"/>
      <c r="F2966" s="18"/>
      <c r="G2966" s="19" t="str">
        <f aca="true">IF(F2966="", "", DATEDIF(F2966, TODAY(), "Y"))</f>
        <v/>
      </c>
      <c r="H2966" s="28"/>
      <c r="I2966" s="28"/>
      <c r="J2966" s="24" t="str">
        <f aca="true">IF(ISBLANK(H2966), "", I2966-TODAY())</f>
        <v/>
      </c>
      <c r="K2966" s="24" t="str">
        <f aca="false" t="array" ref="K2966:K2966">IF(A2966&lt;&gt;"",IF(COUNTIF(A$996:A2967,"&lt;&gt;")=0,COUNTA(B$996:B2966),IFERROR(MATCH(TRUE(),INDEX((A$996:A2967&lt;&gt;""),0),0),COUNTA(B$996:B2966))),"")</f>
        <v/>
      </c>
      <c r="L2966" s="27"/>
    </row>
    <row r="2967" customFormat="false" ht="13.8" hidden="false" customHeight="false" outlineLevel="0" collapsed="false">
      <c r="A2967" s="16"/>
      <c r="B2967" s="16"/>
      <c r="C2967" s="26"/>
      <c r="D2967" s="26"/>
      <c r="E2967" s="16"/>
      <c r="F2967" s="18"/>
      <c r="G2967" s="19" t="str">
        <f aca="true">IF(F2967="", "", DATEDIF(F2967, TODAY(), "Y"))</f>
        <v/>
      </c>
      <c r="H2967" s="28"/>
      <c r="I2967" s="28"/>
      <c r="J2967" s="24" t="str">
        <f aca="true">IF(ISBLANK(H2967), "", I2967-TODAY())</f>
        <v/>
      </c>
      <c r="K2967" s="24" t="str">
        <f aca="false" t="array" ref="K2967:K2967">IF(A2967&lt;&gt;"",IF(COUNTIF(A$996:A2968,"&lt;&gt;")=0,COUNTA(B$996:B2967),IFERROR(MATCH(TRUE(),INDEX((A$996:A2968&lt;&gt;""),0),0),COUNTA(B$996:B2967))),"")</f>
        <v/>
      </c>
      <c r="L2967" s="27"/>
    </row>
    <row r="2968" customFormat="false" ht="13.8" hidden="false" customHeight="false" outlineLevel="0" collapsed="false">
      <c r="A2968" s="16"/>
      <c r="B2968" s="16"/>
      <c r="C2968" s="26"/>
      <c r="D2968" s="26"/>
      <c r="E2968" s="16"/>
      <c r="F2968" s="18"/>
      <c r="G2968" s="19" t="str">
        <f aca="true">IF(F2968="", "", DATEDIF(F2968, TODAY(), "Y"))</f>
        <v/>
      </c>
      <c r="H2968" s="28"/>
      <c r="I2968" s="28"/>
      <c r="J2968" s="24" t="str">
        <f aca="true">IF(ISBLANK(H2968), "", I2968-TODAY())</f>
        <v/>
      </c>
      <c r="K2968" s="24" t="str">
        <f aca="false" t="array" ref="K2968:K2968">IF(A2968&lt;&gt;"",IF(COUNTIF(A$996:A2969,"&lt;&gt;")=0,COUNTA(B$996:B2968),IFERROR(MATCH(TRUE(),INDEX((A$996:A2969&lt;&gt;""),0),0),COUNTA(B$996:B2968))),"")</f>
        <v/>
      </c>
      <c r="L2968" s="27"/>
    </row>
    <row r="2969" customFormat="false" ht="13.8" hidden="false" customHeight="false" outlineLevel="0" collapsed="false">
      <c r="A2969" s="16"/>
      <c r="B2969" s="16"/>
      <c r="C2969" s="26"/>
      <c r="D2969" s="26"/>
      <c r="E2969" s="16"/>
      <c r="F2969" s="18"/>
      <c r="G2969" s="19" t="str">
        <f aca="true">IF(F2969="", "", DATEDIF(F2969, TODAY(), "Y"))</f>
        <v/>
      </c>
      <c r="H2969" s="28"/>
      <c r="I2969" s="28"/>
      <c r="J2969" s="24" t="str">
        <f aca="true">IF(ISBLANK(H2969), "", I2969-TODAY())</f>
        <v/>
      </c>
      <c r="K2969" s="24" t="str">
        <f aca="false" t="array" ref="K2969:K2969">IF(A2969&lt;&gt;"",IF(COUNTIF(A$996:A2970,"&lt;&gt;")=0,COUNTA(B$996:B2969),IFERROR(MATCH(TRUE(),INDEX((A$996:A2970&lt;&gt;""),0),0),COUNTA(B$996:B2969))),"")</f>
        <v/>
      </c>
      <c r="L2969" s="27"/>
    </row>
    <row r="2970" customFormat="false" ht="13.8" hidden="false" customHeight="false" outlineLevel="0" collapsed="false">
      <c r="A2970" s="16"/>
      <c r="B2970" s="16"/>
      <c r="C2970" s="26"/>
      <c r="D2970" s="26"/>
      <c r="E2970" s="16"/>
      <c r="F2970" s="18"/>
      <c r="G2970" s="19" t="str">
        <f aca="true">IF(F2970="", "", DATEDIF(F2970, TODAY(), "Y"))</f>
        <v/>
      </c>
      <c r="H2970" s="28"/>
      <c r="I2970" s="28"/>
      <c r="J2970" s="24" t="str">
        <f aca="true">IF(ISBLANK(H2970), "", I2970-TODAY())</f>
        <v/>
      </c>
      <c r="K2970" s="24" t="str">
        <f aca="false" t="array" ref="K2970:K2970">IF(A2970&lt;&gt;"",IF(COUNTIF(A$996:A2971,"&lt;&gt;")=0,COUNTA(B$996:B2970),IFERROR(MATCH(TRUE(),INDEX((A$996:A2971&lt;&gt;""),0),0),COUNTA(B$996:B2970))),"")</f>
        <v/>
      </c>
      <c r="L2970" s="27"/>
    </row>
    <row r="2971" customFormat="false" ht="13.8" hidden="false" customHeight="false" outlineLevel="0" collapsed="false">
      <c r="A2971" s="16"/>
      <c r="B2971" s="16"/>
      <c r="C2971" s="26"/>
      <c r="D2971" s="26"/>
      <c r="E2971" s="16"/>
      <c r="F2971" s="18"/>
      <c r="G2971" s="19" t="str">
        <f aca="true">IF(F2971="", "", DATEDIF(F2971, TODAY(), "Y"))</f>
        <v/>
      </c>
      <c r="H2971" s="28"/>
      <c r="I2971" s="28"/>
      <c r="J2971" s="24" t="str">
        <f aca="true">IF(ISBLANK(H2971), "", I2971-TODAY())</f>
        <v/>
      </c>
      <c r="K2971" s="24" t="str">
        <f aca="false" t="array" ref="K2971:K2971">IF(A2971&lt;&gt;"",IF(COUNTIF(A$996:A2972,"&lt;&gt;")=0,COUNTA(B$996:B2971),IFERROR(MATCH(TRUE(),INDEX((A$996:A2972&lt;&gt;""),0),0),COUNTA(B$996:B2971))),"")</f>
        <v/>
      </c>
      <c r="L2971" s="27"/>
    </row>
    <row r="2972" customFormat="false" ht="13.8" hidden="false" customHeight="false" outlineLevel="0" collapsed="false">
      <c r="A2972" s="16"/>
      <c r="B2972" s="16"/>
      <c r="C2972" s="26"/>
      <c r="D2972" s="26"/>
      <c r="E2972" s="16"/>
      <c r="F2972" s="18"/>
      <c r="G2972" s="19" t="str">
        <f aca="true">IF(F2972="", "", DATEDIF(F2972, TODAY(), "Y"))</f>
        <v/>
      </c>
      <c r="H2972" s="28"/>
      <c r="I2972" s="28"/>
      <c r="J2972" s="24" t="str">
        <f aca="true">IF(ISBLANK(H2972), "", I2972-TODAY())</f>
        <v/>
      </c>
      <c r="K2972" s="24" t="str">
        <f aca="false" t="array" ref="K2972:K2972">IF(A2972&lt;&gt;"",IF(COUNTIF(A$996:A2973,"&lt;&gt;")=0,COUNTA(B$996:B2972),IFERROR(MATCH(TRUE(),INDEX((A$996:A2973&lt;&gt;""),0),0),COUNTA(B$996:B2972))),"")</f>
        <v/>
      </c>
      <c r="L2972" s="27"/>
    </row>
    <row r="2973" customFormat="false" ht="13.8" hidden="false" customHeight="false" outlineLevel="0" collapsed="false">
      <c r="A2973" s="16"/>
      <c r="B2973" s="16"/>
      <c r="C2973" s="26"/>
      <c r="D2973" s="26"/>
      <c r="E2973" s="16"/>
      <c r="F2973" s="18"/>
      <c r="G2973" s="19" t="str">
        <f aca="true">IF(F2973="", "", DATEDIF(F2973, TODAY(), "Y"))</f>
        <v/>
      </c>
      <c r="H2973" s="28"/>
      <c r="I2973" s="28"/>
      <c r="J2973" s="24" t="str">
        <f aca="true">IF(ISBLANK(H2973), "", I2973-TODAY())</f>
        <v/>
      </c>
      <c r="K2973" s="24" t="str">
        <f aca="false" t="array" ref="K2973:K2973">IF(A2973&lt;&gt;"",IF(COUNTIF(A$996:A2974,"&lt;&gt;")=0,COUNTA(B$996:B2973),IFERROR(MATCH(TRUE(),INDEX((A$996:A2974&lt;&gt;""),0),0),COUNTA(B$996:B2973))),"")</f>
        <v/>
      </c>
      <c r="L2973" s="27"/>
    </row>
    <row r="2974" customFormat="false" ht="13.8" hidden="false" customHeight="false" outlineLevel="0" collapsed="false">
      <c r="A2974" s="16"/>
      <c r="B2974" s="16"/>
      <c r="C2974" s="26"/>
      <c r="D2974" s="26"/>
      <c r="E2974" s="16"/>
      <c r="F2974" s="18"/>
      <c r="G2974" s="19" t="str">
        <f aca="true">IF(F2974="", "", DATEDIF(F2974, TODAY(), "Y"))</f>
        <v/>
      </c>
      <c r="H2974" s="28"/>
      <c r="I2974" s="28"/>
      <c r="J2974" s="24" t="str">
        <f aca="true">IF(ISBLANK(H2974), "", I2974-TODAY())</f>
        <v/>
      </c>
      <c r="K2974" s="24" t="str">
        <f aca="false" t="array" ref="K2974:K2974">IF(A2974&lt;&gt;"",IF(COUNTIF(A$996:A2975,"&lt;&gt;")=0,COUNTA(B$996:B2974),IFERROR(MATCH(TRUE(),INDEX((A$996:A2975&lt;&gt;""),0),0),COUNTA(B$996:B2974))),"")</f>
        <v/>
      </c>
      <c r="L2974" s="27"/>
    </row>
    <row r="2975" customFormat="false" ht="13.8" hidden="false" customHeight="false" outlineLevel="0" collapsed="false">
      <c r="A2975" s="16"/>
      <c r="B2975" s="16"/>
      <c r="C2975" s="26"/>
      <c r="D2975" s="26"/>
      <c r="E2975" s="16"/>
      <c r="F2975" s="18"/>
      <c r="G2975" s="19" t="str">
        <f aca="true">IF(F2975="", "", DATEDIF(F2975, TODAY(), "Y"))</f>
        <v/>
      </c>
      <c r="H2975" s="28"/>
      <c r="I2975" s="28"/>
      <c r="J2975" s="24" t="str">
        <f aca="true">IF(ISBLANK(H2975), "", I2975-TODAY())</f>
        <v/>
      </c>
      <c r="K2975" s="24" t="str">
        <f aca="false" t="array" ref="K2975:K2975">IF(A2975&lt;&gt;"",IF(COUNTIF(A$996:A2976,"&lt;&gt;")=0,COUNTA(B$996:B2975),IFERROR(MATCH(TRUE(),INDEX((A$996:A2976&lt;&gt;""),0),0),COUNTA(B$996:B2975))),"")</f>
        <v/>
      </c>
      <c r="L2975" s="27"/>
    </row>
    <row r="2976" customFormat="false" ht="13.8" hidden="false" customHeight="false" outlineLevel="0" collapsed="false">
      <c r="A2976" s="16"/>
      <c r="B2976" s="16"/>
      <c r="C2976" s="26"/>
      <c r="D2976" s="26"/>
      <c r="E2976" s="16"/>
      <c r="F2976" s="18"/>
      <c r="G2976" s="19" t="str">
        <f aca="true">IF(F2976="", "", DATEDIF(F2976, TODAY(), "Y"))</f>
        <v/>
      </c>
      <c r="H2976" s="28"/>
      <c r="I2976" s="28"/>
      <c r="J2976" s="24" t="str">
        <f aca="true">IF(ISBLANK(H2976), "", I2976-TODAY())</f>
        <v/>
      </c>
      <c r="K2976" s="24" t="str">
        <f aca="false" t="array" ref="K2976:K2976">IF(A2976&lt;&gt;"",IF(COUNTIF(A$996:A2977,"&lt;&gt;")=0,COUNTA(B$996:B2976),IFERROR(MATCH(TRUE(),INDEX((A$996:A2977&lt;&gt;""),0),0),COUNTA(B$996:B2976))),"")</f>
        <v/>
      </c>
      <c r="L2976" s="27"/>
    </row>
    <row r="2977" customFormat="false" ht="13.8" hidden="false" customHeight="false" outlineLevel="0" collapsed="false">
      <c r="A2977" s="16"/>
      <c r="B2977" s="16"/>
      <c r="C2977" s="26"/>
      <c r="D2977" s="26"/>
      <c r="E2977" s="16"/>
      <c r="F2977" s="18"/>
      <c r="G2977" s="19" t="str">
        <f aca="true">IF(F2977="", "", DATEDIF(F2977, TODAY(), "Y"))</f>
        <v/>
      </c>
      <c r="H2977" s="28"/>
      <c r="I2977" s="28"/>
      <c r="J2977" s="24" t="str">
        <f aca="true">IF(ISBLANK(H2977), "", I2977-TODAY())</f>
        <v/>
      </c>
      <c r="K2977" s="24" t="str">
        <f aca="false" t="array" ref="K2977:K2977">IF(A2977&lt;&gt;"",IF(COUNTIF(A$996:A2978,"&lt;&gt;")=0,COUNTA(B$996:B2977),IFERROR(MATCH(TRUE(),INDEX((A$996:A2978&lt;&gt;""),0),0),COUNTA(B$996:B2977))),"")</f>
        <v/>
      </c>
      <c r="L2977" s="27"/>
    </row>
    <row r="2978" customFormat="false" ht="13.8" hidden="false" customHeight="false" outlineLevel="0" collapsed="false">
      <c r="A2978" s="16"/>
      <c r="B2978" s="16"/>
      <c r="C2978" s="26"/>
      <c r="D2978" s="26"/>
      <c r="E2978" s="16"/>
      <c r="F2978" s="18"/>
      <c r="G2978" s="19" t="str">
        <f aca="true">IF(F2978="", "", DATEDIF(F2978, TODAY(), "Y"))</f>
        <v/>
      </c>
      <c r="H2978" s="28"/>
      <c r="I2978" s="28"/>
      <c r="J2978" s="24" t="str">
        <f aca="true">IF(ISBLANK(H2978), "", I2978-TODAY())</f>
        <v/>
      </c>
      <c r="K2978" s="24" t="str">
        <f aca="false" t="array" ref="K2978:K2978">IF(A2978&lt;&gt;"",IF(COUNTIF(A$996:A2979,"&lt;&gt;")=0,COUNTA(B$996:B2978),IFERROR(MATCH(TRUE(),INDEX((A$996:A2979&lt;&gt;""),0),0),COUNTA(B$996:B2978))),"")</f>
        <v/>
      </c>
      <c r="L2978" s="27"/>
    </row>
    <row r="2979" customFormat="false" ht="13.8" hidden="false" customHeight="false" outlineLevel="0" collapsed="false">
      <c r="A2979" s="16"/>
      <c r="B2979" s="16"/>
      <c r="C2979" s="26"/>
      <c r="D2979" s="26"/>
      <c r="E2979" s="16"/>
      <c r="F2979" s="18"/>
      <c r="G2979" s="19" t="str">
        <f aca="true">IF(F2979="", "", DATEDIF(F2979, TODAY(), "Y"))</f>
        <v/>
      </c>
      <c r="H2979" s="28"/>
      <c r="I2979" s="28"/>
      <c r="J2979" s="24" t="str">
        <f aca="true">IF(ISBLANK(H2979), "", I2979-TODAY())</f>
        <v/>
      </c>
      <c r="K2979" s="24" t="str">
        <f aca="false" t="array" ref="K2979:K2979">IF(A2979&lt;&gt;"",IF(COUNTIF(A$996:A2980,"&lt;&gt;")=0,COUNTA(B$996:B2979),IFERROR(MATCH(TRUE(),INDEX((A$996:A2980&lt;&gt;""),0),0),COUNTA(B$996:B2979))),"")</f>
        <v/>
      </c>
      <c r="L2979" s="27"/>
    </row>
    <row r="2980" customFormat="false" ht="13.8" hidden="false" customHeight="false" outlineLevel="0" collapsed="false">
      <c r="A2980" s="16"/>
      <c r="B2980" s="16"/>
      <c r="C2980" s="26"/>
      <c r="D2980" s="26"/>
      <c r="E2980" s="16"/>
      <c r="F2980" s="18"/>
      <c r="G2980" s="19" t="str">
        <f aca="true">IF(F2980="", "", DATEDIF(F2980, TODAY(), "Y"))</f>
        <v/>
      </c>
      <c r="H2980" s="28"/>
      <c r="I2980" s="28"/>
      <c r="J2980" s="24" t="str">
        <f aca="true">IF(ISBLANK(H2980), "", I2980-TODAY())</f>
        <v/>
      </c>
      <c r="K2980" s="24" t="str">
        <f aca="false" t="array" ref="K2980:K2980">IF(A2980&lt;&gt;"",IF(COUNTIF(A$996:A2981,"&lt;&gt;")=0,COUNTA(B$996:B2980),IFERROR(MATCH(TRUE(),INDEX((A$996:A2981&lt;&gt;""),0),0),COUNTA(B$996:B2980))),"")</f>
        <v/>
      </c>
      <c r="L2980" s="27"/>
    </row>
    <row r="2981" customFormat="false" ht="13.8" hidden="false" customHeight="false" outlineLevel="0" collapsed="false">
      <c r="A2981" s="16"/>
      <c r="B2981" s="16"/>
      <c r="C2981" s="26"/>
      <c r="D2981" s="26"/>
      <c r="E2981" s="16"/>
      <c r="F2981" s="18"/>
      <c r="G2981" s="19" t="str">
        <f aca="true">IF(F2981="", "", DATEDIF(F2981, TODAY(), "Y"))</f>
        <v/>
      </c>
      <c r="H2981" s="28"/>
      <c r="I2981" s="28"/>
      <c r="J2981" s="24" t="str">
        <f aca="true">IF(ISBLANK(H2981), "", I2981-TODAY())</f>
        <v/>
      </c>
      <c r="K2981" s="24" t="str">
        <f aca="false" t="array" ref="K2981:K2981">IF(A2981&lt;&gt;"",IF(COUNTIF(A$996:A2982,"&lt;&gt;")=0,COUNTA(B$996:B2981),IFERROR(MATCH(TRUE(),INDEX((A$996:A2982&lt;&gt;""),0),0),COUNTA(B$996:B2981))),"")</f>
        <v/>
      </c>
      <c r="L2981" s="27"/>
    </row>
    <row r="2982" customFormat="false" ht="13.8" hidden="false" customHeight="false" outlineLevel="0" collapsed="false">
      <c r="A2982" s="16"/>
      <c r="B2982" s="16"/>
      <c r="C2982" s="26"/>
      <c r="D2982" s="26"/>
      <c r="E2982" s="16"/>
      <c r="F2982" s="18"/>
      <c r="G2982" s="19" t="str">
        <f aca="true">IF(F2982="", "", DATEDIF(F2982, TODAY(), "Y"))</f>
        <v/>
      </c>
      <c r="H2982" s="28"/>
      <c r="I2982" s="28"/>
      <c r="J2982" s="24" t="str">
        <f aca="true">IF(ISBLANK(H2982), "", I2982-TODAY())</f>
        <v/>
      </c>
      <c r="K2982" s="24" t="str">
        <f aca="false" t="array" ref="K2982:K2982">IF(A2982&lt;&gt;"",IF(COUNTIF(A$996:A2983,"&lt;&gt;")=0,COUNTA(B$996:B2982),IFERROR(MATCH(TRUE(),INDEX((A$996:A2983&lt;&gt;""),0),0),COUNTA(B$996:B2982))),"")</f>
        <v/>
      </c>
      <c r="L2982" s="27"/>
    </row>
    <row r="2983" customFormat="false" ht="13.8" hidden="false" customHeight="false" outlineLevel="0" collapsed="false">
      <c r="A2983" s="16"/>
      <c r="B2983" s="16"/>
      <c r="C2983" s="26"/>
      <c r="D2983" s="26"/>
      <c r="E2983" s="16"/>
      <c r="F2983" s="18"/>
      <c r="G2983" s="19" t="str">
        <f aca="true">IF(F2983="", "", DATEDIF(F2983, TODAY(), "Y"))</f>
        <v/>
      </c>
      <c r="H2983" s="28"/>
      <c r="I2983" s="28"/>
      <c r="J2983" s="24" t="str">
        <f aca="true">IF(ISBLANK(H2983), "", I2983-TODAY())</f>
        <v/>
      </c>
      <c r="K2983" s="24" t="str">
        <f aca="false" t="array" ref="K2983:K2983">IF(A2983&lt;&gt;"",IF(COUNTIF(A$996:A2984,"&lt;&gt;")=0,COUNTA(B$996:B2983),IFERROR(MATCH(TRUE(),INDEX((A$996:A2984&lt;&gt;""),0),0),COUNTA(B$996:B2983))),"")</f>
        <v/>
      </c>
      <c r="L2983" s="27"/>
    </row>
    <row r="2984" customFormat="false" ht="13.8" hidden="false" customHeight="false" outlineLevel="0" collapsed="false">
      <c r="A2984" s="16"/>
      <c r="B2984" s="16"/>
      <c r="C2984" s="26"/>
      <c r="D2984" s="26"/>
      <c r="E2984" s="16"/>
      <c r="F2984" s="18"/>
      <c r="G2984" s="19" t="str">
        <f aca="true">IF(F2984="", "", DATEDIF(F2984, TODAY(), "Y"))</f>
        <v/>
      </c>
      <c r="H2984" s="28"/>
      <c r="I2984" s="28"/>
      <c r="J2984" s="24" t="str">
        <f aca="true">IF(ISBLANK(H2984), "", I2984-TODAY())</f>
        <v/>
      </c>
      <c r="K2984" s="24" t="str">
        <f aca="false" t="array" ref="K2984:K2984">IF(A2984&lt;&gt;"",IF(COUNTIF(A$996:A2985,"&lt;&gt;")=0,COUNTA(B$996:B2984),IFERROR(MATCH(TRUE(),INDEX((A$996:A2985&lt;&gt;""),0),0),COUNTA(B$996:B2984))),"")</f>
        <v/>
      </c>
      <c r="L2984" s="27"/>
    </row>
    <row r="2985" customFormat="false" ht="13.8" hidden="false" customHeight="false" outlineLevel="0" collapsed="false">
      <c r="A2985" s="16"/>
      <c r="B2985" s="16"/>
      <c r="C2985" s="26"/>
      <c r="D2985" s="26"/>
      <c r="E2985" s="16"/>
      <c r="F2985" s="18"/>
      <c r="G2985" s="19" t="str">
        <f aca="true">IF(F2985="", "", DATEDIF(F2985, TODAY(), "Y"))</f>
        <v/>
      </c>
      <c r="H2985" s="28"/>
      <c r="I2985" s="28"/>
      <c r="J2985" s="24" t="str">
        <f aca="true">IF(ISBLANK(H2985), "", I2985-TODAY())</f>
        <v/>
      </c>
      <c r="K2985" s="24" t="str">
        <f aca="false" t="array" ref="K2985:K2985">IF(A2985&lt;&gt;"",IF(COUNTIF(A$996:A2986,"&lt;&gt;")=0,COUNTA(B$996:B2985),IFERROR(MATCH(TRUE(),INDEX((A$996:A2986&lt;&gt;""),0),0),COUNTA(B$996:B2985))),"")</f>
        <v/>
      </c>
      <c r="L2985" s="27"/>
    </row>
    <row r="2986" customFormat="false" ht="13.8" hidden="false" customHeight="false" outlineLevel="0" collapsed="false">
      <c r="A2986" s="16"/>
      <c r="B2986" s="16"/>
      <c r="C2986" s="26"/>
      <c r="D2986" s="26"/>
      <c r="E2986" s="16"/>
      <c r="F2986" s="18"/>
      <c r="G2986" s="19" t="str">
        <f aca="true">IF(F2986="", "", DATEDIF(F2986, TODAY(), "Y"))</f>
        <v/>
      </c>
      <c r="H2986" s="28"/>
      <c r="I2986" s="28"/>
      <c r="J2986" s="24" t="str">
        <f aca="true">IF(ISBLANK(H2986), "", I2986-TODAY())</f>
        <v/>
      </c>
      <c r="K2986" s="24" t="str">
        <f aca="false" t="array" ref="K2986:K2986">IF(A2986&lt;&gt;"",IF(COUNTIF(A$996:A2987,"&lt;&gt;")=0,COUNTA(B$996:B2986),IFERROR(MATCH(TRUE(),INDEX((A$996:A2987&lt;&gt;""),0),0),COUNTA(B$996:B2986))),"")</f>
        <v/>
      </c>
      <c r="L2986" s="27"/>
    </row>
    <row r="2987" customFormat="false" ht="13.8" hidden="false" customHeight="false" outlineLevel="0" collapsed="false">
      <c r="A2987" s="16"/>
      <c r="B2987" s="16"/>
      <c r="C2987" s="26"/>
      <c r="D2987" s="26"/>
      <c r="E2987" s="16"/>
      <c r="F2987" s="18"/>
      <c r="G2987" s="19" t="str">
        <f aca="true">IF(F2987="", "", DATEDIF(F2987, TODAY(), "Y"))</f>
        <v/>
      </c>
      <c r="H2987" s="28"/>
      <c r="I2987" s="28"/>
      <c r="J2987" s="24" t="str">
        <f aca="true">IF(ISBLANK(H2987), "", I2987-TODAY())</f>
        <v/>
      </c>
      <c r="K2987" s="24" t="str">
        <f aca="false" t="array" ref="K2987:K2987">IF(A2987&lt;&gt;"",IF(COUNTIF(A$996:A2988,"&lt;&gt;")=0,COUNTA(B$996:B2987),IFERROR(MATCH(TRUE(),INDEX((A$996:A2988&lt;&gt;""),0),0),COUNTA(B$996:B2987))),"")</f>
        <v/>
      </c>
      <c r="L2987" s="27"/>
    </row>
    <row r="2988" customFormat="false" ht="13.8" hidden="false" customHeight="false" outlineLevel="0" collapsed="false">
      <c r="A2988" s="16"/>
      <c r="B2988" s="16"/>
      <c r="C2988" s="26"/>
      <c r="D2988" s="26"/>
      <c r="E2988" s="16"/>
      <c r="F2988" s="18"/>
      <c r="G2988" s="19" t="str">
        <f aca="true">IF(F2988="", "", DATEDIF(F2988, TODAY(), "Y"))</f>
        <v/>
      </c>
      <c r="H2988" s="28"/>
      <c r="I2988" s="28"/>
      <c r="J2988" s="24" t="str">
        <f aca="true">IF(ISBLANK(H2988), "", I2988-TODAY())</f>
        <v/>
      </c>
      <c r="K2988" s="24" t="str">
        <f aca="false" t="array" ref="K2988:K2988">IF(A2988&lt;&gt;"",IF(COUNTIF(A$996:A2989,"&lt;&gt;")=0,COUNTA(B$996:B2988),IFERROR(MATCH(TRUE(),INDEX((A$996:A2989&lt;&gt;""),0),0),COUNTA(B$996:B2988))),"")</f>
        <v/>
      </c>
      <c r="L2988" s="27"/>
    </row>
    <row r="2989" customFormat="false" ht="13.8" hidden="false" customHeight="false" outlineLevel="0" collapsed="false">
      <c r="A2989" s="16"/>
      <c r="B2989" s="16"/>
      <c r="C2989" s="26"/>
      <c r="D2989" s="26"/>
      <c r="E2989" s="16"/>
      <c r="F2989" s="18"/>
      <c r="G2989" s="19" t="str">
        <f aca="true">IF(F2989="", "", DATEDIF(F2989, TODAY(), "Y"))</f>
        <v/>
      </c>
      <c r="H2989" s="28"/>
      <c r="I2989" s="28"/>
      <c r="J2989" s="24" t="str">
        <f aca="true">IF(ISBLANK(H2989), "", I2989-TODAY())</f>
        <v/>
      </c>
      <c r="K2989" s="24" t="str">
        <f aca="false" t="array" ref="K2989:K2989">IF(A2989&lt;&gt;"",IF(COUNTIF(A$996:A2990,"&lt;&gt;")=0,COUNTA(B$996:B2989),IFERROR(MATCH(TRUE(),INDEX((A$996:A2990&lt;&gt;""),0),0),COUNTA(B$996:B2989))),"")</f>
        <v/>
      </c>
      <c r="L2989" s="27"/>
    </row>
    <row r="2990" customFormat="false" ht="13.8" hidden="false" customHeight="false" outlineLevel="0" collapsed="false">
      <c r="A2990" s="16"/>
      <c r="B2990" s="16"/>
      <c r="C2990" s="26"/>
      <c r="D2990" s="26"/>
      <c r="E2990" s="16"/>
      <c r="F2990" s="18"/>
      <c r="G2990" s="19" t="str">
        <f aca="true">IF(F2990="", "", DATEDIF(F2990, TODAY(), "Y"))</f>
        <v/>
      </c>
      <c r="H2990" s="28"/>
      <c r="I2990" s="28"/>
      <c r="J2990" s="24" t="str">
        <f aca="true">IF(ISBLANK(H2990), "", I2990-TODAY())</f>
        <v/>
      </c>
      <c r="K2990" s="24" t="str">
        <f aca="false" t="array" ref="K2990:K2990">IF(A2990&lt;&gt;"",IF(COUNTIF(A$996:A2991,"&lt;&gt;")=0,COUNTA(B$996:B2990),IFERROR(MATCH(TRUE(),INDEX((A$996:A2991&lt;&gt;""),0),0),COUNTA(B$996:B2990))),"")</f>
        <v/>
      </c>
      <c r="L2990" s="27"/>
    </row>
    <row r="2991" customFormat="false" ht="13.8" hidden="false" customHeight="false" outlineLevel="0" collapsed="false">
      <c r="A2991" s="16"/>
      <c r="B2991" s="16"/>
      <c r="C2991" s="26"/>
      <c r="D2991" s="26"/>
      <c r="E2991" s="16"/>
      <c r="F2991" s="18"/>
      <c r="G2991" s="19" t="str">
        <f aca="true">IF(F2991="", "", DATEDIF(F2991, TODAY(), "Y"))</f>
        <v/>
      </c>
      <c r="H2991" s="28"/>
      <c r="I2991" s="28"/>
      <c r="J2991" s="24" t="str">
        <f aca="true">IF(ISBLANK(H2991), "", I2991-TODAY())</f>
        <v/>
      </c>
      <c r="K2991" s="24" t="str">
        <f aca="false" t="array" ref="K2991:K2991">IF(A2991&lt;&gt;"",IF(COUNTIF(A$996:A2992,"&lt;&gt;")=0,COUNTA(B$996:B2991),IFERROR(MATCH(TRUE(),INDEX((A$996:A2992&lt;&gt;""),0),0),COUNTA(B$996:B2991))),"")</f>
        <v/>
      </c>
      <c r="L2991" s="27"/>
    </row>
    <row r="2992" customFormat="false" ht="13.8" hidden="false" customHeight="false" outlineLevel="0" collapsed="false">
      <c r="A2992" s="16"/>
      <c r="B2992" s="16"/>
      <c r="C2992" s="26"/>
      <c r="D2992" s="26"/>
      <c r="E2992" s="16"/>
      <c r="F2992" s="18"/>
      <c r="G2992" s="19" t="str">
        <f aca="true">IF(F2992="", "", DATEDIF(F2992, TODAY(), "Y"))</f>
        <v/>
      </c>
      <c r="H2992" s="28"/>
      <c r="I2992" s="28"/>
      <c r="J2992" s="24" t="str">
        <f aca="true">IF(ISBLANK(H2992), "", I2992-TODAY())</f>
        <v/>
      </c>
      <c r="K2992" s="24" t="str">
        <f aca="false" t="array" ref="K2992:K2992">IF(A2992&lt;&gt;"",IF(COUNTIF(A$996:A2993,"&lt;&gt;")=0,COUNTA(B$996:B2992),IFERROR(MATCH(TRUE(),INDEX((A$996:A2993&lt;&gt;""),0),0),COUNTA(B$996:B2992))),"")</f>
        <v/>
      </c>
      <c r="L2992" s="27"/>
    </row>
    <row r="2993" customFormat="false" ht="13.8" hidden="false" customHeight="false" outlineLevel="0" collapsed="false">
      <c r="A2993" s="16"/>
      <c r="B2993" s="16"/>
      <c r="C2993" s="26"/>
      <c r="D2993" s="26"/>
      <c r="E2993" s="16"/>
      <c r="F2993" s="18"/>
      <c r="G2993" s="19" t="str">
        <f aca="true">IF(F2993="", "", DATEDIF(F2993, TODAY(), "Y"))</f>
        <v/>
      </c>
      <c r="H2993" s="28"/>
      <c r="I2993" s="28"/>
      <c r="J2993" s="24" t="str">
        <f aca="true">IF(ISBLANK(H2993), "", I2993-TODAY())</f>
        <v/>
      </c>
      <c r="K2993" s="24" t="str">
        <f aca="false" t="array" ref="K2993:K2993">IF(A2993&lt;&gt;"",IF(COUNTIF(A$996:A2994,"&lt;&gt;")=0,COUNTA(B$996:B2993),IFERROR(MATCH(TRUE(),INDEX((A$996:A2994&lt;&gt;""),0),0),COUNTA(B$996:B2993))),"")</f>
        <v/>
      </c>
      <c r="L2993" s="27"/>
    </row>
    <row r="2994" customFormat="false" ht="13.8" hidden="false" customHeight="false" outlineLevel="0" collapsed="false">
      <c r="A2994" s="16"/>
      <c r="B2994" s="16"/>
      <c r="C2994" s="26"/>
      <c r="D2994" s="26"/>
      <c r="E2994" s="16"/>
      <c r="F2994" s="18"/>
      <c r="G2994" s="19" t="str">
        <f aca="true">IF(F2994="", "", DATEDIF(F2994, TODAY(), "Y"))</f>
        <v/>
      </c>
      <c r="H2994" s="28"/>
      <c r="I2994" s="28"/>
      <c r="J2994" s="24" t="str">
        <f aca="true">IF(ISBLANK(H2994), "", I2994-TODAY())</f>
        <v/>
      </c>
      <c r="K2994" s="24" t="str">
        <f aca="false" t="array" ref="K2994:K2994">IF(A2994&lt;&gt;"",IF(COUNTIF(A$996:A2995,"&lt;&gt;")=0,COUNTA(B$996:B2994),IFERROR(MATCH(TRUE(),INDEX((A$996:A2995&lt;&gt;""),0),0),COUNTA(B$996:B2994))),"")</f>
        <v/>
      </c>
      <c r="L2994" s="27"/>
    </row>
    <row r="2995" customFormat="false" ht="13.8" hidden="false" customHeight="false" outlineLevel="0" collapsed="false">
      <c r="A2995" s="16"/>
      <c r="B2995" s="16"/>
      <c r="C2995" s="26"/>
      <c r="D2995" s="26"/>
      <c r="E2995" s="16"/>
      <c r="F2995" s="18"/>
      <c r="G2995" s="19" t="str">
        <f aca="true">IF(F2995="", "", DATEDIF(F2995, TODAY(), "Y"))</f>
        <v/>
      </c>
      <c r="H2995" s="28"/>
      <c r="I2995" s="28"/>
      <c r="J2995" s="24" t="str">
        <f aca="true">IF(ISBLANK(H2995), "", I2995-TODAY())</f>
        <v/>
      </c>
      <c r="K2995" s="24" t="str">
        <f aca="false" t="array" ref="K2995:K2995">IF(A2995&lt;&gt;"",IF(COUNTIF(A$996:A2996,"&lt;&gt;")=0,COUNTA(B$996:B2995),IFERROR(MATCH(TRUE(),INDEX((A$996:A2996&lt;&gt;""),0),0),COUNTA(B$996:B2995))),"")</f>
        <v/>
      </c>
      <c r="L2995" s="27"/>
    </row>
    <row r="2996" customFormat="false" ht="13.8" hidden="false" customHeight="false" outlineLevel="0" collapsed="false">
      <c r="A2996" s="16"/>
      <c r="B2996" s="16"/>
      <c r="C2996" s="26"/>
      <c r="D2996" s="26"/>
      <c r="E2996" s="16"/>
      <c r="F2996" s="18"/>
      <c r="G2996" s="19" t="str">
        <f aca="true">IF(F2996="", "", DATEDIF(F2996, TODAY(), "Y"))</f>
        <v/>
      </c>
      <c r="H2996" s="28"/>
      <c r="I2996" s="28"/>
      <c r="J2996" s="24" t="str">
        <f aca="true">IF(ISBLANK(H2996), "", I2996-TODAY())</f>
        <v/>
      </c>
      <c r="K2996" s="24" t="str">
        <f aca="false" t="array" ref="K2996:K2996">IF(A2996&lt;&gt;"",IF(COUNTIF(A$996:A2997,"&lt;&gt;")=0,COUNTA(B$996:B2996),IFERROR(MATCH(TRUE(),INDEX((A$996:A2997&lt;&gt;""),0),0),COUNTA(B$996:B2996))),"")</f>
        <v/>
      </c>
      <c r="L2996" s="27"/>
    </row>
    <row r="2997" customFormat="false" ht="13.8" hidden="false" customHeight="false" outlineLevel="0" collapsed="false">
      <c r="A2997" s="16"/>
      <c r="B2997" s="16"/>
      <c r="C2997" s="26"/>
      <c r="D2997" s="26"/>
      <c r="E2997" s="16"/>
      <c r="F2997" s="18"/>
      <c r="G2997" s="19" t="str">
        <f aca="true">IF(F2997="", "", DATEDIF(F2997, TODAY(), "Y"))</f>
        <v/>
      </c>
      <c r="H2997" s="28"/>
      <c r="I2997" s="28"/>
      <c r="J2997" s="24" t="str">
        <f aca="true">IF(ISBLANK(H2997), "", I2997-TODAY())</f>
        <v/>
      </c>
      <c r="K2997" s="24" t="str">
        <f aca="false" t="array" ref="K2997:K2997">IF(A2997&lt;&gt;"",IF(COUNTIF(A$996:A2998,"&lt;&gt;")=0,COUNTA(B$996:B2997),IFERROR(MATCH(TRUE(),INDEX((A$996:A2998&lt;&gt;""),0),0),COUNTA(B$996:B2997))),"")</f>
        <v/>
      </c>
      <c r="L2997" s="27"/>
    </row>
    <row r="2998" customFormat="false" ht="13.8" hidden="false" customHeight="false" outlineLevel="0" collapsed="false">
      <c r="A2998" s="16"/>
      <c r="B2998" s="16"/>
      <c r="C2998" s="26"/>
      <c r="D2998" s="26"/>
      <c r="E2998" s="16"/>
      <c r="F2998" s="18"/>
      <c r="G2998" s="19" t="str">
        <f aca="true">IF(F2998="", "", DATEDIF(F2998, TODAY(), "Y"))</f>
        <v/>
      </c>
      <c r="H2998" s="28"/>
      <c r="I2998" s="28"/>
      <c r="J2998" s="24" t="str">
        <f aca="true">IF(ISBLANK(H2998), "", I2998-TODAY())</f>
        <v/>
      </c>
      <c r="K2998" s="24" t="str">
        <f aca="false" t="array" ref="K2998:K2998">IF(A2998&lt;&gt;"",IF(COUNTIF(A$996:A2999,"&lt;&gt;")=0,COUNTA(B$996:B2998),IFERROR(MATCH(TRUE(),INDEX((A$996:A2999&lt;&gt;""),0),0),COUNTA(B$996:B2998))),"")</f>
        <v/>
      </c>
      <c r="L2998" s="27"/>
    </row>
    <row r="2999" customFormat="false" ht="13.8" hidden="false" customHeight="false" outlineLevel="0" collapsed="false">
      <c r="A2999" s="16"/>
      <c r="B2999" s="16"/>
      <c r="C2999" s="26"/>
      <c r="D2999" s="26"/>
      <c r="E2999" s="16"/>
      <c r="F2999" s="18"/>
      <c r="G2999" s="19" t="str">
        <f aca="true">IF(F2999="", "", DATEDIF(F2999, TODAY(), "Y"))</f>
        <v/>
      </c>
      <c r="H2999" s="28"/>
      <c r="I2999" s="28"/>
      <c r="J2999" s="24" t="str">
        <f aca="true">IF(ISBLANK(H2999), "", I2999-TODAY())</f>
        <v/>
      </c>
      <c r="K2999" s="24" t="str">
        <f aca="false" t="array" ref="K2999:K2999">IF(A2999&lt;&gt;"",IF(COUNTIF(A$996:A2999,"&lt;&gt;")=0,COUNTA(B$996:B2999),IFERROR(MATCH(TRUE(),INDEX((A$996:A2999&lt;&gt;""),0),0),COUNTA(B$996:B2999))),"")</f>
        <v/>
      </c>
      <c r="L2999" s="27"/>
    </row>
    <row r="3000" customFormat="false" ht="12.75" hidden="false" customHeight="false" outlineLevel="0" collapsed="false">
      <c r="A3000" s="29"/>
      <c r="B3000" s="29"/>
    </row>
    <row r="3001" customFormat="false" ht="12.75" hidden="false" customHeight="false" outlineLevel="0" collapsed="false">
      <c r="A3001" s="29"/>
      <c r="B3001" s="29"/>
    </row>
    <row r="3002" customFormat="false" ht="12.75" hidden="false" customHeight="false" outlineLevel="0" collapsed="false">
      <c r="A3002" s="29"/>
      <c r="B3002" s="29"/>
    </row>
    <row r="3003" customFormat="false" ht="12.75" hidden="false" customHeight="false" outlineLevel="0" collapsed="false">
      <c r="A3003" s="29"/>
      <c r="B3003" s="29"/>
    </row>
    <row r="3004" customFormat="false" ht="12.75" hidden="false" customHeight="false" outlineLevel="0" collapsed="false">
      <c r="A3004" s="29"/>
      <c r="B3004" s="29"/>
    </row>
    <row r="3005" customFormat="false" ht="12.75" hidden="false" customHeight="false" outlineLevel="0" collapsed="false">
      <c r="A3005" s="29"/>
      <c r="B3005" s="29"/>
    </row>
    <row r="3006" customFormat="false" ht="12.75" hidden="false" customHeight="false" outlineLevel="0" collapsed="false">
      <c r="A3006" s="29"/>
      <c r="B3006" s="29"/>
    </row>
    <row r="3007" customFormat="false" ht="12.75" hidden="false" customHeight="false" outlineLevel="0" collapsed="false">
      <c r="A3007" s="29"/>
      <c r="B3007" s="29"/>
    </row>
    <row r="3008" customFormat="false" ht="12.75" hidden="false" customHeight="false" outlineLevel="0" collapsed="false">
      <c r="A3008" s="29"/>
      <c r="B3008" s="29"/>
    </row>
    <row r="3009" customFormat="false" ht="12.75" hidden="false" customHeight="false" outlineLevel="0" collapsed="false">
      <c r="A3009" s="29"/>
      <c r="B3009" s="29"/>
    </row>
    <row r="3010" customFormat="false" ht="12.75" hidden="false" customHeight="false" outlineLevel="0" collapsed="false">
      <c r="A3010" s="29"/>
      <c r="B3010" s="29"/>
    </row>
    <row r="3011" customFormat="false" ht="12.75" hidden="false" customHeight="false" outlineLevel="0" collapsed="false">
      <c r="A3011" s="29"/>
      <c r="B3011" s="29"/>
    </row>
    <row r="3012" customFormat="false" ht="12.75" hidden="false" customHeight="false" outlineLevel="0" collapsed="false">
      <c r="A3012" s="29"/>
      <c r="B3012" s="29"/>
    </row>
    <row r="3013" customFormat="false" ht="12.75" hidden="false" customHeight="false" outlineLevel="0" collapsed="false">
      <c r="A3013" s="29"/>
      <c r="B3013" s="29"/>
    </row>
    <row r="3014" customFormat="false" ht="12.75" hidden="false" customHeight="false" outlineLevel="0" collapsed="false">
      <c r="A3014" s="29"/>
      <c r="B3014" s="29"/>
    </row>
    <row r="3015" customFormat="false" ht="12.75" hidden="false" customHeight="false" outlineLevel="0" collapsed="false">
      <c r="A3015" s="29"/>
      <c r="B3015" s="29"/>
    </row>
    <row r="3016" customFormat="false" ht="12.75" hidden="false" customHeight="false" outlineLevel="0" collapsed="false">
      <c r="A3016" s="29"/>
      <c r="B3016" s="29"/>
    </row>
    <row r="3017" customFormat="false" ht="12.75" hidden="false" customHeight="false" outlineLevel="0" collapsed="false">
      <c r="A3017" s="29"/>
      <c r="B3017" s="29"/>
    </row>
    <row r="3018" customFormat="false" ht="12.75" hidden="false" customHeight="false" outlineLevel="0" collapsed="false">
      <c r="A3018" s="29"/>
      <c r="B3018" s="29"/>
    </row>
    <row r="3019" customFormat="false" ht="12.75" hidden="false" customHeight="false" outlineLevel="0" collapsed="false">
      <c r="A3019" s="29"/>
      <c r="B3019" s="29"/>
    </row>
    <row r="3020" customFormat="false" ht="12.75" hidden="false" customHeight="false" outlineLevel="0" collapsed="false">
      <c r="A3020" s="29"/>
      <c r="B3020" s="29"/>
    </row>
    <row r="3021" customFormat="false" ht="12.75" hidden="false" customHeight="false" outlineLevel="0" collapsed="false">
      <c r="A3021" s="29"/>
      <c r="B3021" s="29"/>
    </row>
    <row r="3022" customFormat="false" ht="12.75" hidden="false" customHeight="false" outlineLevel="0" collapsed="false">
      <c r="A3022" s="29"/>
      <c r="B3022" s="29"/>
    </row>
    <row r="3023" customFormat="false" ht="12.75" hidden="false" customHeight="false" outlineLevel="0" collapsed="false">
      <c r="A3023" s="29"/>
      <c r="B3023" s="29"/>
    </row>
    <row r="3024" customFormat="false" ht="12.75" hidden="false" customHeight="false" outlineLevel="0" collapsed="false">
      <c r="A3024" s="29"/>
      <c r="B3024" s="29"/>
    </row>
    <row r="3025" customFormat="false" ht="12.75" hidden="false" customHeight="false" outlineLevel="0" collapsed="false">
      <c r="A3025" s="29"/>
      <c r="B3025" s="29"/>
    </row>
    <row r="3026" customFormat="false" ht="12.75" hidden="false" customHeight="false" outlineLevel="0" collapsed="false">
      <c r="A3026" s="29"/>
      <c r="B3026" s="29"/>
    </row>
    <row r="3027" customFormat="false" ht="12.75" hidden="false" customHeight="false" outlineLevel="0" collapsed="false">
      <c r="A3027" s="29"/>
      <c r="B3027" s="29"/>
    </row>
    <row r="3028" customFormat="false" ht="12.75" hidden="false" customHeight="false" outlineLevel="0" collapsed="false">
      <c r="A3028" s="29"/>
      <c r="B3028" s="29"/>
    </row>
    <row r="3029" customFormat="false" ht="12.75" hidden="false" customHeight="false" outlineLevel="0" collapsed="false">
      <c r="A3029" s="29"/>
      <c r="B3029" s="29"/>
    </row>
    <row r="3030" customFormat="false" ht="12.75" hidden="false" customHeight="false" outlineLevel="0" collapsed="false">
      <c r="A3030" s="29"/>
      <c r="B3030" s="29"/>
    </row>
    <row r="3031" customFormat="false" ht="12.75" hidden="false" customHeight="false" outlineLevel="0" collapsed="false">
      <c r="A3031" s="29"/>
      <c r="B3031" s="29"/>
    </row>
    <row r="3032" customFormat="false" ht="12.75" hidden="false" customHeight="false" outlineLevel="0" collapsed="false">
      <c r="A3032" s="29"/>
      <c r="B3032" s="29"/>
    </row>
    <row r="3033" customFormat="false" ht="12.75" hidden="false" customHeight="false" outlineLevel="0" collapsed="false">
      <c r="A3033" s="29"/>
      <c r="B3033" s="29"/>
    </row>
    <row r="3034" customFormat="false" ht="12.75" hidden="false" customHeight="false" outlineLevel="0" collapsed="false">
      <c r="A3034" s="29"/>
      <c r="B3034" s="29"/>
    </row>
    <row r="3035" customFormat="false" ht="12.75" hidden="false" customHeight="false" outlineLevel="0" collapsed="false">
      <c r="A3035" s="29"/>
      <c r="B3035" s="29"/>
    </row>
    <row r="3036" customFormat="false" ht="12.75" hidden="false" customHeight="false" outlineLevel="0" collapsed="false">
      <c r="A3036" s="29"/>
      <c r="B3036" s="29"/>
    </row>
    <row r="3037" customFormat="false" ht="12.75" hidden="false" customHeight="false" outlineLevel="0" collapsed="false">
      <c r="A3037" s="29"/>
      <c r="B3037" s="29"/>
    </row>
    <row r="3038" customFormat="false" ht="12.75" hidden="false" customHeight="false" outlineLevel="0" collapsed="false">
      <c r="A3038" s="29"/>
      <c r="B3038" s="29"/>
    </row>
    <row r="3039" customFormat="false" ht="12.75" hidden="false" customHeight="false" outlineLevel="0" collapsed="false">
      <c r="A3039" s="29"/>
      <c r="B3039" s="29"/>
    </row>
    <row r="3040" customFormat="false" ht="12.75" hidden="false" customHeight="false" outlineLevel="0" collapsed="false">
      <c r="A3040" s="29"/>
      <c r="B3040" s="29"/>
    </row>
    <row r="3041" customFormat="false" ht="12.75" hidden="false" customHeight="false" outlineLevel="0" collapsed="false">
      <c r="A3041" s="29"/>
      <c r="B3041" s="29"/>
    </row>
    <row r="3042" customFormat="false" ht="12.75" hidden="false" customHeight="false" outlineLevel="0" collapsed="false">
      <c r="A3042" s="29"/>
      <c r="B3042" s="29"/>
    </row>
    <row r="3043" customFormat="false" ht="12.75" hidden="false" customHeight="false" outlineLevel="0" collapsed="false">
      <c r="A3043" s="29"/>
      <c r="B3043" s="29"/>
    </row>
    <row r="3044" customFormat="false" ht="12.75" hidden="false" customHeight="false" outlineLevel="0" collapsed="false">
      <c r="A3044" s="29"/>
      <c r="B3044" s="29"/>
    </row>
    <row r="3045" customFormat="false" ht="12.75" hidden="false" customHeight="false" outlineLevel="0" collapsed="false">
      <c r="A3045" s="29"/>
      <c r="B3045" s="29"/>
    </row>
    <row r="3046" customFormat="false" ht="12.75" hidden="false" customHeight="false" outlineLevel="0" collapsed="false">
      <c r="A3046" s="29"/>
      <c r="B3046" s="29"/>
    </row>
    <row r="3047" customFormat="false" ht="12.75" hidden="false" customHeight="false" outlineLevel="0" collapsed="false">
      <c r="A3047" s="29"/>
      <c r="B3047" s="29"/>
    </row>
    <row r="3048" customFormat="false" ht="12.75" hidden="false" customHeight="false" outlineLevel="0" collapsed="false">
      <c r="A3048" s="29"/>
      <c r="B3048" s="29"/>
    </row>
    <row r="3049" customFormat="false" ht="12.75" hidden="false" customHeight="false" outlineLevel="0" collapsed="false">
      <c r="A3049" s="29"/>
      <c r="B3049" s="29"/>
    </row>
    <row r="3050" customFormat="false" ht="12.75" hidden="false" customHeight="false" outlineLevel="0" collapsed="false">
      <c r="A3050" s="29"/>
      <c r="B3050" s="29"/>
    </row>
    <row r="3051" customFormat="false" ht="12.75" hidden="false" customHeight="false" outlineLevel="0" collapsed="false">
      <c r="A3051" s="29"/>
      <c r="B3051" s="29"/>
    </row>
    <row r="3052" customFormat="false" ht="12.75" hidden="false" customHeight="false" outlineLevel="0" collapsed="false">
      <c r="A3052" s="29"/>
      <c r="B3052" s="29"/>
    </row>
    <row r="3053" customFormat="false" ht="12.75" hidden="false" customHeight="false" outlineLevel="0" collapsed="false">
      <c r="A3053" s="29"/>
      <c r="B3053" s="29"/>
    </row>
    <row r="3054" customFormat="false" ht="12.75" hidden="false" customHeight="false" outlineLevel="0" collapsed="false">
      <c r="A3054" s="29"/>
      <c r="B3054" s="29"/>
    </row>
    <row r="3055" customFormat="false" ht="12.75" hidden="false" customHeight="false" outlineLevel="0" collapsed="false">
      <c r="A3055" s="29"/>
      <c r="B3055" s="29"/>
    </row>
    <row r="3056" customFormat="false" ht="12.75" hidden="false" customHeight="false" outlineLevel="0" collapsed="false">
      <c r="A3056" s="29"/>
      <c r="B3056" s="29"/>
    </row>
    <row r="3057" customFormat="false" ht="12.75" hidden="false" customHeight="false" outlineLevel="0" collapsed="false">
      <c r="A3057" s="29"/>
      <c r="B3057" s="29"/>
    </row>
    <row r="3058" customFormat="false" ht="12.75" hidden="false" customHeight="false" outlineLevel="0" collapsed="false">
      <c r="A3058" s="29"/>
      <c r="B3058" s="29"/>
    </row>
    <row r="3059" customFormat="false" ht="12.75" hidden="false" customHeight="false" outlineLevel="0" collapsed="false">
      <c r="A3059" s="29"/>
      <c r="B3059" s="29"/>
    </row>
    <row r="3060" customFormat="false" ht="12.75" hidden="false" customHeight="false" outlineLevel="0" collapsed="false">
      <c r="A3060" s="29"/>
      <c r="B3060" s="29"/>
    </row>
    <row r="3061" customFormat="false" ht="12.75" hidden="false" customHeight="false" outlineLevel="0" collapsed="false">
      <c r="A3061" s="29"/>
      <c r="B3061" s="29"/>
    </row>
    <row r="3062" customFormat="false" ht="12.75" hidden="false" customHeight="false" outlineLevel="0" collapsed="false">
      <c r="A3062" s="29"/>
      <c r="B3062" s="29"/>
    </row>
    <row r="3063" customFormat="false" ht="12.75" hidden="false" customHeight="false" outlineLevel="0" collapsed="false">
      <c r="A3063" s="29"/>
      <c r="B3063" s="29"/>
    </row>
    <row r="3064" customFormat="false" ht="12.75" hidden="false" customHeight="false" outlineLevel="0" collapsed="false">
      <c r="A3064" s="29"/>
      <c r="B3064" s="29"/>
    </row>
    <row r="3065" customFormat="false" ht="12.75" hidden="false" customHeight="false" outlineLevel="0" collapsed="false">
      <c r="A3065" s="29"/>
      <c r="B3065" s="29"/>
    </row>
    <row r="3066" customFormat="false" ht="12.75" hidden="false" customHeight="false" outlineLevel="0" collapsed="false">
      <c r="A3066" s="29"/>
      <c r="B3066" s="29"/>
    </row>
    <row r="3067" customFormat="false" ht="12.75" hidden="false" customHeight="false" outlineLevel="0" collapsed="false">
      <c r="A3067" s="29"/>
      <c r="B3067" s="29"/>
    </row>
    <row r="3068" customFormat="false" ht="12.75" hidden="false" customHeight="false" outlineLevel="0" collapsed="false">
      <c r="A3068" s="29"/>
      <c r="B3068" s="29"/>
    </row>
    <row r="3069" customFormat="false" ht="12.75" hidden="false" customHeight="false" outlineLevel="0" collapsed="false">
      <c r="A3069" s="29"/>
      <c r="B3069" s="29"/>
    </row>
    <row r="3070" customFormat="false" ht="12.75" hidden="false" customHeight="false" outlineLevel="0" collapsed="false">
      <c r="A3070" s="29"/>
      <c r="B3070" s="29"/>
    </row>
    <row r="3071" customFormat="false" ht="12.75" hidden="false" customHeight="false" outlineLevel="0" collapsed="false">
      <c r="A3071" s="29"/>
      <c r="B3071" s="29"/>
    </row>
    <row r="3072" customFormat="false" ht="12.75" hidden="false" customHeight="false" outlineLevel="0" collapsed="false">
      <c r="A3072" s="29"/>
      <c r="B3072" s="29"/>
    </row>
    <row r="3073" customFormat="false" ht="12.75" hidden="false" customHeight="false" outlineLevel="0" collapsed="false">
      <c r="A3073" s="29"/>
      <c r="B3073" s="29"/>
    </row>
    <row r="3074" customFormat="false" ht="12.75" hidden="false" customHeight="false" outlineLevel="0" collapsed="false">
      <c r="A3074" s="29"/>
      <c r="B3074" s="29"/>
    </row>
    <row r="3075" customFormat="false" ht="12.75" hidden="false" customHeight="false" outlineLevel="0" collapsed="false">
      <c r="A3075" s="29"/>
      <c r="B3075" s="29"/>
    </row>
    <row r="3076" customFormat="false" ht="12.75" hidden="false" customHeight="false" outlineLevel="0" collapsed="false">
      <c r="A3076" s="29"/>
      <c r="B3076" s="29"/>
    </row>
    <row r="3077" customFormat="false" ht="12.75" hidden="false" customHeight="false" outlineLevel="0" collapsed="false">
      <c r="A3077" s="29"/>
      <c r="B3077" s="29"/>
    </row>
    <row r="3078" customFormat="false" ht="12.75" hidden="false" customHeight="false" outlineLevel="0" collapsed="false">
      <c r="A3078" s="29"/>
      <c r="B3078" s="29"/>
    </row>
    <row r="3079" customFormat="false" ht="12.75" hidden="false" customHeight="false" outlineLevel="0" collapsed="false">
      <c r="A3079" s="29"/>
      <c r="B3079" s="29"/>
    </row>
    <row r="3080" customFormat="false" ht="12.75" hidden="false" customHeight="false" outlineLevel="0" collapsed="false">
      <c r="A3080" s="29"/>
      <c r="B3080" s="29"/>
    </row>
    <row r="3081" customFormat="false" ht="12.75" hidden="false" customHeight="false" outlineLevel="0" collapsed="false">
      <c r="A3081" s="29"/>
      <c r="B3081" s="29"/>
    </row>
    <row r="3082" customFormat="false" ht="12.75" hidden="false" customHeight="false" outlineLevel="0" collapsed="false">
      <c r="A3082" s="29"/>
      <c r="B3082" s="29"/>
    </row>
    <row r="3083" customFormat="false" ht="12.75" hidden="false" customHeight="false" outlineLevel="0" collapsed="false">
      <c r="A3083" s="29"/>
      <c r="B3083" s="29"/>
    </row>
    <row r="3084" customFormat="false" ht="12.75" hidden="false" customHeight="false" outlineLevel="0" collapsed="false">
      <c r="A3084" s="29"/>
      <c r="B3084" s="29"/>
    </row>
    <row r="3085" customFormat="false" ht="12.75" hidden="false" customHeight="false" outlineLevel="0" collapsed="false">
      <c r="A3085" s="29"/>
      <c r="B3085" s="29"/>
    </row>
    <row r="3086" customFormat="false" ht="12.75" hidden="false" customHeight="false" outlineLevel="0" collapsed="false">
      <c r="A3086" s="29"/>
      <c r="B3086" s="29"/>
    </row>
    <row r="3087" customFormat="false" ht="12.75" hidden="false" customHeight="false" outlineLevel="0" collapsed="false">
      <c r="A3087" s="29"/>
      <c r="B3087" s="29"/>
    </row>
    <row r="3088" customFormat="false" ht="12.75" hidden="false" customHeight="false" outlineLevel="0" collapsed="false">
      <c r="A3088" s="29"/>
      <c r="B3088" s="29"/>
    </row>
    <row r="3089" customFormat="false" ht="12.75" hidden="false" customHeight="false" outlineLevel="0" collapsed="false">
      <c r="A3089" s="29"/>
      <c r="B3089" s="29"/>
    </row>
    <row r="3090" customFormat="false" ht="12.75" hidden="false" customHeight="false" outlineLevel="0" collapsed="false">
      <c r="A3090" s="29"/>
      <c r="B3090" s="29"/>
    </row>
    <row r="3091" customFormat="false" ht="12.75" hidden="false" customHeight="false" outlineLevel="0" collapsed="false">
      <c r="A3091" s="29"/>
      <c r="B3091" s="29"/>
    </row>
    <row r="3092" customFormat="false" ht="12.75" hidden="false" customHeight="false" outlineLevel="0" collapsed="false">
      <c r="A3092" s="29"/>
      <c r="B3092" s="29"/>
    </row>
    <row r="3093" customFormat="false" ht="12.75" hidden="false" customHeight="false" outlineLevel="0" collapsed="false">
      <c r="A3093" s="29"/>
      <c r="B3093" s="29"/>
    </row>
    <row r="3094" customFormat="false" ht="12.75" hidden="false" customHeight="false" outlineLevel="0" collapsed="false">
      <c r="A3094" s="29"/>
      <c r="B3094" s="29"/>
    </row>
    <row r="3095" customFormat="false" ht="12.75" hidden="false" customHeight="false" outlineLevel="0" collapsed="false">
      <c r="A3095" s="29"/>
      <c r="B3095" s="29"/>
    </row>
    <row r="3096" customFormat="false" ht="12.75" hidden="false" customHeight="false" outlineLevel="0" collapsed="false">
      <c r="A3096" s="29"/>
      <c r="B3096" s="29"/>
    </row>
    <row r="3097" customFormat="false" ht="12.75" hidden="false" customHeight="false" outlineLevel="0" collapsed="false">
      <c r="A3097" s="29"/>
      <c r="B3097" s="29"/>
    </row>
    <row r="3098" customFormat="false" ht="12.75" hidden="false" customHeight="false" outlineLevel="0" collapsed="false">
      <c r="A3098" s="29"/>
      <c r="B3098" s="29"/>
    </row>
    <row r="3099" customFormat="false" ht="12.75" hidden="false" customHeight="false" outlineLevel="0" collapsed="false">
      <c r="A3099" s="29"/>
      <c r="B3099" s="29"/>
    </row>
    <row r="3100" customFormat="false" ht="12.75" hidden="false" customHeight="false" outlineLevel="0" collapsed="false">
      <c r="A3100" s="29"/>
      <c r="B3100" s="29"/>
    </row>
    <row r="3101" customFormat="false" ht="12.75" hidden="false" customHeight="false" outlineLevel="0" collapsed="false">
      <c r="A3101" s="29"/>
      <c r="B3101" s="29"/>
    </row>
    <row r="3102" customFormat="false" ht="12.75" hidden="false" customHeight="false" outlineLevel="0" collapsed="false">
      <c r="A3102" s="29"/>
      <c r="B3102" s="29"/>
    </row>
    <row r="3103" customFormat="false" ht="12.75" hidden="false" customHeight="false" outlineLevel="0" collapsed="false">
      <c r="A3103" s="29"/>
      <c r="B3103" s="29"/>
    </row>
    <row r="3104" customFormat="false" ht="12.75" hidden="false" customHeight="false" outlineLevel="0" collapsed="false">
      <c r="A3104" s="29"/>
      <c r="B3104" s="29"/>
    </row>
    <row r="3105" customFormat="false" ht="12.75" hidden="false" customHeight="false" outlineLevel="0" collapsed="false">
      <c r="A3105" s="29"/>
      <c r="B3105" s="29"/>
    </row>
    <row r="3106" customFormat="false" ht="12.75" hidden="false" customHeight="false" outlineLevel="0" collapsed="false">
      <c r="A3106" s="29"/>
      <c r="B3106" s="29"/>
    </row>
    <row r="3107" customFormat="false" ht="12.75" hidden="false" customHeight="false" outlineLevel="0" collapsed="false">
      <c r="A3107" s="29"/>
      <c r="B3107" s="29"/>
    </row>
    <row r="3108" customFormat="false" ht="12.75" hidden="false" customHeight="false" outlineLevel="0" collapsed="false">
      <c r="A3108" s="29"/>
      <c r="B3108" s="29"/>
    </row>
    <row r="3109" customFormat="false" ht="12.75" hidden="false" customHeight="false" outlineLevel="0" collapsed="false">
      <c r="A3109" s="29"/>
      <c r="B3109" s="29"/>
    </row>
    <row r="3110" customFormat="false" ht="12.75" hidden="false" customHeight="false" outlineLevel="0" collapsed="false">
      <c r="A3110" s="29"/>
      <c r="B3110" s="29"/>
    </row>
    <row r="3111" customFormat="false" ht="12.75" hidden="false" customHeight="false" outlineLevel="0" collapsed="false">
      <c r="A3111" s="29"/>
      <c r="B3111" s="29"/>
    </row>
    <row r="3112" customFormat="false" ht="12.75" hidden="false" customHeight="false" outlineLevel="0" collapsed="false">
      <c r="A3112" s="29"/>
      <c r="B3112" s="29"/>
    </row>
    <row r="3113" customFormat="false" ht="12.75" hidden="false" customHeight="false" outlineLevel="0" collapsed="false">
      <c r="A3113" s="29"/>
      <c r="B3113" s="29"/>
    </row>
    <row r="3114" customFormat="false" ht="12.75" hidden="false" customHeight="false" outlineLevel="0" collapsed="false">
      <c r="A3114" s="29"/>
      <c r="B3114" s="29"/>
    </row>
    <row r="3115" customFormat="false" ht="12.75" hidden="false" customHeight="false" outlineLevel="0" collapsed="false">
      <c r="A3115" s="29"/>
      <c r="B3115" s="29"/>
    </row>
    <row r="3116" customFormat="false" ht="12.75" hidden="false" customHeight="false" outlineLevel="0" collapsed="false">
      <c r="A3116" s="29"/>
      <c r="B3116" s="29"/>
    </row>
    <row r="3117" customFormat="false" ht="12.75" hidden="false" customHeight="false" outlineLevel="0" collapsed="false">
      <c r="A3117" s="29"/>
      <c r="B3117" s="29"/>
    </row>
    <row r="3118" customFormat="false" ht="12.75" hidden="false" customHeight="false" outlineLevel="0" collapsed="false">
      <c r="A3118" s="29"/>
      <c r="B3118" s="29"/>
    </row>
    <row r="3119" customFormat="false" ht="12.75" hidden="false" customHeight="false" outlineLevel="0" collapsed="false">
      <c r="A3119" s="29"/>
      <c r="B3119" s="29"/>
    </row>
    <row r="3120" customFormat="false" ht="12.75" hidden="false" customHeight="false" outlineLevel="0" collapsed="false">
      <c r="A3120" s="29"/>
      <c r="B3120" s="29"/>
    </row>
    <row r="3121" customFormat="false" ht="12.75" hidden="false" customHeight="false" outlineLevel="0" collapsed="false">
      <c r="A3121" s="29"/>
      <c r="B3121" s="29"/>
    </row>
    <row r="3122" customFormat="false" ht="12.75" hidden="false" customHeight="false" outlineLevel="0" collapsed="false">
      <c r="A3122" s="29"/>
      <c r="B3122" s="29"/>
    </row>
    <row r="3123" customFormat="false" ht="12.75" hidden="false" customHeight="false" outlineLevel="0" collapsed="false">
      <c r="A3123" s="29"/>
      <c r="B3123" s="29"/>
    </row>
    <row r="3124" customFormat="false" ht="12.75" hidden="false" customHeight="false" outlineLevel="0" collapsed="false">
      <c r="A3124" s="29"/>
      <c r="B3124" s="29"/>
    </row>
    <row r="3125" customFormat="false" ht="12.75" hidden="false" customHeight="false" outlineLevel="0" collapsed="false">
      <c r="A3125" s="29"/>
      <c r="B3125" s="29"/>
    </row>
    <row r="3126" customFormat="false" ht="12.75" hidden="false" customHeight="false" outlineLevel="0" collapsed="false">
      <c r="A3126" s="29"/>
      <c r="B3126" s="29"/>
    </row>
    <row r="3127" customFormat="false" ht="12.75" hidden="false" customHeight="false" outlineLevel="0" collapsed="false">
      <c r="A3127" s="29"/>
      <c r="B3127" s="29"/>
    </row>
    <row r="3128" customFormat="false" ht="12.75" hidden="false" customHeight="false" outlineLevel="0" collapsed="false">
      <c r="A3128" s="29"/>
      <c r="B3128" s="29"/>
    </row>
    <row r="3129" customFormat="false" ht="12.75" hidden="false" customHeight="false" outlineLevel="0" collapsed="false">
      <c r="A3129" s="29"/>
      <c r="B3129" s="29"/>
    </row>
    <row r="3130" customFormat="false" ht="12.75" hidden="false" customHeight="false" outlineLevel="0" collapsed="false">
      <c r="A3130" s="29"/>
      <c r="B3130" s="29"/>
    </row>
    <row r="3131" customFormat="false" ht="12.75" hidden="false" customHeight="false" outlineLevel="0" collapsed="false">
      <c r="A3131" s="29"/>
      <c r="B3131" s="29"/>
    </row>
    <row r="3132" customFormat="false" ht="12.75" hidden="false" customHeight="false" outlineLevel="0" collapsed="false">
      <c r="A3132" s="29"/>
      <c r="B3132" s="29"/>
    </row>
    <row r="3133" customFormat="false" ht="12.75" hidden="false" customHeight="false" outlineLevel="0" collapsed="false">
      <c r="A3133" s="29"/>
      <c r="B3133" s="29"/>
    </row>
    <row r="3134" customFormat="false" ht="12.75" hidden="false" customHeight="false" outlineLevel="0" collapsed="false">
      <c r="A3134" s="29"/>
      <c r="B3134" s="29"/>
    </row>
    <row r="3135" customFormat="false" ht="12.75" hidden="false" customHeight="false" outlineLevel="0" collapsed="false">
      <c r="A3135" s="29"/>
      <c r="B3135" s="29"/>
    </row>
    <row r="3136" customFormat="false" ht="12.75" hidden="false" customHeight="false" outlineLevel="0" collapsed="false">
      <c r="A3136" s="29"/>
      <c r="B3136" s="29"/>
    </row>
    <row r="3137" customFormat="false" ht="12.75" hidden="false" customHeight="false" outlineLevel="0" collapsed="false">
      <c r="A3137" s="29"/>
      <c r="B3137" s="29"/>
    </row>
    <row r="3138" customFormat="false" ht="12.75" hidden="false" customHeight="false" outlineLevel="0" collapsed="false">
      <c r="A3138" s="29"/>
      <c r="B3138" s="29"/>
    </row>
    <row r="3139" customFormat="false" ht="12.75" hidden="false" customHeight="false" outlineLevel="0" collapsed="false">
      <c r="A3139" s="29"/>
      <c r="B3139" s="29"/>
    </row>
    <row r="3140" customFormat="false" ht="12.75" hidden="false" customHeight="false" outlineLevel="0" collapsed="false">
      <c r="A3140" s="29"/>
      <c r="B3140" s="29"/>
    </row>
    <row r="3141" customFormat="false" ht="12.75" hidden="false" customHeight="false" outlineLevel="0" collapsed="false">
      <c r="A3141" s="29"/>
      <c r="B3141" s="29"/>
    </row>
    <row r="3142" customFormat="false" ht="12.75" hidden="false" customHeight="false" outlineLevel="0" collapsed="false">
      <c r="A3142" s="29"/>
      <c r="B3142" s="29"/>
    </row>
    <row r="3143" customFormat="false" ht="12.75" hidden="false" customHeight="false" outlineLevel="0" collapsed="false">
      <c r="A3143" s="29"/>
      <c r="B3143" s="29"/>
    </row>
    <row r="3144" customFormat="false" ht="12.75" hidden="false" customHeight="false" outlineLevel="0" collapsed="false">
      <c r="A3144" s="29"/>
      <c r="B3144" s="29"/>
    </row>
    <row r="3145" customFormat="false" ht="12.75" hidden="false" customHeight="false" outlineLevel="0" collapsed="false">
      <c r="A3145" s="29"/>
      <c r="B3145" s="29"/>
    </row>
    <row r="3146" customFormat="false" ht="12.75" hidden="false" customHeight="false" outlineLevel="0" collapsed="false">
      <c r="A3146" s="29"/>
      <c r="B3146" s="29"/>
    </row>
    <row r="3147" customFormat="false" ht="12.75" hidden="false" customHeight="false" outlineLevel="0" collapsed="false">
      <c r="A3147" s="29"/>
      <c r="B3147" s="29"/>
    </row>
    <row r="3148" customFormat="false" ht="12.75" hidden="false" customHeight="false" outlineLevel="0" collapsed="false">
      <c r="A3148" s="29"/>
      <c r="B3148" s="29"/>
    </row>
    <row r="3149" customFormat="false" ht="12.75" hidden="false" customHeight="false" outlineLevel="0" collapsed="false">
      <c r="A3149" s="29"/>
      <c r="B3149" s="29"/>
    </row>
    <row r="3150" customFormat="false" ht="12.75" hidden="false" customHeight="false" outlineLevel="0" collapsed="false">
      <c r="A3150" s="29"/>
      <c r="B3150" s="29"/>
    </row>
    <row r="3151" customFormat="false" ht="12.75" hidden="false" customHeight="false" outlineLevel="0" collapsed="false">
      <c r="A3151" s="29"/>
      <c r="B3151" s="29"/>
    </row>
    <row r="3152" customFormat="false" ht="12.75" hidden="false" customHeight="false" outlineLevel="0" collapsed="false">
      <c r="A3152" s="29"/>
      <c r="B3152" s="29"/>
    </row>
    <row r="3153" customFormat="false" ht="12.75" hidden="false" customHeight="false" outlineLevel="0" collapsed="false">
      <c r="A3153" s="29"/>
      <c r="B3153" s="29"/>
    </row>
    <row r="3154" customFormat="false" ht="12.75" hidden="false" customHeight="false" outlineLevel="0" collapsed="false">
      <c r="A3154" s="29"/>
      <c r="B3154" s="29"/>
    </row>
    <row r="3155" customFormat="false" ht="12.75" hidden="false" customHeight="false" outlineLevel="0" collapsed="false">
      <c r="A3155" s="29"/>
      <c r="B3155" s="29"/>
    </row>
    <row r="3156" customFormat="false" ht="12.75" hidden="false" customHeight="false" outlineLevel="0" collapsed="false">
      <c r="A3156" s="29"/>
      <c r="B3156" s="29"/>
    </row>
    <row r="3157" customFormat="false" ht="12.75" hidden="false" customHeight="false" outlineLevel="0" collapsed="false">
      <c r="A3157" s="29"/>
      <c r="B3157" s="29"/>
    </row>
    <row r="3158" customFormat="false" ht="12.75" hidden="false" customHeight="false" outlineLevel="0" collapsed="false">
      <c r="A3158" s="29"/>
      <c r="B3158" s="29"/>
    </row>
    <row r="3159" customFormat="false" ht="12.75" hidden="false" customHeight="false" outlineLevel="0" collapsed="false">
      <c r="A3159" s="29"/>
      <c r="B3159" s="29"/>
    </row>
    <row r="3160" customFormat="false" ht="12.75" hidden="false" customHeight="false" outlineLevel="0" collapsed="false">
      <c r="A3160" s="29"/>
      <c r="B3160" s="29"/>
    </row>
    <row r="3161" customFormat="false" ht="12.75" hidden="false" customHeight="false" outlineLevel="0" collapsed="false">
      <c r="A3161" s="29"/>
      <c r="B3161" s="29"/>
    </row>
    <row r="3162" customFormat="false" ht="12.75" hidden="false" customHeight="false" outlineLevel="0" collapsed="false">
      <c r="A3162" s="29"/>
      <c r="B3162" s="29"/>
    </row>
    <row r="3163" customFormat="false" ht="12.75" hidden="false" customHeight="false" outlineLevel="0" collapsed="false">
      <c r="A3163" s="29"/>
      <c r="B3163" s="29"/>
    </row>
    <row r="3164" customFormat="false" ht="12.75" hidden="false" customHeight="false" outlineLevel="0" collapsed="false">
      <c r="A3164" s="29"/>
      <c r="B3164" s="29"/>
    </row>
    <row r="3165" customFormat="false" ht="12.75" hidden="false" customHeight="false" outlineLevel="0" collapsed="false">
      <c r="A3165" s="29"/>
      <c r="B3165" s="29"/>
    </row>
    <row r="3166" customFormat="false" ht="12.75" hidden="false" customHeight="false" outlineLevel="0" collapsed="false">
      <c r="A3166" s="29"/>
      <c r="B3166" s="29"/>
    </row>
    <row r="3167" customFormat="false" ht="12.75" hidden="false" customHeight="false" outlineLevel="0" collapsed="false">
      <c r="A3167" s="29"/>
      <c r="B3167" s="29"/>
    </row>
    <row r="3168" customFormat="false" ht="12.75" hidden="false" customHeight="false" outlineLevel="0" collapsed="false">
      <c r="A3168" s="29"/>
      <c r="B3168" s="29"/>
    </row>
    <row r="3169" customFormat="false" ht="12.75" hidden="false" customHeight="false" outlineLevel="0" collapsed="false">
      <c r="A3169" s="29"/>
      <c r="B3169" s="29"/>
    </row>
    <row r="3170" customFormat="false" ht="12.75" hidden="false" customHeight="false" outlineLevel="0" collapsed="false">
      <c r="A3170" s="29"/>
      <c r="B3170" s="29"/>
    </row>
    <row r="3171" customFormat="false" ht="12.75" hidden="false" customHeight="false" outlineLevel="0" collapsed="false">
      <c r="A3171" s="29"/>
      <c r="B3171" s="29"/>
    </row>
    <row r="3172" customFormat="false" ht="12.75" hidden="false" customHeight="false" outlineLevel="0" collapsed="false">
      <c r="A3172" s="29"/>
      <c r="B3172" s="29"/>
    </row>
    <row r="3173" customFormat="false" ht="12.75" hidden="false" customHeight="false" outlineLevel="0" collapsed="false">
      <c r="A3173" s="29"/>
      <c r="B3173" s="29"/>
    </row>
    <row r="3174" customFormat="false" ht="12.75" hidden="false" customHeight="false" outlineLevel="0" collapsed="false">
      <c r="A3174" s="29"/>
      <c r="B3174" s="29"/>
    </row>
    <row r="3175" customFormat="false" ht="12.75" hidden="false" customHeight="false" outlineLevel="0" collapsed="false">
      <c r="A3175" s="29"/>
      <c r="B3175" s="29"/>
    </row>
    <row r="3176" customFormat="false" ht="12.75" hidden="false" customHeight="false" outlineLevel="0" collapsed="false">
      <c r="A3176" s="29"/>
      <c r="B3176" s="29"/>
    </row>
    <row r="3177" customFormat="false" ht="12.75" hidden="false" customHeight="false" outlineLevel="0" collapsed="false">
      <c r="A3177" s="29"/>
      <c r="B3177" s="29"/>
    </row>
    <row r="3178" customFormat="false" ht="12.75" hidden="false" customHeight="false" outlineLevel="0" collapsed="false">
      <c r="A3178" s="29"/>
      <c r="B3178" s="29"/>
    </row>
    <row r="3179" customFormat="false" ht="12.75" hidden="false" customHeight="false" outlineLevel="0" collapsed="false">
      <c r="A3179" s="29"/>
      <c r="B3179" s="29"/>
    </row>
    <row r="3180" customFormat="false" ht="12.75" hidden="false" customHeight="false" outlineLevel="0" collapsed="false">
      <c r="A3180" s="29"/>
      <c r="B3180" s="29"/>
    </row>
    <row r="3181" customFormat="false" ht="12.75" hidden="false" customHeight="false" outlineLevel="0" collapsed="false">
      <c r="A3181" s="29"/>
      <c r="B3181" s="29"/>
    </row>
    <row r="3182" customFormat="false" ht="12.75" hidden="false" customHeight="false" outlineLevel="0" collapsed="false">
      <c r="A3182" s="29"/>
      <c r="B3182" s="29"/>
    </row>
    <row r="3183" customFormat="false" ht="12.75" hidden="false" customHeight="false" outlineLevel="0" collapsed="false">
      <c r="A3183" s="29"/>
      <c r="B3183" s="29"/>
    </row>
    <row r="3184" customFormat="false" ht="12.75" hidden="false" customHeight="false" outlineLevel="0" collapsed="false">
      <c r="A3184" s="29"/>
      <c r="B3184" s="29"/>
    </row>
    <row r="3185" customFormat="false" ht="12.75" hidden="false" customHeight="false" outlineLevel="0" collapsed="false">
      <c r="A3185" s="29"/>
      <c r="B3185" s="29"/>
    </row>
    <row r="3186" customFormat="false" ht="12.75" hidden="false" customHeight="false" outlineLevel="0" collapsed="false">
      <c r="A3186" s="29"/>
      <c r="B3186" s="29"/>
    </row>
    <row r="3187" customFormat="false" ht="12.75" hidden="false" customHeight="false" outlineLevel="0" collapsed="false">
      <c r="A3187" s="29"/>
      <c r="B3187" s="29"/>
    </row>
    <row r="3188" customFormat="false" ht="12.75" hidden="false" customHeight="false" outlineLevel="0" collapsed="false">
      <c r="A3188" s="29"/>
      <c r="B3188" s="29"/>
    </row>
    <row r="3189" customFormat="false" ht="12.75" hidden="false" customHeight="false" outlineLevel="0" collapsed="false">
      <c r="A3189" s="29"/>
      <c r="B3189" s="29"/>
    </row>
    <row r="3190" customFormat="false" ht="12.75" hidden="false" customHeight="false" outlineLevel="0" collapsed="false">
      <c r="A3190" s="29"/>
      <c r="B3190" s="29"/>
    </row>
    <row r="3191" customFormat="false" ht="12.75" hidden="false" customHeight="false" outlineLevel="0" collapsed="false">
      <c r="A3191" s="29"/>
      <c r="B3191" s="29"/>
    </row>
    <row r="3192" customFormat="false" ht="12.75" hidden="false" customHeight="false" outlineLevel="0" collapsed="false">
      <c r="A3192" s="29"/>
      <c r="B3192" s="29"/>
    </row>
    <row r="3193" customFormat="false" ht="12.75" hidden="false" customHeight="false" outlineLevel="0" collapsed="false">
      <c r="A3193" s="29"/>
      <c r="B3193" s="29"/>
    </row>
    <row r="3194" customFormat="false" ht="12.75" hidden="false" customHeight="false" outlineLevel="0" collapsed="false">
      <c r="A3194" s="29"/>
      <c r="B3194" s="29"/>
    </row>
    <row r="3195" customFormat="false" ht="12.75" hidden="false" customHeight="false" outlineLevel="0" collapsed="false">
      <c r="A3195" s="29"/>
      <c r="B3195" s="29"/>
    </row>
    <row r="3196" customFormat="false" ht="12.75" hidden="false" customHeight="false" outlineLevel="0" collapsed="false">
      <c r="A3196" s="29"/>
      <c r="B3196" s="29"/>
    </row>
    <row r="3197" customFormat="false" ht="12.75" hidden="false" customHeight="false" outlineLevel="0" collapsed="false">
      <c r="A3197" s="29"/>
      <c r="B3197" s="29"/>
    </row>
    <row r="3198" customFormat="false" ht="12.75" hidden="false" customHeight="false" outlineLevel="0" collapsed="false">
      <c r="A3198" s="29"/>
      <c r="B3198" s="29"/>
    </row>
    <row r="3199" customFormat="false" ht="12.75" hidden="false" customHeight="false" outlineLevel="0" collapsed="false">
      <c r="A3199" s="29"/>
      <c r="B3199" s="29"/>
    </row>
    <row r="3200" customFormat="false" ht="12.75" hidden="false" customHeight="false" outlineLevel="0" collapsed="false">
      <c r="A3200" s="29"/>
      <c r="B3200" s="29"/>
    </row>
    <row r="3201" customFormat="false" ht="12.75" hidden="false" customHeight="false" outlineLevel="0" collapsed="false">
      <c r="A3201" s="29"/>
      <c r="B3201" s="29"/>
    </row>
    <row r="3202" customFormat="false" ht="12.75" hidden="false" customHeight="false" outlineLevel="0" collapsed="false">
      <c r="A3202" s="29"/>
      <c r="B3202" s="29"/>
    </row>
    <row r="3203" customFormat="false" ht="12.75" hidden="false" customHeight="false" outlineLevel="0" collapsed="false">
      <c r="A3203" s="29"/>
      <c r="B3203" s="29"/>
    </row>
    <row r="3204" customFormat="false" ht="12.75" hidden="false" customHeight="false" outlineLevel="0" collapsed="false">
      <c r="A3204" s="29"/>
      <c r="B3204" s="29"/>
    </row>
    <row r="3205" customFormat="false" ht="12.75" hidden="false" customHeight="false" outlineLevel="0" collapsed="false">
      <c r="A3205" s="29"/>
      <c r="B3205" s="29"/>
    </row>
    <row r="3206" customFormat="false" ht="12.75" hidden="false" customHeight="false" outlineLevel="0" collapsed="false">
      <c r="A3206" s="29"/>
      <c r="B3206" s="29"/>
    </row>
    <row r="3207" customFormat="false" ht="12.75" hidden="false" customHeight="false" outlineLevel="0" collapsed="false">
      <c r="A3207" s="29"/>
      <c r="B3207" s="29"/>
    </row>
    <row r="3208" customFormat="false" ht="12.75" hidden="false" customHeight="false" outlineLevel="0" collapsed="false">
      <c r="A3208" s="29"/>
      <c r="B3208" s="29"/>
    </row>
    <row r="3209" customFormat="false" ht="12.75" hidden="false" customHeight="false" outlineLevel="0" collapsed="false">
      <c r="A3209" s="29"/>
      <c r="B3209" s="29"/>
    </row>
    <row r="3210" customFormat="false" ht="12.75" hidden="false" customHeight="false" outlineLevel="0" collapsed="false">
      <c r="A3210" s="29"/>
      <c r="B3210" s="29"/>
    </row>
    <row r="3211" customFormat="false" ht="12.75" hidden="false" customHeight="false" outlineLevel="0" collapsed="false">
      <c r="A3211" s="29"/>
      <c r="B3211" s="29"/>
    </row>
    <row r="3212" customFormat="false" ht="12.75" hidden="false" customHeight="false" outlineLevel="0" collapsed="false">
      <c r="A3212" s="29"/>
      <c r="B3212" s="29"/>
    </row>
    <row r="3213" customFormat="false" ht="12.75" hidden="false" customHeight="false" outlineLevel="0" collapsed="false">
      <c r="A3213" s="29"/>
      <c r="B3213" s="29"/>
    </row>
    <row r="3214" customFormat="false" ht="12.75" hidden="false" customHeight="false" outlineLevel="0" collapsed="false">
      <c r="A3214" s="29"/>
      <c r="B3214" s="29"/>
    </row>
    <row r="3215" customFormat="false" ht="12.75" hidden="false" customHeight="false" outlineLevel="0" collapsed="false">
      <c r="A3215" s="29"/>
      <c r="B3215" s="29"/>
    </row>
    <row r="3216" customFormat="false" ht="12.75" hidden="false" customHeight="false" outlineLevel="0" collapsed="false">
      <c r="A3216" s="29"/>
      <c r="B3216" s="29"/>
    </row>
    <row r="3217" customFormat="false" ht="12.75" hidden="false" customHeight="false" outlineLevel="0" collapsed="false">
      <c r="A3217" s="29"/>
      <c r="B3217" s="29"/>
    </row>
    <row r="3218" customFormat="false" ht="12.75" hidden="false" customHeight="false" outlineLevel="0" collapsed="false">
      <c r="A3218" s="29"/>
      <c r="B3218" s="29"/>
    </row>
    <row r="3219" customFormat="false" ht="12.75" hidden="false" customHeight="false" outlineLevel="0" collapsed="false">
      <c r="A3219" s="29"/>
      <c r="B3219" s="29"/>
    </row>
    <row r="3220" customFormat="false" ht="12.75" hidden="false" customHeight="false" outlineLevel="0" collapsed="false">
      <c r="A3220" s="29"/>
      <c r="B3220" s="29"/>
    </row>
    <row r="3221" customFormat="false" ht="12.75" hidden="false" customHeight="false" outlineLevel="0" collapsed="false">
      <c r="A3221" s="29"/>
      <c r="B3221" s="29"/>
    </row>
    <row r="3222" customFormat="false" ht="12.75" hidden="false" customHeight="false" outlineLevel="0" collapsed="false">
      <c r="A3222" s="29"/>
      <c r="B3222" s="29"/>
    </row>
    <row r="3223" customFormat="false" ht="12.75" hidden="false" customHeight="false" outlineLevel="0" collapsed="false">
      <c r="A3223" s="29"/>
      <c r="B3223" s="29"/>
    </row>
    <row r="3224" customFormat="false" ht="12.75" hidden="false" customHeight="false" outlineLevel="0" collapsed="false">
      <c r="A3224" s="29"/>
      <c r="B3224" s="29"/>
    </row>
    <row r="3225" customFormat="false" ht="12.75" hidden="false" customHeight="false" outlineLevel="0" collapsed="false">
      <c r="A3225" s="29"/>
      <c r="B3225" s="29"/>
    </row>
    <row r="3226" customFormat="false" ht="12.75" hidden="false" customHeight="false" outlineLevel="0" collapsed="false">
      <c r="A3226" s="29"/>
      <c r="B3226" s="29"/>
    </row>
    <row r="3227" customFormat="false" ht="12.75" hidden="false" customHeight="false" outlineLevel="0" collapsed="false">
      <c r="A3227" s="29"/>
      <c r="B3227" s="29"/>
    </row>
    <row r="3228" customFormat="false" ht="12.75" hidden="false" customHeight="false" outlineLevel="0" collapsed="false">
      <c r="A3228" s="29"/>
      <c r="B3228" s="29"/>
    </row>
    <row r="3229" customFormat="false" ht="12.75" hidden="false" customHeight="false" outlineLevel="0" collapsed="false">
      <c r="A3229" s="29"/>
      <c r="B3229" s="29"/>
    </row>
    <row r="3230" customFormat="false" ht="12.75" hidden="false" customHeight="false" outlineLevel="0" collapsed="false">
      <c r="A3230" s="29"/>
      <c r="B3230" s="29"/>
    </row>
    <row r="3231" customFormat="false" ht="12.75" hidden="false" customHeight="false" outlineLevel="0" collapsed="false">
      <c r="A3231" s="29"/>
      <c r="B3231" s="29"/>
    </row>
    <row r="3232" customFormat="false" ht="12.75" hidden="false" customHeight="false" outlineLevel="0" collapsed="false">
      <c r="A3232" s="29"/>
      <c r="B3232" s="29"/>
    </row>
    <row r="3233" customFormat="false" ht="12.75" hidden="false" customHeight="false" outlineLevel="0" collapsed="false">
      <c r="A3233" s="29"/>
      <c r="B3233" s="29"/>
    </row>
    <row r="3234" customFormat="false" ht="12.75" hidden="false" customHeight="false" outlineLevel="0" collapsed="false">
      <c r="A3234" s="29"/>
      <c r="B3234" s="29"/>
    </row>
    <row r="3235" customFormat="false" ht="12.75" hidden="false" customHeight="false" outlineLevel="0" collapsed="false">
      <c r="A3235" s="29"/>
      <c r="B3235" s="29"/>
    </row>
    <row r="3236" customFormat="false" ht="12.75" hidden="false" customHeight="false" outlineLevel="0" collapsed="false">
      <c r="A3236" s="29"/>
      <c r="B3236" s="29"/>
    </row>
    <row r="3237" customFormat="false" ht="12.75" hidden="false" customHeight="false" outlineLevel="0" collapsed="false">
      <c r="A3237" s="29"/>
      <c r="B3237" s="29"/>
    </row>
    <row r="3238" customFormat="false" ht="12.75" hidden="false" customHeight="false" outlineLevel="0" collapsed="false">
      <c r="A3238" s="29"/>
      <c r="B3238" s="29"/>
    </row>
    <row r="3239" customFormat="false" ht="12.75" hidden="false" customHeight="false" outlineLevel="0" collapsed="false">
      <c r="A3239" s="29"/>
      <c r="B3239" s="29"/>
    </row>
    <row r="3240" customFormat="false" ht="12.75" hidden="false" customHeight="false" outlineLevel="0" collapsed="false">
      <c r="A3240" s="29"/>
      <c r="B3240" s="29"/>
    </row>
    <row r="3241" customFormat="false" ht="12.75" hidden="false" customHeight="false" outlineLevel="0" collapsed="false">
      <c r="A3241" s="29"/>
      <c r="B3241" s="29"/>
    </row>
    <row r="3242" customFormat="false" ht="12.75" hidden="false" customHeight="false" outlineLevel="0" collapsed="false">
      <c r="A3242" s="29"/>
      <c r="B3242" s="29"/>
    </row>
    <row r="3243" customFormat="false" ht="12.75" hidden="false" customHeight="false" outlineLevel="0" collapsed="false">
      <c r="A3243" s="29"/>
      <c r="B3243" s="29"/>
    </row>
    <row r="3244" customFormat="false" ht="12.75" hidden="false" customHeight="false" outlineLevel="0" collapsed="false">
      <c r="A3244" s="29"/>
      <c r="B3244" s="29"/>
    </row>
    <row r="3245" customFormat="false" ht="12.75" hidden="false" customHeight="false" outlineLevel="0" collapsed="false">
      <c r="A3245" s="29"/>
      <c r="B3245" s="29"/>
    </row>
    <row r="3246" customFormat="false" ht="12.75" hidden="false" customHeight="false" outlineLevel="0" collapsed="false">
      <c r="A3246" s="29"/>
      <c r="B3246" s="29"/>
    </row>
    <row r="3247" customFormat="false" ht="12.75" hidden="false" customHeight="false" outlineLevel="0" collapsed="false">
      <c r="A3247" s="29"/>
      <c r="B3247" s="29"/>
    </row>
    <row r="3248" customFormat="false" ht="12.75" hidden="false" customHeight="false" outlineLevel="0" collapsed="false">
      <c r="A3248" s="29"/>
      <c r="B3248" s="29"/>
    </row>
    <row r="3249" customFormat="false" ht="12.75" hidden="false" customHeight="false" outlineLevel="0" collapsed="false">
      <c r="A3249" s="29"/>
      <c r="B3249" s="29"/>
    </row>
    <row r="3250" customFormat="false" ht="12.75" hidden="false" customHeight="false" outlineLevel="0" collapsed="false">
      <c r="A3250" s="29"/>
      <c r="B3250" s="29"/>
    </row>
    <row r="3251" customFormat="false" ht="12.75" hidden="false" customHeight="false" outlineLevel="0" collapsed="false">
      <c r="A3251" s="29"/>
      <c r="B3251" s="29"/>
    </row>
    <row r="3252" customFormat="false" ht="12.75" hidden="false" customHeight="false" outlineLevel="0" collapsed="false">
      <c r="A3252" s="29"/>
      <c r="B3252" s="29"/>
    </row>
    <row r="3253" customFormat="false" ht="12.75" hidden="false" customHeight="false" outlineLevel="0" collapsed="false">
      <c r="A3253" s="29"/>
      <c r="B3253" s="29"/>
    </row>
    <row r="3254" customFormat="false" ht="12.75" hidden="false" customHeight="false" outlineLevel="0" collapsed="false">
      <c r="A3254" s="29"/>
      <c r="B3254" s="29"/>
    </row>
    <row r="3255" customFormat="false" ht="12.75" hidden="false" customHeight="false" outlineLevel="0" collapsed="false">
      <c r="A3255" s="29"/>
      <c r="B3255" s="29"/>
    </row>
    <row r="3256" customFormat="false" ht="12.75" hidden="false" customHeight="false" outlineLevel="0" collapsed="false">
      <c r="A3256" s="29"/>
      <c r="B3256" s="29"/>
    </row>
    <row r="3257" customFormat="false" ht="12.75" hidden="false" customHeight="false" outlineLevel="0" collapsed="false">
      <c r="A3257" s="29"/>
      <c r="B3257" s="29"/>
    </row>
    <row r="3258" customFormat="false" ht="12.75" hidden="false" customHeight="false" outlineLevel="0" collapsed="false">
      <c r="A3258" s="29"/>
      <c r="B3258" s="29"/>
    </row>
    <row r="3259" customFormat="false" ht="12.75" hidden="false" customHeight="false" outlineLevel="0" collapsed="false">
      <c r="A3259" s="29"/>
      <c r="B3259" s="29"/>
    </row>
    <row r="3260" customFormat="false" ht="12.75" hidden="false" customHeight="false" outlineLevel="0" collapsed="false">
      <c r="A3260" s="29"/>
      <c r="B3260" s="29"/>
    </row>
    <row r="3261" customFormat="false" ht="12.75" hidden="false" customHeight="false" outlineLevel="0" collapsed="false">
      <c r="A3261" s="29"/>
      <c r="B3261" s="29"/>
    </row>
    <row r="3262" customFormat="false" ht="12.75" hidden="false" customHeight="false" outlineLevel="0" collapsed="false">
      <c r="A3262" s="29"/>
      <c r="B3262" s="29"/>
    </row>
    <row r="3263" customFormat="false" ht="12.75" hidden="false" customHeight="false" outlineLevel="0" collapsed="false">
      <c r="A3263" s="29"/>
      <c r="B3263" s="29"/>
    </row>
    <row r="3264" customFormat="false" ht="12.75" hidden="false" customHeight="false" outlineLevel="0" collapsed="false">
      <c r="A3264" s="29"/>
      <c r="B3264" s="29"/>
    </row>
    <row r="3265" customFormat="false" ht="12.75" hidden="false" customHeight="false" outlineLevel="0" collapsed="false">
      <c r="A3265" s="29"/>
      <c r="B3265" s="29"/>
    </row>
    <row r="3266" customFormat="false" ht="12.75" hidden="false" customHeight="false" outlineLevel="0" collapsed="false">
      <c r="A3266" s="29"/>
      <c r="B3266" s="29"/>
    </row>
    <row r="3267" customFormat="false" ht="12.75" hidden="false" customHeight="false" outlineLevel="0" collapsed="false">
      <c r="A3267" s="29"/>
      <c r="B3267" s="29"/>
    </row>
    <row r="3268" customFormat="false" ht="12.75" hidden="false" customHeight="false" outlineLevel="0" collapsed="false">
      <c r="A3268" s="29"/>
      <c r="B3268" s="29"/>
    </row>
    <row r="3269" customFormat="false" ht="12.75" hidden="false" customHeight="false" outlineLevel="0" collapsed="false">
      <c r="A3269" s="29"/>
      <c r="B3269" s="29"/>
    </row>
    <row r="3270" customFormat="false" ht="12.75" hidden="false" customHeight="false" outlineLevel="0" collapsed="false">
      <c r="A3270" s="29"/>
      <c r="B3270" s="29"/>
    </row>
    <row r="3271" customFormat="false" ht="12.75" hidden="false" customHeight="false" outlineLevel="0" collapsed="false">
      <c r="A3271" s="29"/>
      <c r="B3271" s="29"/>
    </row>
    <row r="3272" customFormat="false" ht="12.75" hidden="false" customHeight="false" outlineLevel="0" collapsed="false">
      <c r="A3272" s="29"/>
      <c r="B3272" s="29"/>
    </row>
    <row r="3273" customFormat="false" ht="12.75" hidden="false" customHeight="false" outlineLevel="0" collapsed="false">
      <c r="A3273" s="29"/>
      <c r="B3273" s="29"/>
    </row>
    <row r="3274" customFormat="false" ht="12.75" hidden="false" customHeight="false" outlineLevel="0" collapsed="false">
      <c r="A3274" s="29"/>
      <c r="B3274" s="29"/>
    </row>
    <row r="3275" customFormat="false" ht="12.75" hidden="false" customHeight="false" outlineLevel="0" collapsed="false">
      <c r="A3275" s="29"/>
      <c r="B3275" s="29"/>
    </row>
    <row r="3276" customFormat="false" ht="12.75" hidden="false" customHeight="false" outlineLevel="0" collapsed="false">
      <c r="A3276" s="29"/>
      <c r="B3276" s="29"/>
    </row>
    <row r="3277" customFormat="false" ht="12.75" hidden="false" customHeight="false" outlineLevel="0" collapsed="false">
      <c r="A3277" s="29"/>
      <c r="B3277" s="29"/>
    </row>
    <row r="3278" customFormat="false" ht="12.75" hidden="false" customHeight="false" outlineLevel="0" collapsed="false">
      <c r="A3278" s="29"/>
      <c r="B3278" s="29"/>
    </row>
    <row r="3279" customFormat="false" ht="12.75" hidden="false" customHeight="false" outlineLevel="0" collapsed="false">
      <c r="A3279" s="29"/>
      <c r="B3279" s="29"/>
    </row>
    <row r="3280" customFormat="false" ht="12.75" hidden="false" customHeight="false" outlineLevel="0" collapsed="false">
      <c r="A3280" s="29"/>
      <c r="B3280" s="29"/>
    </row>
    <row r="3281" customFormat="false" ht="12.75" hidden="false" customHeight="false" outlineLevel="0" collapsed="false">
      <c r="A3281" s="29"/>
      <c r="B3281" s="29"/>
    </row>
    <row r="3282" customFormat="false" ht="12.75" hidden="false" customHeight="false" outlineLevel="0" collapsed="false">
      <c r="A3282" s="29"/>
      <c r="B3282" s="29"/>
    </row>
    <row r="3283" customFormat="false" ht="12.75" hidden="false" customHeight="false" outlineLevel="0" collapsed="false">
      <c r="A3283" s="29"/>
      <c r="B3283" s="29"/>
    </row>
    <row r="3284" customFormat="false" ht="12.75" hidden="false" customHeight="false" outlineLevel="0" collapsed="false">
      <c r="A3284" s="29"/>
      <c r="B3284" s="29"/>
    </row>
    <row r="3285" customFormat="false" ht="12.75" hidden="false" customHeight="false" outlineLevel="0" collapsed="false">
      <c r="A3285" s="29"/>
      <c r="B3285" s="29"/>
    </row>
    <row r="3286" customFormat="false" ht="12.75" hidden="false" customHeight="false" outlineLevel="0" collapsed="false">
      <c r="A3286" s="29"/>
      <c r="B3286" s="29"/>
    </row>
    <row r="3287" customFormat="false" ht="12.75" hidden="false" customHeight="false" outlineLevel="0" collapsed="false">
      <c r="A3287" s="29"/>
      <c r="B3287" s="29"/>
    </row>
    <row r="3288" customFormat="false" ht="12.75" hidden="false" customHeight="false" outlineLevel="0" collapsed="false">
      <c r="A3288" s="29"/>
      <c r="B3288" s="29"/>
    </row>
    <row r="3289" customFormat="false" ht="12.75" hidden="false" customHeight="false" outlineLevel="0" collapsed="false">
      <c r="A3289" s="29"/>
      <c r="B3289" s="29"/>
    </row>
    <row r="3290" customFormat="false" ht="12.75" hidden="false" customHeight="false" outlineLevel="0" collapsed="false">
      <c r="A3290" s="29"/>
      <c r="B3290" s="29"/>
    </row>
    <row r="3291" customFormat="false" ht="12.75" hidden="false" customHeight="false" outlineLevel="0" collapsed="false">
      <c r="A3291" s="29"/>
      <c r="B3291" s="29"/>
    </row>
    <row r="3292" customFormat="false" ht="12.75" hidden="false" customHeight="false" outlineLevel="0" collapsed="false">
      <c r="A3292" s="29"/>
      <c r="B3292" s="29"/>
    </row>
    <row r="3293" customFormat="false" ht="12.75" hidden="false" customHeight="false" outlineLevel="0" collapsed="false">
      <c r="A3293" s="29"/>
      <c r="B3293" s="29"/>
    </row>
    <row r="3294" customFormat="false" ht="12.75" hidden="false" customHeight="false" outlineLevel="0" collapsed="false">
      <c r="A3294" s="29"/>
      <c r="B3294" s="29"/>
    </row>
    <row r="3295" customFormat="false" ht="12.75" hidden="false" customHeight="false" outlineLevel="0" collapsed="false">
      <c r="A3295" s="29"/>
      <c r="B3295" s="29"/>
    </row>
    <row r="3296" customFormat="false" ht="12.75" hidden="false" customHeight="false" outlineLevel="0" collapsed="false">
      <c r="A3296" s="29"/>
      <c r="B3296" s="29"/>
    </row>
    <row r="3297" customFormat="false" ht="12.75" hidden="false" customHeight="false" outlineLevel="0" collapsed="false">
      <c r="A3297" s="29"/>
      <c r="B3297" s="29"/>
    </row>
    <row r="3298" customFormat="false" ht="12.75" hidden="false" customHeight="false" outlineLevel="0" collapsed="false">
      <c r="A3298" s="29"/>
      <c r="B3298" s="29"/>
    </row>
    <row r="3299" customFormat="false" ht="12.75" hidden="false" customHeight="false" outlineLevel="0" collapsed="false">
      <c r="A3299" s="29"/>
      <c r="B3299" s="29"/>
    </row>
    <row r="3300" customFormat="false" ht="12.75" hidden="false" customHeight="false" outlineLevel="0" collapsed="false">
      <c r="A3300" s="29"/>
      <c r="B3300" s="29"/>
    </row>
    <row r="3301" customFormat="false" ht="12.75" hidden="false" customHeight="false" outlineLevel="0" collapsed="false">
      <c r="A3301" s="29"/>
      <c r="B3301" s="29"/>
    </row>
    <row r="3302" customFormat="false" ht="12.75" hidden="false" customHeight="false" outlineLevel="0" collapsed="false">
      <c r="A3302" s="29"/>
      <c r="B3302" s="29"/>
    </row>
    <row r="3303" customFormat="false" ht="12.75" hidden="false" customHeight="false" outlineLevel="0" collapsed="false">
      <c r="A3303" s="29"/>
      <c r="B3303" s="29"/>
    </row>
    <row r="3304" customFormat="false" ht="12.75" hidden="false" customHeight="false" outlineLevel="0" collapsed="false">
      <c r="A3304" s="29"/>
      <c r="B3304" s="29"/>
    </row>
    <row r="3305" customFormat="false" ht="12.75" hidden="false" customHeight="false" outlineLevel="0" collapsed="false">
      <c r="A3305" s="29"/>
      <c r="B3305" s="29"/>
    </row>
    <row r="3306" customFormat="false" ht="12.75" hidden="false" customHeight="false" outlineLevel="0" collapsed="false">
      <c r="A3306" s="29"/>
      <c r="B3306" s="29"/>
    </row>
    <row r="3307" customFormat="false" ht="12.75" hidden="false" customHeight="false" outlineLevel="0" collapsed="false">
      <c r="A3307" s="29"/>
      <c r="B3307" s="29"/>
    </row>
    <row r="3308" customFormat="false" ht="12.75" hidden="false" customHeight="false" outlineLevel="0" collapsed="false">
      <c r="A3308" s="29"/>
      <c r="B3308" s="29"/>
    </row>
    <row r="3309" customFormat="false" ht="12.75" hidden="false" customHeight="false" outlineLevel="0" collapsed="false">
      <c r="A3309" s="29"/>
      <c r="B3309" s="29"/>
    </row>
    <row r="3310" customFormat="false" ht="12.75" hidden="false" customHeight="false" outlineLevel="0" collapsed="false">
      <c r="A3310" s="29"/>
      <c r="B3310" s="29"/>
    </row>
    <row r="3311" customFormat="false" ht="12.75" hidden="false" customHeight="false" outlineLevel="0" collapsed="false">
      <c r="A3311" s="29"/>
      <c r="B3311" s="29"/>
    </row>
    <row r="3312" customFormat="false" ht="12.75" hidden="false" customHeight="false" outlineLevel="0" collapsed="false">
      <c r="A3312" s="29"/>
      <c r="B3312" s="29"/>
    </row>
    <row r="3313" customFormat="false" ht="12.75" hidden="false" customHeight="false" outlineLevel="0" collapsed="false">
      <c r="A3313" s="29"/>
      <c r="B3313" s="29"/>
    </row>
    <row r="3314" customFormat="false" ht="12.75" hidden="false" customHeight="false" outlineLevel="0" collapsed="false">
      <c r="A3314" s="29"/>
      <c r="B3314" s="29"/>
    </row>
    <row r="3315" customFormat="false" ht="12.75" hidden="false" customHeight="false" outlineLevel="0" collapsed="false">
      <c r="A3315" s="29"/>
      <c r="B3315" s="29"/>
    </row>
    <row r="3316" customFormat="false" ht="12.75" hidden="false" customHeight="false" outlineLevel="0" collapsed="false">
      <c r="A3316" s="29"/>
      <c r="B3316" s="29"/>
    </row>
    <row r="3317" customFormat="false" ht="12.75" hidden="false" customHeight="false" outlineLevel="0" collapsed="false">
      <c r="A3317" s="29"/>
      <c r="B3317" s="29"/>
    </row>
    <row r="3318" customFormat="false" ht="12.75" hidden="false" customHeight="false" outlineLevel="0" collapsed="false">
      <c r="A3318" s="29"/>
      <c r="B3318" s="29"/>
    </row>
    <row r="3319" customFormat="false" ht="12.75" hidden="false" customHeight="false" outlineLevel="0" collapsed="false">
      <c r="A3319" s="29"/>
      <c r="B3319" s="29"/>
    </row>
    <row r="3320" customFormat="false" ht="12.75" hidden="false" customHeight="false" outlineLevel="0" collapsed="false">
      <c r="A3320" s="29"/>
      <c r="B3320" s="29"/>
    </row>
    <row r="3321" customFormat="false" ht="12.75" hidden="false" customHeight="false" outlineLevel="0" collapsed="false">
      <c r="A3321" s="29"/>
      <c r="B3321" s="29"/>
    </row>
    <row r="3322" customFormat="false" ht="12.75" hidden="false" customHeight="false" outlineLevel="0" collapsed="false">
      <c r="A3322" s="29"/>
      <c r="B3322" s="29"/>
    </row>
    <row r="3323" customFormat="false" ht="12.75" hidden="false" customHeight="false" outlineLevel="0" collapsed="false">
      <c r="A3323" s="29"/>
      <c r="B3323" s="29"/>
    </row>
    <row r="3324" customFormat="false" ht="12.75" hidden="false" customHeight="false" outlineLevel="0" collapsed="false">
      <c r="A3324" s="29"/>
      <c r="B3324" s="29"/>
    </row>
    <row r="3325" customFormat="false" ht="12.75" hidden="false" customHeight="false" outlineLevel="0" collapsed="false">
      <c r="A3325" s="29"/>
      <c r="B3325" s="29"/>
    </row>
    <row r="3326" customFormat="false" ht="12.75" hidden="false" customHeight="false" outlineLevel="0" collapsed="false">
      <c r="A3326" s="29"/>
      <c r="B3326" s="29"/>
    </row>
    <row r="3327" customFormat="false" ht="12.75" hidden="false" customHeight="false" outlineLevel="0" collapsed="false">
      <c r="A3327" s="29"/>
      <c r="B3327" s="29"/>
    </row>
    <row r="3328" customFormat="false" ht="12.75" hidden="false" customHeight="false" outlineLevel="0" collapsed="false">
      <c r="A3328" s="29"/>
      <c r="B3328" s="29"/>
    </row>
    <row r="3329" customFormat="false" ht="12.75" hidden="false" customHeight="false" outlineLevel="0" collapsed="false">
      <c r="A3329" s="29"/>
      <c r="B3329" s="29"/>
    </row>
    <row r="3330" customFormat="false" ht="12.75" hidden="false" customHeight="false" outlineLevel="0" collapsed="false">
      <c r="A3330" s="29"/>
      <c r="B3330" s="29"/>
    </row>
    <row r="3331" customFormat="false" ht="12.75" hidden="false" customHeight="false" outlineLevel="0" collapsed="false">
      <c r="A3331" s="29"/>
      <c r="B3331" s="29"/>
    </row>
    <row r="3332" customFormat="false" ht="12.75" hidden="false" customHeight="false" outlineLevel="0" collapsed="false">
      <c r="A3332" s="29"/>
      <c r="B3332" s="29"/>
    </row>
    <row r="3333" customFormat="false" ht="12.75" hidden="false" customHeight="false" outlineLevel="0" collapsed="false">
      <c r="A3333" s="29"/>
      <c r="B3333" s="29"/>
    </row>
    <row r="3334" customFormat="false" ht="12.75" hidden="false" customHeight="false" outlineLevel="0" collapsed="false">
      <c r="A3334" s="29"/>
      <c r="B3334" s="29"/>
    </row>
    <row r="3335" customFormat="false" ht="12.75" hidden="false" customHeight="false" outlineLevel="0" collapsed="false">
      <c r="A3335" s="29"/>
      <c r="B3335" s="29"/>
    </row>
    <row r="3336" customFormat="false" ht="12.75" hidden="false" customHeight="false" outlineLevel="0" collapsed="false">
      <c r="A3336" s="29"/>
      <c r="B3336" s="29"/>
    </row>
    <row r="3337" customFormat="false" ht="12.75" hidden="false" customHeight="false" outlineLevel="0" collapsed="false">
      <c r="A3337" s="29"/>
      <c r="B3337" s="29"/>
    </row>
    <row r="3338" customFormat="false" ht="12.75" hidden="false" customHeight="false" outlineLevel="0" collapsed="false">
      <c r="A3338" s="29"/>
      <c r="B3338" s="29"/>
    </row>
    <row r="3339" customFormat="false" ht="12.75" hidden="false" customHeight="false" outlineLevel="0" collapsed="false">
      <c r="A3339" s="29"/>
      <c r="B3339" s="29"/>
    </row>
    <row r="3340" customFormat="false" ht="12.75" hidden="false" customHeight="false" outlineLevel="0" collapsed="false">
      <c r="A3340" s="29"/>
      <c r="B3340" s="29"/>
    </row>
    <row r="3341" customFormat="false" ht="12.75" hidden="false" customHeight="false" outlineLevel="0" collapsed="false">
      <c r="A3341" s="29"/>
      <c r="B3341" s="29"/>
    </row>
    <row r="3342" customFormat="false" ht="12.75" hidden="false" customHeight="false" outlineLevel="0" collapsed="false">
      <c r="A3342" s="29"/>
      <c r="B3342" s="29"/>
    </row>
    <row r="3343" customFormat="false" ht="12.75" hidden="false" customHeight="false" outlineLevel="0" collapsed="false">
      <c r="A3343" s="29"/>
      <c r="B3343" s="29"/>
    </row>
    <row r="3344" customFormat="false" ht="12.75" hidden="false" customHeight="false" outlineLevel="0" collapsed="false">
      <c r="A3344" s="29"/>
      <c r="B3344" s="29"/>
    </row>
    <row r="3345" customFormat="false" ht="12.75" hidden="false" customHeight="false" outlineLevel="0" collapsed="false">
      <c r="A3345" s="29"/>
      <c r="B3345" s="29"/>
    </row>
    <row r="3346" customFormat="false" ht="12.75" hidden="false" customHeight="false" outlineLevel="0" collapsed="false">
      <c r="A3346" s="29"/>
      <c r="B3346" s="29"/>
    </row>
    <row r="3347" customFormat="false" ht="12.75" hidden="false" customHeight="false" outlineLevel="0" collapsed="false">
      <c r="A3347" s="29"/>
      <c r="B3347" s="29"/>
    </row>
    <row r="3348" customFormat="false" ht="12.75" hidden="false" customHeight="false" outlineLevel="0" collapsed="false">
      <c r="A3348" s="29"/>
      <c r="B3348" s="29"/>
    </row>
    <row r="3349" customFormat="false" ht="12.75" hidden="false" customHeight="false" outlineLevel="0" collapsed="false">
      <c r="A3349" s="29"/>
      <c r="B3349" s="29"/>
    </row>
    <row r="3350" customFormat="false" ht="12.75" hidden="false" customHeight="false" outlineLevel="0" collapsed="false">
      <c r="A3350" s="29"/>
      <c r="B3350" s="29"/>
    </row>
    <row r="3351" customFormat="false" ht="12.75" hidden="false" customHeight="false" outlineLevel="0" collapsed="false">
      <c r="A3351" s="29"/>
      <c r="B3351" s="29"/>
    </row>
    <row r="3352" customFormat="false" ht="12.75" hidden="false" customHeight="false" outlineLevel="0" collapsed="false">
      <c r="A3352" s="29"/>
      <c r="B3352" s="29"/>
    </row>
    <row r="3353" customFormat="false" ht="12.75" hidden="false" customHeight="false" outlineLevel="0" collapsed="false">
      <c r="A3353" s="29"/>
      <c r="B3353" s="29"/>
    </row>
    <row r="3354" customFormat="false" ht="12.75" hidden="false" customHeight="false" outlineLevel="0" collapsed="false">
      <c r="A3354" s="29"/>
      <c r="B3354" s="29"/>
    </row>
    <row r="3355" customFormat="false" ht="12.75" hidden="false" customHeight="false" outlineLevel="0" collapsed="false">
      <c r="A3355" s="29"/>
      <c r="B3355" s="29"/>
    </row>
    <row r="3356" customFormat="false" ht="12.75" hidden="false" customHeight="false" outlineLevel="0" collapsed="false">
      <c r="A3356" s="29"/>
      <c r="B3356" s="29"/>
    </row>
    <row r="3357" customFormat="false" ht="12.75" hidden="false" customHeight="false" outlineLevel="0" collapsed="false">
      <c r="A3357" s="29"/>
      <c r="B3357" s="29"/>
    </row>
    <row r="3358" customFormat="false" ht="12.75" hidden="false" customHeight="false" outlineLevel="0" collapsed="false">
      <c r="A3358" s="29"/>
      <c r="B3358" s="29"/>
    </row>
    <row r="3359" customFormat="false" ht="12.75" hidden="false" customHeight="false" outlineLevel="0" collapsed="false">
      <c r="A3359" s="29"/>
      <c r="B3359" s="29"/>
    </row>
    <row r="3360" customFormat="false" ht="12.75" hidden="false" customHeight="false" outlineLevel="0" collapsed="false">
      <c r="A3360" s="29"/>
      <c r="B3360" s="29"/>
    </row>
    <row r="3361" customFormat="false" ht="12.75" hidden="false" customHeight="false" outlineLevel="0" collapsed="false">
      <c r="A3361" s="29"/>
      <c r="B3361" s="29"/>
    </row>
    <row r="3362" customFormat="false" ht="12.75" hidden="false" customHeight="false" outlineLevel="0" collapsed="false">
      <c r="A3362" s="29"/>
      <c r="B3362" s="29"/>
    </row>
    <row r="3363" customFormat="false" ht="12.75" hidden="false" customHeight="false" outlineLevel="0" collapsed="false">
      <c r="A3363" s="29"/>
      <c r="B3363" s="29"/>
    </row>
    <row r="3364" customFormat="false" ht="12.75" hidden="false" customHeight="false" outlineLevel="0" collapsed="false">
      <c r="A3364" s="29"/>
      <c r="B3364" s="29"/>
    </row>
    <row r="3365" customFormat="false" ht="12.75" hidden="false" customHeight="false" outlineLevel="0" collapsed="false">
      <c r="A3365" s="29"/>
      <c r="B3365" s="29"/>
    </row>
    <row r="3366" customFormat="false" ht="12.75" hidden="false" customHeight="false" outlineLevel="0" collapsed="false">
      <c r="A3366" s="29"/>
      <c r="B3366" s="29"/>
    </row>
    <row r="3367" customFormat="false" ht="12.75" hidden="false" customHeight="false" outlineLevel="0" collapsed="false">
      <c r="A3367" s="29"/>
      <c r="B3367" s="29"/>
    </row>
    <row r="3368" customFormat="false" ht="12.75" hidden="false" customHeight="false" outlineLevel="0" collapsed="false">
      <c r="A3368" s="29"/>
      <c r="B3368" s="29"/>
    </row>
    <row r="3369" customFormat="false" ht="12.75" hidden="false" customHeight="false" outlineLevel="0" collapsed="false">
      <c r="A3369" s="29"/>
      <c r="B3369" s="29"/>
    </row>
    <row r="3370" customFormat="false" ht="12.75" hidden="false" customHeight="false" outlineLevel="0" collapsed="false">
      <c r="A3370" s="29"/>
      <c r="B3370" s="29"/>
    </row>
    <row r="3371" customFormat="false" ht="12.75" hidden="false" customHeight="false" outlineLevel="0" collapsed="false">
      <c r="A3371" s="29"/>
      <c r="B3371" s="29"/>
    </row>
    <row r="3372" customFormat="false" ht="12.75" hidden="false" customHeight="false" outlineLevel="0" collapsed="false">
      <c r="A3372" s="29"/>
      <c r="B3372" s="29"/>
    </row>
    <row r="3373" customFormat="false" ht="12.75" hidden="false" customHeight="false" outlineLevel="0" collapsed="false">
      <c r="A3373" s="29"/>
      <c r="B3373" s="29"/>
    </row>
    <row r="3374" customFormat="false" ht="12.75" hidden="false" customHeight="false" outlineLevel="0" collapsed="false">
      <c r="A3374" s="29"/>
      <c r="B3374" s="29"/>
    </row>
    <row r="3375" customFormat="false" ht="12.75" hidden="false" customHeight="false" outlineLevel="0" collapsed="false">
      <c r="A3375" s="29"/>
      <c r="B3375" s="29"/>
    </row>
    <row r="3376" customFormat="false" ht="12.75" hidden="false" customHeight="false" outlineLevel="0" collapsed="false">
      <c r="A3376" s="29"/>
      <c r="B3376" s="29"/>
    </row>
    <row r="3377" customFormat="false" ht="12.75" hidden="false" customHeight="false" outlineLevel="0" collapsed="false">
      <c r="A3377" s="29"/>
      <c r="B3377" s="29"/>
    </row>
    <row r="3378" customFormat="false" ht="12.75" hidden="false" customHeight="false" outlineLevel="0" collapsed="false">
      <c r="A3378" s="29"/>
      <c r="B3378" s="29"/>
    </row>
    <row r="3379" customFormat="false" ht="12.75" hidden="false" customHeight="false" outlineLevel="0" collapsed="false">
      <c r="A3379" s="29"/>
      <c r="B3379" s="29"/>
    </row>
    <row r="3380" customFormat="false" ht="12.75" hidden="false" customHeight="false" outlineLevel="0" collapsed="false">
      <c r="A3380" s="29"/>
      <c r="B3380" s="29"/>
    </row>
    <row r="3381" customFormat="false" ht="12.75" hidden="false" customHeight="false" outlineLevel="0" collapsed="false">
      <c r="A3381" s="29"/>
      <c r="B3381" s="29"/>
    </row>
    <row r="3382" customFormat="false" ht="12.75" hidden="false" customHeight="false" outlineLevel="0" collapsed="false">
      <c r="A3382" s="29"/>
      <c r="B3382" s="29"/>
    </row>
    <row r="3383" customFormat="false" ht="12.75" hidden="false" customHeight="false" outlineLevel="0" collapsed="false">
      <c r="A3383" s="29"/>
      <c r="B3383" s="29"/>
    </row>
    <row r="3384" customFormat="false" ht="12.75" hidden="false" customHeight="false" outlineLevel="0" collapsed="false">
      <c r="A3384" s="29"/>
      <c r="B3384" s="29"/>
    </row>
    <row r="3385" customFormat="false" ht="12.75" hidden="false" customHeight="false" outlineLevel="0" collapsed="false">
      <c r="A3385" s="29"/>
      <c r="B3385" s="29"/>
    </row>
    <row r="3386" customFormat="false" ht="12.75" hidden="false" customHeight="false" outlineLevel="0" collapsed="false">
      <c r="A3386" s="29"/>
      <c r="B3386" s="29"/>
    </row>
    <row r="3387" customFormat="false" ht="12.75" hidden="false" customHeight="false" outlineLevel="0" collapsed="false">
      <c r="A3387" s="29"/>
      <c r="B3387" s="29"/>
    </row>
    <row r="3388" customFormat="false" ht="12.75" hidden="false" customHeight="false" outlineLevel="0" collapsed="false">
      <c r="A3388" s="29"/>
      <c r="B3388" s="29"/>
    </row>
    <row r="3389" customFormat="false" ht="12.75" hidden="false" customHeight="false" outlineLevel="0" collapsed="false">
      <c r="A3389" s="29"/>
      <c r="B3389" s="29"/>
    </row>
    <row r="3390" customFormat="false" ht="12.75" hidden="false" customHeight="false" outlineLevel="0" collapsed="false">
      <c r="A3390" s="29"/>
      <c r="B3390" s="29"/>
    </row>
    <row r="3391" customFormat="false" ht="12.75" hidden="false" customHeight="false" outlineLevel="0" collapsed="false">
      <c r="A3391" s="29"/>
      <c r="B3391" s="29"/>
    </row>
    <row r="3392" customFormat="false" ht="12.75" hidden="false" customHeight="false" outlineLevel="0" collapsed="false">
      <c r="A3392" s="29"/>
      <c r="B3392" s="29"/>
    </row>
    <row r="3393" customFormat="false" ht="12.75" hidden="false" customHeight="false" outlineLevel="0" collapsed="false">
      <c r="A3393" s="29"/>
      <c r="B3393" s="29"/>
    </row>
    <row r="3394" customFormat="false" ht="12.75" hidden="false" customHeight="false" outlineLevel="0" collapsed="false">
      <c r="A3394" s="29"/>
      <c r="B3394" s="29"/>
    </row>
    <row r="3395" customFormat="false" ht="12.75" hidden="false" customHeight="false" outlineLevel="0" collapsed="false">
      <c r="A3395" s="29"/>
      <c r="B3395" s="29"/>
    </row>
    <row r="3396" customFormat="false" ht="12.75" hidden="false" customHeight="false" outlineLevel="0" collapsed="false">
      <c r="A3396" s="29"/>
      <c r="B3396" s="29"/>
    </row>
    <row r="3397" customFormat="false" ht="12.75" hidden="false" customHeight="false" outlineLevel="0" collapsed="false">
      <c r="A3397" s="29"/>
      <c r="B3397" s="29"/>
    </row>
    <row r="3398" customFormat="false" ht="12.75" hidden="false" customHeight="false" outlineLevel="0" collapsed="false">
      <c r="A3398" s="29"/>
      <c r="B3398" s="29"/>
    </row>
    <row r="3399" customFormat="false" ht="12.75" hidden="false" customHeight="false" outlineLevel="0" collapsed="false">
      <c r="A3399" s="29"/>
      <c r="B3399" s="29"/>
    </row>
    <row r="3400" customFormat="false" ht="12.75" hidden="false" customHeight="false" outlineLevel="0" collapsed="false">
      <c r="A3400" s="29"/>
      <c r="B3400" s="29"/>
    </row>
    <row r="3401" customFormat="false" ht="12.75" hidden="false" customHeight="false" outlineLevel="0" collapsed="false">
      <c r="A3401" s="29"/>
      <c r="B3401" s="29"/>
    </row>
    <row r="3402" customFormat="false" ht="12.75" hidden="false" customHeight="false" outlineLevel="0" collapsed="false">
      <c r="A3402" s="29"/>
      <c r="B3402" s="29"/>
    </row>
    <row r="3403" customFormat="false" ht="12.75" hidden="false" customHeight="false" outlineLevel="0" collapsed="false">
      <c r="A3403" s="29"/>
      <c r="B3403" s="29"/>
    </row>
    <row r="3404" customFormat="false" ht="12.75" hidden="false" customHeight="false" outlineLevel="0" collapsed="false">
      <c r="A3404" s="29"/>
      <c r="B3404" s="29"/>
    </row>
    <row r="3405" customFormat="false" ht="12.75" hidden="false" customHeight="false" outlineLevel="0" collapsed="false">
      <c r="A3405" s="29"/>
      <c r="B3405" s="29"/>
    </row>
    <row r="3406" customFormat="false" ht="12.75" hidden="false" customHeight="false" outlineLevel="0" collapsed="false">
      <c r="A3406" s="29"/>
      <c r="B3406" s="29"/>
    </row>
    <row r="3407" customFormat="false" ht="12.75" hidden="false" customHeight="false" outlineLevel="0" collapsed="false">
      <c r="A3407" s="29"/>
      <c r="B3407" s="29"/>
    </row>
    <row r="3408" customFormat="false" ht="12.75" hidden="false" customHeight="false" outlineLevel="0" collapsed="false">
      <c r="A3408" s="29"/>
      <c r="B3408" s="29"/>
    </row>
    <row r="3409" customFormat="false" ht="12.75" hidden="false" customHeight="false" outlineLevel="0" collapsed="false">
      <c r="A3409" s="29"/>
      <c r="B3409" s="29"/>
    </row>
    <row r="3410" customFormat="false" ht="12.75" hidden="false" customHeight="false" outlineLevel="0" collapsed="false">
      <c r="A3410" s="29"/>
      <c r="B3410" s="29"/>
    </row>
    <row r="3411" customFormat="false" ht="12.75" hidden="false" customHeight="false" outlineLevel="0" collapsed="false">
      <c r="A3411" s="29"/>
      <c r="B3411" s="29"/>
    </row>
    <row r="3412" customFormat="false" ht="12.75" hidden="false" customHeight="false" outlineLevel="0" collapsed="false">
      <c r="A3412" s="29"/>
      <c r="B3412" s="29"/>
    </row>
    <row r="3413" customFormat="false" ht="12.75" hidden="false" customHeight="false" outlineLevel="0" collapsed="false">
      <c r="A3413" s="29"/>
      <c r="B3413" s="29"/>
    </row>
    <row r="3414" customFormat="false" ht="12.75" hidden="false" customHeight="false" outlineLevel="0" collapsed="false">
      <c r="A3414" s="29"/>
      <c r="B3414" s="29"/>
    </row>
    <row r="3415" customFormat="false" ht="12.75" hidden="false" customHeight="false" outlineLevel="0" collapsed="false">
      <c r="A3415" s="29"/>
      <c r="B3415" s="29"/>
    </row>
    <row r="3416" customFormat="false" ht="12.75" hidden="false" customHeight="false" outlineLevel="0" collapsed="false">
      <c r="A3416" s="29"/>
      <c r="B3416" s="29"/>
    </row>
    <row r="3417" customFormat="false" ht="12.75" hidden="false" customHeight="false" outlineLevel="0" collapsed="false">
      <c r="A3417" s="29"/>
      <c r="B3417" s="29"/>
    </row>
    <row r="3418" customFormat="false" ht="12.75" hidden="false" customHeight="false" outlineLevel="0" collapsed="false">
      <c r="A3418" s="29"/>
      <c r="B3418" s="29"/>
    </row>
    <row r="3419" customFormat="false" ht="12.75" hidden="false" customHeight="false" outlineLevel="0" collapsed="false">
      <c r="A3419" s="29"/>
      <c r="B3419" s="29"/>
    </row>
    <row r="3420" customFormat="false" ht="12.75" hidden="false" customHeight="false" outlineLevel="0" collapsed="false">
      <c r="A3420" s="29"/>
      <c r="B3420" s="29"/>
    </row>
    <row r="3421" customFormat="false" ht="12.75" hidden="false" customHeight="false" outlineLevel="0" collapsed="false">
      <c r="A3421" s="29"/>
      <c r="B3421" s="29"/>
    </row>
    <row r="3422" customFormat="false" ht="12.75" hidden="false" customHeight="false" outlineLevel="0" collapsed="false">
      <c r="A3422" s="29"/>
      <c r="B3422" s="29"/>
    </row>
    <row r="3423" customFormat="false" ht="12.75" hidden="false" customHeight="false" outlineLevel="0" collapsed="false">
      <c r="A3423" s="29"/>
      <c r="B3423" s="29"/>
    </row>
    <row r="3424" customFormat="false" ht="12.75" hidden="false" customHeight="false" outlineLevel="0" collapsed="false">
      <c r="A3424" s="29"/>
      <c r="B3424" s="29"/>
    </row>
    <row r="3425" customFormat="false" ht="12.75" hidden="false" customHeight="false" outlineLevel="0" collapsed="false">
      <c r="A3425" s="29"/>
      <c r="B3425" s="29"/>
    </row>
    <row r="3426" customFormat="false" ht="12.75" hidden="false" customHeight="false" outlineLevel="0" collapsed="false">
      <c r="A3426" s="29"/>
      <c r="B3426" s="29"/>
    </row>
    <row r="3427" customFormat="false" ht="12.75" hidden="false" customHeight="false" outlineLevel="0" collapsed="false">
      <c r="A3427" s="29"/>
      <c r="B3427" s="29"/>
    </row>
    <row r="3428" customFormat="false" ht="12.75" hidden="false" customHeight="false" outlineLevel="0" collapsed="false">
      <c r="A3428" s="29"/>
      <c r="B3428" s="29"/>
    </row>
    <row r="3429" customFormat="false" ht="12.75" hidden="false" customHeight="false" outlineLevel="0" collapsed="false">
      <c r="A3429" s="29"/>
      <c r="B3429" s="29"/>
    </row>
    <row r="3430" customFormat="false" ht="12.75" hidden="false" customHeight="false" outlineLevel="0" collapsed="false">
      <c r="A3430" s="29"/>
      <c r="B3430" s="29"/>
    </row>
    <row r="3431" customFormat="false" ht="12.75" hidden="false" customHeight="false" outlineLevel="0" collapsed="false">
      <c r="A3431" s="29"/>
      <c r="B3431" s="29"/>
    </row>
    <row r="3432" customFormat="false" ht="12.75" hidden="false" customHeight="false" outlineLevel="0" collapsed="false">
      <c r="A3432" s="29"/>
      <c r="B3432" s="29"/>
    </row>
    <row r="3433" customFormat="false" ht="12.75" hidden="false" customHeight="false" outlineLevel="0" collapsed="false">
      <c r="A3433" s="29"/>
      <c r="B3433" s="29"/>
    </row>
    <row r="3434" customFormat="false" ht="12.75" hidden="false" customHeight="false" outlineLevel="0" collapsed="false">
      <c r="A3434" s="29"/>
      <c r="B3434" s="29"/>
    </row>
    <row r="3435" customFormat="false" ht="12.75" hidden="false" customHeight="false" outlineLevel="0" collapsed="false">
      <c r="A3435" s="29"/>
      <c r="B3435" s="29"/>
    </row>
    <row r="3436" customFormat="false" ht="12.75" hidden="false" customHeight="false" outlineLevel="0" collapsed="false">
      <c r="A3436" s="29"/>
      <c r="B3436" s="29"/>
    </row>
    <row r="3437" customFormat="false" ht="12.75" hidden="false" customHeight="false" outlineLevel="0" collapsed="false">
      <c r="A3437" s="29"/>
      <c r="B3437" s="29"/>
    </row>
    <row r="3438" customFormat="false" ht="12.75" hidden="false" customHeight="false" outlineLevel="0" collapsed="false">
      <c r="A3438" s="29"/>
      <c r="B3438" s="29"/>
    </row>
    <row r="3439" customFormat="false" ht="12.75" hidden="false" customHeight="false" outlineLevel="0" collapsed="false">
      <c r="A3439" s="29"/>
      <c r="B3439" s="29"/>
    </row>
    <row r="3440" customFormat="false" ht="12.75" hidden="false" customHeight="false" outlineLevel="0" collapsed="false">
      <c r="A3440" s="29"/>
      <c r="B3440" s="29"/>
    </row>
    <row r="3441" customFormat="false" ht="12.75" hidden="false" customHeight="false" outlineLevel="0" collapsed="false">
      <c r="A3441" s="29"/>
      <c r="B3441" s="29"/>
    </row>
    <row r="3442" customFormat="false" ht="12.75" hidden="false" customHeight="false" outlineLevel="0" collapsed="false">
      <c r="A3442" s="29"/>
      <c r="B3442" s="29"/>
    </row>
    <row r="3443" customFormat="false" ht="12.75" hidden="false" customHeight="false" outlineLevel="0" collapsed="false">
      <c r="A3443" s="29"/>
      <c r="B3443" s="29"/>
    </row>
    <row r="3444" customFormat="false" ht="12.75" hidden="false" customHeight="false" outlineLevel="0" collapsed="false">
      <c r="A3444" s="29"/>
      <c r="B3444" s="29"/>
    </row>
    <row r="3445" customFormat="false" ht="12.75" hidden="false" customHeight="false" outlineLevel="0" collapsed="false">
      <c r="A3445" s="29"/>
      <c r="B3445" s="29"/>
    </row>
    <row r="3446" customFormat="false" ht="12.75" hidden="false" customHeight="false" outlineLevel="0" collapsed="false">
      <c r="A3446" s="29"/>
      <c r="B3446" s="29"/>
    </row>
    <row r="3447" customFormat="false" ht="12.75" hidden="false" customHeight="false" outlineLevel="0" collapsed="false">
      <c r="A3447" s="29"/>
      <c r="B3447" s="29"/>
    </row>
    <row r="3448" customFormat="false" ht="12.75" hidden="false" customHeight="false" outlineLevel="0" collapsed="false">
      <c r="A3448" s="29"/>
      <c r="B3448" s="29"/>
    </row>
    <row r="3449" customFormat="false" ht="12.75" hidden="false" customHeight="false" outlineLevel="0" collapsed="false">
      <c r="A3449" s="29"/>
      <c r="B3449" s="29"/>
    </row>
    <row r="3450" customFormat="false" ht="12.75" hidden="false" customHeight="false" outlineLevel="0" collapsed="false">
      <c r="A3450" s="29"/>
      <c r="B3450" s="29"/>
    </row>
    <row r="3451" customFormat="false" ht="12.75" hidden="false" customHeight="false" outlineLevel="0" collapsed="false">
      <c r="A3451" s="29"/>
      <c r="B3451" s="29"/>
    </row>
    <row r="3452" customFormat="false" ht="12.75" hidden="false" customHeight="false" outlineLevel="0" collapsed="false">
      <c r="A3452" s="29"/>
      <c r="B3452" s="29"/>
    </row>
    <row r="3453" customFormat="false" ht="12.75" hidden="false" customHeight="false" outlineLevel="0" collapsed="false">
      <c r="A3453" s="29"/>
      <c r="B3453" s="29"/>
    </row>
    <row r="3454" customFormat="false" ht="12.75" hidden="false" customHeight="false" outlineLevel="0" collapsed="false">
      <c r="A3454" s="29"/>
      <c r="B3454" s="29"/>
    </row>
    <row r="3455" customFormat="false" ht="12.75" hidden="false" customHeight="false" outlineLevel="0" collapsed="false">
      <c r="A3455" s="29"/>
      <c r="B3455" s="29"/>
    </row>
    <row r="3456" customFormat="false" ht="12.75" hidden="false" customHeight="false" outlineLevel="0" collapsed="false">
      <c r="A3456" s="29"/>
      <c r="B3456" s="29"/>
    </row>
    <row r="3457" customFormat="false" ht="12.75" hidden="false" customHeight="false" outlineLevel="0" collapsed="false">
      <c r="A3457" s="29"/>
      <c r="B3457" s="29"/>
    </row>
    <row r="3458" customFormat="false" ht="12.75" hidden="false" customHeight="false" outlineLevel="0" collapsed="false">
      <c r="A3458" s="29"/>
      <c r="B3458" s="29"/>
    </row>
    <row r="3459" customFormat="false" ht="12.75" hidden="false" customHeight="false" outlineLevel="0" collapsed="false">
      <c r="A3459" s="29"/>
      <c r="B3459" s="29"/>
    </row>
    <row r="3460" customFormat="false" ht="12.75" hidden="false" customHeight="false" outlineLevel="0" collapsed="false">
      <c r="A3460" s="29"/>
      <c r="B3460" s="29"/>
    </row>
    <row r="3461" customFormat="false" ht="12.75" hidden="false" customHeight="false" outlineLevel="0" collapsed="false">
      <c r="A3461" s="29"/>
      <c r="B3461" s="29"/>
    </row>
    <row r="3462" customFormat="false" ht="12.75" hidden="false" customHeight="false" outlineLevel="0" collapsed="false">
      <c r="A3462" s="29"/>
      <c r="B3462" s="29"/>
    </row>
    <row r="3463" customFormat="false" ht="12.75" hidden="false" customHeight="false" outlineLevel="0" collapsed="false">
      <c r="A3463" s="29"/>
      <c r="B3463" s="29"/>
    </row>
    <row r="3464" customFormat="false" ht="12.75" hidden="false" customHeight="false" outlineLevel="0" collapsed="false">
      <c r="A3464" s="29"/>
      <c r="B3464" s="29"/>
    </row>
    <row r="3465" customFormat="false" ht="12.75" hidden="false" customHeight="false" outlineLevel="0" collapsed="false">
      <c r="A3465" s="29"/>
      <c r="B3465" s="29"/>
    </row>
    <row r="3466" customFormat="false" ht="12.75" hidden="false" customHeight="false" outlineLevel="0" collapsed="false">
      <c r="A3466" s="29"/>
      <c r="B3466" s="29"/>
    </row>
    <row r="3467" customFormat="false" ht="12.75" hidden="false" customHeight="false" outlineLevel="0" collapsed="false">
      <c r="A3467" s="29"/>
      <c r="B3467" s="29"/>
    </row>
    <row r="3468" customFormat="false" ht="12.75" hidden="false" customHeight="false" outlineLevel="0" collapsed="false">
      <c r="A3468" s="29"/>
      <c r="B3468" s="29"/>
    </row>
    <row r="3469" customFormat="false" ht="12.75" hidden="false" customHeight="false" outlineLevel="0" collapsed="false">
      <c r="A3469" s="29"/>
      <c r="B3469" s="29"/>
    </row>
    <row r="3470" customFormat="false" ht="12.75" hidden="false" customHeight="false" outlineLevel="0" collapsed="false">
      <c r="A3470" s="29"/>
      <c r="B3470" s="29"/>
    </row>
    <row r="3471" customFormat="false" ht="12.75" hidden="false" customHeight="false" outlineLevel="0" collapsed="false">
      <c r="A3471" s="29"/>
      <c r="B3471" s="29"/>
    </row>
    <row r="3472" customFormat="false" ht="12.75" hidden="false" customHeight="false" outlineLevel="0" collapsed="false">
      <c r="A3472" s="29"/>
      <c r="B3472" s="29"/>
    </row>
    <row r="3473" customFormat="false" ht="12.75" hidden="false" customHeight="false" outlineLevel="0" collapsed="false">
      <c r="A3473" s="29"/>
      <c r="B3473" s="29"/>
    </row>
    <row r="3474" customFormat="false" ht="12.75" hidden="false" customHeight="false" outlineLevel="0" collapsed="false">
      <c r="A3474" s="29"/>
      <c r="B3474" s="29"/>
    </row>
    <row r="3475" customFormat="false" ht="12.75" hidden="false" customHeight="false" outlineLevel="0" collapsed="false">
      <c r="A3475" s="29"/>
      <c r="B3475" s="29"/>
    </row>
    <row r="3476" customFormat="false" ht="12.75" hidden="false" customHeight="false" outlineLevel="0" collapsed="false">
      <c r="A3476" s="29"/>
      <c r="B3476" s="29"/>
    </row>
    <row r="3477" customFormat="false" ht="12.75" hidden="false" customHeight="false" outlineLevel="0" collapsed="false">
      <c r="A3477" s="29"/>
      <c r="B3477" s="29"/>
    </row>
    <row r="3478" customFormat="false" ht="12.75" hidden="false" customHeight="false" outlineLevel="0" collapsed="false">
      <c r="A3478" s="29"/>
      <c r="B3478" s="29"/>
    </row>
    <row r="3479" customFormat="false" ht="12.75" hidden="false" customHeight="false" outlineLevel="0" collapsed="false">
      <c r="A3479" s="29"/>
      <c r="B3479" s="29"/>
    </row>
    <row r="3480" customFormat="false" ht="12.75" hidden="false" customHeight="false" outlineLevel="0" collapsed="false">
      <c r="A3480" s="29"/>
      <c r="B3480" s="29"/>
    </row>
    <row r="3481" customFormat="false" ht="12.75" hidden="false" customHeight="false" outlineLevel="0" collapsed="false">
      <c r="A3481" s="29"/>
      <c r="B3481" s="29"/>
    </row>
    <row r="3482" customFormat="false" ht="12.75" hidden="false" customHeight="false" outlineLevel="0" collapsed="false">
      <c r="A3482" s="29"/>
      <c r="B3482" s="29"/>
    </row>
    <row r="3483" customFormat="false" ht="12.75" hidden="false" customHeight="false" outlineLevel="0" collapsed="false">
      <c r="A3483" s="29"/>
      <c r="B3483" s="29"/>
    </row>
    <row r="3484" customFormat="false" ht="12.75" hidden="false" customHeight="false" outlineLevel="0" collapsed="false">
      <c r="A3484" s="29"/>
      <c r="B3484" s="29"/>
    </row>
    <row r="3485" customFormat="false" ht="12.75" hidden="false" customHeight="false" outlineLevel="0" collapsed="false">
      <c r="A3485" s="29"/>
      <c r="B3485" s="29"/>
    </row>
    <row r="3486" customFormat="false" ht="12.75" hidden="false" customHeight="false" outlineLevel="0" collapsed="false">
      <c r="A3486" s="29"/>
      <c r="B3486" s="29"/>
    </row>
    <row r="3487" customFormat="false" ht="12.75" hidden="false" customHeight="false" outlineLevel="0" collapsed="false">
      <c r="A3487" s="29"/>
      <c r="B3487" s="29"/>
    </row>
    <row r="3488" customFormat="false" ht="12.75" hidden="false" customHeight="false" outlineLevel="0" collapsed="false">
      <c r="A3488" s="29"/>
      <c r="B3488" s="29"/>
    </row>
    <row r="3489" customFormat="false" ht="12.75" hidden="false" customHeight="false" outlineLevel="0" collapsed="false">
      <c r="A3489" s="29"/>
      <c r="B3489" s="29"/>
    </row>
    <row r="3490" customFormat="false" ht="12.75" hidden="false" customHeight="false" outlineLevel="0" collapsed="false">
      <c r="A3490" s="29"/>
      <c r="B3490" s="29"/>
    </row>
    <row r="3491" customFormat="false" ht="12.75" hidden="false" customHeight="false" outlineLevel="0" collapsed="false">
      <c r="A3491" s="29"/>
      <c r="B3491" s="29"/>
    </row>
    <row r="3492" customFormat="false" ht="12.75" hidden="false" customHeight="false" outlineLevel="0" collapsed="false">
      <c r="A3492" s="29"/>
      <c r="B3492" s="29"/>
    </row>
    <row r="3493" customFormat="false" ht="12.75" hidden="false" customHeight="false" outlineLevel="0" collapsed="false">
      <c r="A3493" s="29"/>
      <c r="B3493" s="29"/>
    </row>
    <row r="3494" customFormat="false" ht="12.75" hidden="false" customHeight="false" outlineLevel="0" collapsed="false">
      <c r="A3494" s="29"/>
      <c r="B3494" s="29"/>
    </row>
    <row r="3495" customFormat="false" ht="12.75" hidden="false" customHeight="false" outlineLevel="0" collapsed="false">
      <c r="A3495" s="29"/>
      <c r="B3495" s="29"/>
    </row>
    <row r="3496" customFormat="false" ht="12.75" hidden="false" customHeight="false" outlineLevel="0" collapsed="false">
      <c r="A3496" s="29"/>
      <c r="B3496" s="29"/>
    </row>
    <row r="3497" customFormat="false" ht="12.75" hidden="false" customHeight="false" outlineLevel="0" collapsed="false">
      <c r="A3497" s="29"/>
      <c r="B3497" s="29"/>
    </row>
    <row r="3498" customFormat="false" ht="12.75" hidden="false" customHeight="false" outlineLevel="0" collapsed="false">
      <c r="A3498" s="29"/>
      <c r="B3498" s="29"/>
    </row>
    <row r="3499" customFormat="false" ht="12.75" hidden="false" customHeight="false" outlineLevel="0" collapsed="false">
      <c r="A3499" s="29"/>
      <c r="B3499" s="29"/>
    </row>
    <row r="3500" customFormat="false" ht="12.75" hidden="false" customHeight="false" outlineLevel="0" collapsed="false">
      <c r="A3500" s="29"/>
      <c r="B3500" s="29"/>
    </row>
    <row r="3501" customFormat="false" ht="12.75" hidden="false" customHeight="false" outlineLevel="0" collapsed="false">
      <c r="A3501" s="29"/>
      <c r="B3501" s="29"/>
    </row>
    <row r="3502" customFormat="false" ht="12.75" hidden="false" customHeight="false" outlineLevel="0" collapsed="false">
      <c r="A3502" s="29"/>
      <c r="B3502" s="29"/>
    </row>
    <row r="3503" customFormat="false" ht="12.75" hidden="false" customHeight="false" outlineLevel="0" collapsed="false">
      <c r="A3503" s="29"/>
      <c r="B3503" s="29"/>
    </row>
    <row r="3504" customFormat="false" ht="12.75" hidden="false" customHeight="false" outlineLevel="0" collapsed="false">
      <c r="A3504" s="29"/>
      <c r="B3504" s="29"/>
    </row>
    <row r="3505" customFormat="false" ht="12.75" hidden="false" customHeight="false" outlineLevel="0" collapsed="false">
      <c r="A3505" s="29"/>
      <c r="B3505" s="29"/>
    </row>
    <row r="3506" customFormat="false" ht="12.75" hidden="false" customHeight="false" outlineLevel="0" collapsed="false">
      <c r="A3506" s="29"/>
      <c r="B3506" s="29"/>
    </row>
    <row r="3507" customFormat="false" ht="12.75" hidden="false" customHeight="false" outlineLevel="0" collapsed="false">
      <c r="A3507" s="29"/>
      <c r="B3507" s="29"/>
    </row>
    <row r="3508" customFormat="false" ht="12.75" hidden="false" customHeight="false" outlineLevel="0" collapsed="false">
      <c r="A3508" s="29"/>
      <c r="B3508" s="29"/>
    </row>
    <row r="3509" customFormat="false" ht="12.75" hidden="false" customHeight="false" outlineLevel="0" collapsed="false">
      <c r="A3509" s="29"/>
      <c r="B3509" s="29"/>
    </row>
    <row r="3510" customFormat="false" ht="12.75" hidden="false" customHeight="false" outlineLevel="0" collapsed="false">
      <c r="A3510" s="29"/>
      <c r="B3510" s="29"/>
    </row>
    <row r="3511" customFormat="false" ht="12.75" hidden="false" customHeight="false" outlineLevel="0" collapsed="false">
      <c r="A3511" s="29"/>
      <c r="B3511" s="29"/>
    </row>
    <row r="3512" customFormat="false" ht="12.75" hidden="false" customHeight="false" outlineLevel="0" collapsed="false">
      <c r="A3512" s="29"/>
      <c r="B3512" s="29"/>
    </row>
    <row r="3513" customFormat="false" ht="12.75" hidden="false" customHeight="false" outlineLevel="0" collapsed="false">
      <c r="A3513" s="29"/>
      <c r="B3513" s="29"/>
    </row>
    <row r="3514" customFormat="false" ht="12.75" hidden="false" customHeight="false" outlineLevel="0" collapsed="false">
      <c r="A3514" s="29"/>
      <c r="B3514" s="29"/>
    </row>
    <row r="3515" customFormat="false" ht="12.75" hidden="false" customHeight="false" outlineLevel="0" collapsed="false">
      <c r="A3515" s="29"/>
      <c r="B3515" s="29"/>
    </row>
    <row r="3516" customFormat="false" ht="12.75" hidden="false" customHeight="false" outlineLevel="0" collapsed="false">
      <c r="A3516" s="29"/>
      <c r="B3516" s="29"/>
    </row>
    <row r="3517" customFormat="false" ht="12.75" hidden="false" customHeight="false" outlineLevel="0" collapsed="false">
      <c r="A3517" s="29"/>
      <c r="B3517" s="29"/>
    </row>
    <row r="3518" customFormat="false" ht="12.75" hidden="false" customHeight="false" outlineLevel="0" collapsed="false">
      <c r="A3518" s="29"/>
      <c r="B3518" s="29"/>
    </row>
    <row r="3519" customFormat="false" ht="12.75" hidden="false" customHeight="false" outlineLevel="0" collapsed="false">
      <c r="A3519" s="29"/>
      <c r="B3519" s="29"/>
    </row>
    <row r="3520" customFormat="false" ht="12.75" hidden="false" customHeight="false" outlineLevel="0" collapsed="false">
      <c r="A3520" s="29"/>
      <c r="B3520" s="29"/>
    </row>
    <row r="3521" customFormat="false" ht="12.75" hidden="false" customHeight="false" outlineLevel="0" collapsed="false">
      <c r="A3521" s="29"/>
      <c r="B3521" s="29"/>
    </row>
    <row r="3522" customFormat="false" ht="12.75" hidden="false" customHeight="false" outlineLevel="0" collapsed="false">
      <c r="A3522" s="29"/>
      <c r="B3522" s="29"/>
    </row>
    <row r="3523" customFormat="false" ht="12.75" hidden="false" customHeight="false" outlineLevel="0" collapsed="false">
      <c r="A3523" s="29"/>
      <c r="B3523" s="29"/>
    </row>
    <row r="3524" customFormat="false" ht="12.75" hidden="false" customHeight="false" outlineLevel="0" collapsed="false">
      <c r="A3524" s="29"/>
      <c r="B3524" s="29"/>
    </row>
    <row r="3525" customFormat="false" ht="12.75" hidden="false" customHeight="false" outlineLevel="0" collapsed="false">
      <c r="A3525" s="29"/>
      <c r="B3525" s="29"/>
    </row>
    <row r="3526" customFormat="false" ht="12.75" hidden="false" customHeight="false" outlineLevel="0" collapsed="false">
      <c r="A3526" s="29"/>
      <c r="B3526" s="29"/>
    </row>
    <row r="3527" customFormat="false" ht="12.75" hidden="false" customHeight="false" outlineLevel="0" collapsed="false">
      <c r="A3527" s="29"/>
      <c r="B3527" s="29"/>
    </row>
    <row r="3528" customFormat="false" ht="12.75" hidden="false" customHeight="false" outlineLevel="0" collapsed="false">
      <c r="A3528" s="29"/>
      <c r="B3528" s="29"/>
    </row>
    <row r="3529" customFormat="false" ht="12.75" hidden="false" customHeight="false" outlineLevel="0" collapsed="false">
      <c r="A3529" s="29"/>
      <c r="B3529" s="29"/>
    </row>
    <row r="3530" customFormat="false" ht="12.75" hidden="false" customHeight="false" outlineLevel="0" collapsed="false">
      <c r="A3530" s="29"/>
      <c r="B3530" s="29"/>
    </row>
    <row r="3531" customFormat="false" ht="12.75" hidden="false" customHeight="false" outlineLevel="0" collapsed="false">
      <c r="A3531" s="29"/>
      <c r="B3531" s="29"/>
    </row>
    <row r="3532" customFormat="false" ht="12.75" hidden="false" customHeight="false" outlineLevel="0" collapsed="false">
      <c r="A3532" s="29"/>
      <c r="B3532" s="29"/>
    </row>
    <row r="3533" customFormat="false" ht="12.75" hidden="false" customHeight="false" outlineLevel="0" collapsed="false">
      <c r="A3533" s="29"/>
      <c r="B3533" s="29"/>
    </row>
    <row r="3534" customFormat="false" ht="12.75" hidden="false" customHeight="false" outlineLevel="0" collapsed="false">
      <c r="A3534" s="29"/>
      <c r="B3534" s="29"/>
    </row>
    <row r="3535" customFormat="false" ht="12.75" hidden="false" customHeight="false" outlineLevel="0" collapsed="false">
      <c r="A3535" s="29"/>
      <c r="B3535" s="29"/>
    </row>
    <row r="3536" customFormat="false" ht="12.75" hidden="false" customHeight="false" outlineLevel="0" collapsed="false">
      <c r="A3536" s="29"/>
      <c r="B3536" s="29"/>
    </row>
    <row r="3537" customFormat="false" ht="12.75" hidden="false" customHeight="false" outlineLevel="0" collapsed="false">
      <c r="A3537" s="29"/>
      <c r="B3537" s="29"/>
    </row>
    <row r="3538" customFormat="false" ht="12.75" hidden="false" customHeight="false" outlineLevel="0" collapsed="false">
      <c r="A3538" s="29"/>
      <c r="B3538" s="29"/>
    </row>
    <row r="3539" customFormat="false" ht="12.75" hidden="false" customHeight="false" outlineLevel="0" collapsed="false">
      <c r="A3539" s="29"/>
      <c r="B3539" s="29"/>
    </row>
    <row r="3540" customFormat="false" ht="12.75" hidden="false" customHeight="false" outlineLevel="0" collapsed="false">
      <c r="A3540" s="29"/>
      <c r="B3540" s="29"/>
    </row>
    <row r="3541" customFormat="false" ht="12.75" hidden="false" customHeight="false" outlineLevel="0" collapsed="false">
      <c r="A3541" s="29"/>
      <c r="B3541" s="29"/>
    </row>
    <row r="3542" customFormat="false" ht="12.75" hidden="false" customHeight="false" outlineLevel="0" collapsed="false">
      <c r="A3542" s="29"/>
      <c r="B3542" s="29"/>
    </row>
    <row r="3543" customFormat="false" ht="12.75" hidden="false" customHeight="false" outlineLevel="0" collapsed="false">
      <c r="A3543" s="29"/>
      <c r="B3543" s="29"/>
    </row>
    <row r="3544" customFormat="false" ht="12.75" hidden="false" customHeight="false" outlineLevel="0" collapsed="false">
      <c r="A3544" s="29"/>
      <c r="B3544" s="29"/>
    </row>
    <row r="3545" customFormat="false" ht="12.75" hidden="false" customHeight="false" outlineLevel="0" collapsed="false">
      <c r="A3545" s="29"/>
      <c r="B3545" s="29"/>
    </row>
    <row r="3546" customFormat="false" ht="12.75" hidden="false" customHeight="false" outlineLevel="0" collapsed="false">
      <c r="A3546" s="29"/>
      <c r="B3546" s="29"/>
    </row>
    <row r="3547" customFormat="false" ht="12.75" hidden="false" customHeight="false" outlineLevel="0" collapsed="false">
      <c r="A3547" s="29"/>
      <c r="B3547" s="29"/>
    </row>
    <row r="3548" customFormat="false" ht="12.75" hidden="false" customHeight="false" outlineLevel="0" collapsed="false">
      <c r="A3548" s="29"/>
      <c r="B3548" s="29"/>
    </row>
    <row r="3549" customFormat="false" ht="12.75" hidden="false" customHeight="false" outlineLevel="0" collapsed="false">
      <c r="A3549" s="29"/>
      <c r="B3549" s="29"/>
    </row>
    <row r="3550" customFormat="false" ht="12.75" hidden="false" customHeight="false" outlineLevel="0" collapsed="false">
      <c r="A3550" s="29"/>
      <c r="B3550" s="29"/>
    </row>
    <row r="3551" customFormat="false" ht="12.75" hidden="false" customHeight="false" outlineLevel="0" collapsed="false">
      <c r="A3551" s="29"/>
      <c r="B3551" s="29"/>
    </row>
    <row r="3552" customFormat="false" ht="12.75" hidden="false" customHeight="false" outlineLevel="0" collapsed="false">
      <c r="A3552" s="29"/>
      <c r="B3552" s="29"/>
    </row>
    <row r="3553" customFormat="false" ht="12.75" hidden="false" customHeight="false" outlineLevel="0" collapsed="false">
      <c r="A3553" s="29"/>
      <c r="B3553" s="29"/>
    </row>
    <row r="3554" customFormat="false" ht="12.75" hidden="false" customHeight="false" outlineLevel="0" collapsed="false">
      <c r="A3554" s="29"/>
      <c r="B3554" s="29"/>
    </row>
    <row r="3555" customFormat="false" ht="12.75" hidden="false" customHeight="false" outlineLevel="0" collapsed="false">
      <c r="A3555" s="29"/>
      <c r="B3555" s="29"/>
    </row>
    <row r="3556" customFormat="false" ht="12.75" hidden="false" customHeight="false" outlineLevel="0" collapsed="false">
      <c r="A3556" s="29"/>
      <c r="B3556" s="29"/>
    </row>
    <row r="3557" customFormat="false" ht="12.75" hidden="false" customHeight="false" outlineLevel="0" collapsed="false">
      <c r="A3557" s="29"/>
      <c r="B3557" s="29"/>
    </row>
    <row r="3558" customFormat="false" ht="12.75" hidden="false" customHeight="false" outlineLevel="0" collapsed="false">
      <c r="A3558" s="29"/>
      <c r="B3558" s="29"/>
    </row>
    <row r="3559" customFormat="false" ht="12.75" hidden="false" customHeight="false" outlineLevel="0" collapsed="false">
      <c r="A3559" s="29"/>
      <c r="B3559" s="29"/>
    </row>
    <row r="3560" customFormat="false" ht="12.75" hidden="false" customHeight="false" outlineLevel="0" collapsed="false">
      <c r="A3560" s="29"/>
      <c r="B3560" s="29"/>
    </row>
    <row r="3561" customFormat="false" ht="12.75" hidden="false" customHeight="false" outlineLevel="0" collapsed="false">
      <c r="A3561" s="29"/>
      <c r="B3561" s="29"/>
    </row>
    <row r="3562" customFormat="false" ht="12.75" hidden="false" customHeight="false" outlineLevel="0" collapsed="false">
      <c r="A3562" s="29"/>
      <c r="B3562" s="29"/>
    </row>
    <row r="3563" customFormat="false" ht="12.75" hidden="false" customHeight="false" outlineLevel="0" collapsed="false">
      <c r="A3563" s="29"/>
      <c r="B3563" s="29"/>
    </row>
    <row r="3564" customFormat="false" ht="12.75" hidden="false" customHeight="false" outlineLevel="0" collapsed="false">
      <c r="A3564" s="29"/>
      <c r="B3564" s="29"/>
    </row>
    <row r="3565" customFormat="false" ht="12.75" hidden="false" customHeight="false" outlineLevel="0" collapsed="false">
      <c r="A3565" s="29"/>
      <c r="B3565" s="29"/>
    </row>
    <row r="3566" customFormat="false" ht="12.75" hidden="false" customHeight="false" outlineLevel="0" collapsed="false">
      <c r="A3566" s="29"/>
      <c r="B3566" s="29"/>
    </row>
    <row r="3567" customFormat="false" ht="12.75" hidden="false" customHeight="false" outlineLevel="0" collapsed="false">
      <c r="A3567" s="29"/>
      <c r="B3567" s="29"/>
    </row>
    <row r="3568" customFormat="false" ht="12.75" hidden="false" customHeight="false" outlineLevel="0" collapsed="false">
      <c r="A3568" s="29"/>
      <c r="B3568" s="29"/>
    </row>
    <row r="3569" customFormat="false" ht="12.75" hidden="false" customHeight="false" outlineLevel="0" collapsed="false">
      <c r="A3569" s="29"/>
      <c r="B3569" s="29"/>
    </row>
    <row r="3570" customFormat="false" ht="12.75" hidden="false" customHeight="false" outlineLevel="0" collapsed="false">
      <c r="A3570" s="29"/>
      <c r="B3570" s="29"/>
    </row>
    <row r="3571" customFormat="false" ht="12.75" hidden="false" customHeight="false" outlineLevel="0" collapsed="false">
      <c r="A3571" s="29"/>
      <c r="B3571" s="29"/>
    </row>
    <row r="3572" customFormat="false" ht="12.75" hidden="false" customHeight="false" outlineLevel="0" collapsed="false">
      <c r="A3572" s="29"/>
      <c r="B3572" s="29"/>
    </row>
    <row r="3573" customFormat="false" ht="12.75" hidden="false" customHeight="false" outlineLevel="0" collapsed="false">
      <c r="A3573" s="29"/>
      <c r="B3573" s="29"/>
    </row>
    <row r="3574" customFormat="false" ht="12.75" hidden="false" customHeight="false" outlineLevel="0" collapsed="false">
      <c r="A3574" s="29"/>
      <c r="B3574" s="29"/>
    </row>
    <row r="3575" customFormat="false" ht="12.75" hidden="false" customHeight="false" outlineLevel="0" collapsed="false">
      <c r="A3575" s="29"/>
      <c r="B3575" s="29"/>
    </row>
    <row r="3576" customFormat="false" ht="12.75" hidden="false" customHeight="false" outlineLevel="0" collapsed="false">
      <c r="A3576" s="29"/>
      <c r="B3576" s="29"/>
    </row>
    <row r="3577" customFormat="false" ht="12.75" hidden="false" customHeight="false" outlineLevel="0" collapsed="false">
      <c r="A3577" s="29"/>
      <c r="B3577" s="29"/>
    </row>
    <row r="3578" customFormat="false" ht="12.75" hidden="false" customHeight="false" outlineLevel="0" collapsed="false">
      <c r="A3578" s="29"/>
      <c r="B3578" s="29"/>
    </row>
    <row r="3579" customFormat="false" ht="12.75" hidden="false" customHeight="false" outlineLevel="0" collapsed="false">
      <c r="A3579" s="29"/>
      <c r="B3579" s="29"/>
    </row>
    <row r="3580" customFormat="false" ht="12.75" hidden="false" customHeight="false" outlineLevel="0" collapsed="false">
      <c r="A3580" s="29"/>
      <c r="B3580" s="29"/>
    </row>
    <row r="3581" customFormat="false" ht="12.75" hidden="false" customHeight="false" outlineLevel="0" collapsed="false">
      <c r="A3581" s="29"/>
      <c r="B3581" s="29"/>
    </row>
    <row r="3582" customFormat="false" ht="12.75" hidden="false" customHeight="false" outlineLevel="0" collapsed="false">
      <c r="A3582" s="29"/>
      <c r="B3582" s="29"/>
    </row>
    <row r="3583" customFormat="false" ht="12.75" hidden="false" customHeight="false" outlineLevel="0" collapsed="false">
      <c r="A3583" s="29"/>
      <c r="B3583" s="29"/>
    </row>
    <row r="3584" customFormat="false" ht="12.75" hidden="false" customHeight="false" outlineLevel="0" collapsed="false">
      <c r="A3584" s="29"/>
      <c r="B3584" s="29"/>
    </row>
    <row r="3585" customFormat="false" ht="12.75" hidden="false" customHeight="false" outlineLevel="0" collapsed="false">
      <c r="A3585" s="29"/>
      <c r="B3585" s="29"/>
    </row>
    <row r="3586" customFormat="false" ht="12.75" hidden="false" customHeight="false" outlineLevel="0" collapsed="false">
      <c r="A3586" s="29"/>
      <c r="B3586" s="29"/>
    </row>
    <row r="3587" customFormat="false" ht="12.75" hidden="false" customHeight="false" outlineLevel="0" collapsed="false">
      <c r="A3587" s="29"/>
      <c r="B3587" s="29"/>
    </row>
    <row r="3588" customFormat="false" ht="12.75" hidden="false" customHeight="false" outlineLevel="0" collapsed="false">
      <c r="A3588" s="29"/>
      <c r="B3588" s="29"/>
    </row>
    <row r="3589" customFormat="false" ht="12.75" hidden="false" customHeight="false" outlineLevel="0" collapsed="false">
      <c r="A3589" s="29"/>
      <c r="B3589" s="29"/>
    </row>
    <row r="3590" customFormat="false" ht="12.75" hidden="false" customHeight="false" outlineLevel="0" collapsed="false">
      <c r="A3590" s="29"/>
      <c r="B3590" s="29"/>
    </row>
    <row r="3591" customFormat="false" ht="12.75" hidden="false" customHeight="false" outlineLevel="0" collapsed="false">
      <c r="A3591" s="29"/>
      <c r="B3591" s="29"/>
    </row>
    <row r="3592" customFormat="false" ht="12.75" hidden="false" customHeight="false" outlineLevel="0" collapsed="false">
      <c r="A3592" s="29"/>
      <c r="B3592" s="29"/>
    </row>
    <row r="3593" customFormat="false" ht="12.75" hidden="false" customHeight="false" outlineLevel="0" collapsed="false">
      <c r="A3593" s="29"/>
      <c r="B3593" s="29"/>
    </row>
    <row r="3594" customFormat="false" ht="12.75" hidden="false" customHeight="false" outlineLevel="0" collapsed="false">
      <c r="A3594" s="29"/>
      <c r="B3594" s="29"/>
    </row>
    <row r="3595" customFormat="false" ht="12.75" hidden="false" customHeight="false" outlineLevel="0" collapsed="false">
      <c r="A3595" s="29"/>
      <c r="B3595" s="29"/>
    </row>
    <row r="3596" customFormat="false" ht="12.75" hidden="false" customHeight="false" outlineLevel="0" collapsed="false">
      <c r="A3596" s="29"/>
      <c r="B3596" s="29"/>
    </row>
    <row r="3597" customFormat="false" ht="12.75" hidden="false" customHeight="false" outlineLevel="0" collapsed="false">
      <c r="A3597" s="29"/>
      <c r="B3597" s="29"/>
    </row>
    <row r="3598" customFormat="false" ht="12.75" hidden="false" customHeight="false" outlineLevel="0" collapsed="false">
      <c r="A3598" s="29"/>
      <c r="B3598" s="29"/>
    </row>
    <row r="3599" customFormat="false" ht="12.75" hidden="false" customHeight="false" outlineLevel="0" collapsed="false">
      <c r="A3599" s="29"/>
      <c r="B3599" s="29"/>
    </row>
    <row r="3600" customFormat="false" ht="12.75" hidden="false" customHeight="false" outlineLevel="0" collapsed="false">
      <c r="A3600" s="29"/>
      <c r="B3600" s="29"/>
    </row>
    <row r="3601" customFormat="false" ht="12.75" hidden="false" customHeight="false" outlineLevel="0" collapsed="false">
      <c r="A3601" s="29"/>
      <c r="B3601" s="29"/>
    </row>
    <row r="3602" customFormat="false" ht="12.75" hidden="false" customHeight="false" outlineLevel="0" collapsed="false">
      <c r="A3602" s="29"/>
      <c r="B3602" s="29"/>
    </row>
    <row r="3603" customFormat="false" ht="12.75" hidden="false" customHeight="false" outlineLevel="0" collapsed="false">
      <c r="A3603" s="29"/>
      <c r="B3603" s="29"/>
    </row>
    <row r="3604" customFormat="false" ht="12.75" hidden="false" customHeight="false" outlineLevel="0" collapsed="false">
      <c r="A3604" s="29"/>
      <c r="B3604" s="29"/>
    </row>
    <row r="3605" customFormat="false" ht="12.75" hidden="false" customHeight="false" outlineLevel="0" collapsed="false">
      <c r="A3605" s="29"/>
      <c r="B3605" s="29"/>
    </row>
    <row r="3606" customFormat="false" ht="12.75" hidden="false" customHeight="false" outlineLevel="0" collapsed="false">
      <c r="A3606" s="29"/>
      <c r="B3606" s="29"/>
    </row>
    <row r="3607" customFormat="false" ht="12.75" hidden="false" customHeight="false" outlineLevel="0" collapsed="false">
      <c r="A3607" s="29"/>
      <c r="B3607" s="29"/>
    </row>
    <row r="3608" customFormat="false" ht="12.75" hidden="false" customHeight="false" outlineLevel="0" collapsed="false">
      <c r="A3608" s="29"/>
      <c r="B3608" s="29"/>
    </row>
    <row r="3609" customFormat="false" ht="12.75" hidden="false" customHeight="false" outlineLevel="0" collapsed="false">
      <c r="A3609" s="29"/>
      <c r="B3609" s="29"/>
    </row>
    <row r="3610" customFormat="false" ht="12.75" hidden="false" customHeight="false" outlineLevel="0" collapsed="false">
      <c r="A3610" s="29"/>
      <c r="B3610" s="29"/>
    </row>
    <row r="3611" customFormat="false" ht="12.75" hidden="false" customHeight="false" outlineLevel="0" collapsed="false">
      <c r="A3611" s="29"/>
      <c r="B3611" s="29"/>
    </row>
    <row r="3612" customFormat="false" ht="12.75" hidden="false" customHeight="false" outlineLevel="0" collapsed="false">
      <c r="A3612" s="29"/>
      <c r="B3612" s="29"/>
    </row>
    <row r="3613" customFormat="false" ht="12.75" hidden="false" customHeight="false" outlineLevel="0" collapsed="false">
      <c r="A3613" s="29"/>
      <c r="B3613" s="29"/>
    </row>
    <row r="3614" customFormat="false" ht="12.75" hidden="false" customHeight="false" outlineLevel="0" collapsed="false">
      <c r="A3614" s="29"/>
      <c r="B3614" s="29"/>
    </row>
    <row r="3615" customFormat="false" ht="12.75" hidden="false" customHeight="false" outlineLevel="0" collapsed="false">
      <c r="A3615" s="29"/>
      <c r="B3615" s="29"/>
    </row>
    <row r="3616" customFormat="false" ht="12.75" hidden="false" customHeight="false" outlineLevel="0" collapsed="false">
      <c r="A3616" s="29"/>
      <c r="B3616" s="29"/>
    </row>
    <row r="3617" customFormat="false" ht="12.75" hidden="false" customHeight="false" outlineLevel="0" collapsed="false">
      <c r="A3617" s="29"/>
      <c r="B3617" s="29"/>
    </row>
    <row r="3618" customFormat="false" ht="12.75" hidden="false" customHeight="false" outlineLevel="0" collapsed="false">
      <c r="A3618" s="29"/>
      <c r="B3618" s="29"/>
    </row>
    <row r="3619" customFormat="false" ht="12.75" hidden="false" customHeight="false" outlineLevel="0" collapsed="false">
      <c r="A3619" s="29"/>
      <c r="B3619" s="29"/>
    </row>
    <row r="3620" customFormat="false" ht="12.75" hidden="false" customHeight="false" outlineLevel="0" collapsed="false">
      <c r="A3620" s="29"/>
      <c r="B3620" s="29"/>
    </row>
    <row r="3621" customFormat="false" ht="12.75" hidden="false" customHeight="false" outlineLevel="0" collapsed="false">
      <c r="A3621" s="29"/>
      <c r="B3621" s="29"/>
    </row>
    <row r="3622" customFormat="false" ht="12.75" hidden="false" customHeight="false" outlineLevel="0" collapsed="false">
      <c r="A3622" s="29"/>
      <c r="B3622" s="29"/>
    </row>
    <row r="3623" customFormat="false" ht="12.75" hidden="false" customHeight="false" outlineLevel="0" collapsed="false">
      <c r="A3623" s="29"/>
      <c r="B3623" s="29"/>
    </row>
    <row r="3624" customFormat="false" ht="12.75" hidden="false" customHeight="false" outlineLevel="0" collapsed="false">
      <c r="A3624" s="29"/>
      <c r="B3624" s="29"/>
    </row>
    <row r="3625" customFormat="false" ht="12.75" hidden="false" customHeight="false" outlineLevel="0" collapsed="false">
      <c r="A3625" s="29"/>
      <c r="B3625" s="29"/>
    </row>
    <row r="3626" customFormat="false" ht="12.75" hidden="false" customHeight="false" outlineLevel="0" collapsed="false">
      <c r="A3626" s="29"/>
      <c r="B3626" s="29"/>
    </row>
    <row r="3627" customFormat="false" ht="12.75" hidden="false" customHeight="false" outlineLevel="0" collapsed="false">
      <c r="A3627" s="29"/>
      <c r="B3627" s="29"/>
    </row>
    <row r="3628" customFormat="false" ht="12.75" hidden="false" customHeight="false" outlineLevel="0" collapsed="false">
      <c r="A3628" s="29"/>
      <c r="B3628" s="29"/>
    </row>
    <row r="3629" customFormat="false" ht="12.75" hidden="false" customHeight="false" outlineLevel="0" collapsed="false">
      <c r="A3629" s="29"/>
      <c r="B3629" s="29"/>
    </row>
    <row r="3630" customFormat="false" ht="12.75" hidden="false" customHeight="false" outlineLevel="0" collapsed="false">
      <c r="A3630" s="29"/>
      <c r="B3630" s="29"/>
    </row>
    <row r="3631" customFormat="false" ht="12.75" hidden="false" customHeight="false" outlineLevel="0" collapsed="false">
      <c r="A3631" s="29"/>
      <c r="B3631" s="29"/>
    </row>
    <row r="3632" customFormat="false" ht="12.75" hidden="false" customHeight="false" outlineLevel="0" collapsed="false">
      <c r="A3632" s="29"/>
      <c r="B3632" s="29"/>
    </row>
    <row r="3633" customFormat="false" ht="12.75" hidden="false" customHeight="false" outlineLevel="0" collapsed="false">
      <c r="A3633" s="29"/>
      <c r="B3633" s="29"/>
    </row>
    <row r="3634" customFormat="false" ht="12.75" hidden="false" customHeight="false" outlineLevel="0" collapsed="false">
      <c r="A3634" s="29"/>
      <c r="B3634" s="29"/>
    </row>
    <row r="3635" customFormat="false" ht="12.75" hidden="false" customHeight="false" outlineLevel="0" collapsed="false">
      <c r="A3635" s="29"/>
      <c r="B3635" s="29"/>
    </row>
    <row r="3636" customFormat="false" ht="12.75" hidden="false" customHeight="false" outlineLevel="0" collapsed="false">
      <c r="A3636" s="29"/>
      <c r="B3636" s="29"/>
    </row>
    <row r="3637" customFormat="false" ht="12.75" hidden="false" customHeight="false" outlineLevel="0" collapsed="false">
      <c r="A3637" s="29"/>
      <c r="B3637" s="29"/>
    </row>
    <row r="3638" customFormat="false" ht="12.75" hidden="false" customHeight="false" outlineLevel="0" collapsed="false">
      <c r="A3638" s="29"/>
      <c r="B3638" s="29"/>
    </row>
    <row r="3639" customFormat="false" ht="12.75" hidden="false" customHeight="false" outlineLevel="0" collapsed="false">
      <c r="A3639" s="29"/>
      <c r="B3639" s="29"/>
    </row>
    <row r="3640" customFormat="false" ht="12.75" hidden="false" customHeight="false" outlineLevel="0" collapsed="false">
      <c r="A3640" s="29"/>
      <c r="B3640" s="29"/>
    </row>
    <row r="3641" customFormat="false" ht="12.75" hidden="false" customHeight="false" outlineLevel="0" collapsed="false">
      <c r="A3641" s="29"/>
      <c r="B3641" s="29"/>
    </row>
    <row r="3642" customFormat="false" ht="12.75" hidden="false" customHeight="false" outlineLevel="0" collapsed="false">
      <c r="A3642" s="29"/>
      <c r="B3642" s="29"/>
    </row>
    <row r="3643" customFormat="false" ht="12.75" hidden="false" customHeight="false" outlineLevel="0" collapsed="false">
      <c r="A3643" s="29"/>
      <c r="B3643" s="29"/>
    </row>
    <row r="3644" customFormat="false" ht="12.75" hidden="false" customHeight="false" outlineLevel="0" collapsed="false">
      <c r="A3644" s="29"/>
      <c r="B3644" s="29"/>
    </row>
    <row r="3645" customFormat="false" ht="12.75" hidden="false" customHeight="false" outlineLevel="0" collapsed="false">
      <c r="A3645" s="29"/>
      <c r="B3645" s="29"/>
    </row>
    <row r="3646" customFormat="false" ht="12.75" hidden="false" customHeight="false" outlineLevel="0" collapsed="false">
      <c r="A3646" s="29"/>
      <c r="B3646" s="29"/>
    </row>
    <row r="3647" customFormat="false" ht="12.75" hidden="false" customHeight="false" outlineLevel="0" collapsed="false">
      <c r="A3647" s="29"/>
      <c r="B3647" s="29"/>
    </row>
    <row r="3648" customFormat="false" ht="12.75" hidden="false" customHeight="false" outlineLevel="0" collapsed="false">
      <c r="A3648" s="29"/>
      <c r="B3648" s="29"/>
    </row>
    <row r="3649" customFormat="false" ht="12.75" hidden="false" customHeight="false" outlineLevel="0" collapsed="false">
      <c r="A3649" s="29"/>
      <c r="B3649" s="29"/>
    </row>
    <row r="3650" customFormat="false" ht="12.75" hidden="false" customHeight="false" outlineLevel="0" collapsed="false">
      <c r="A3650" s="29"/>
      <c r="B3650" s="29"/>
    </row>
    <row r="3651" customFormat="false" ht="12.75" hidden="false" customHeight="false" outlineLevel="0" collapsed="false">
      <c r="A3651" s="29"/>
      <c r="B3651" s="29"/>
    </row>
    <row r="3652" customFormat="false" ht="12.75" hidden="false" customHeight="false" outlineLevel="0" collapsed="false">
      <c r="A3652" s="29"/>
      <c r="B3652" s="29"/>
    </row>
    <row r="3653" customFormat="false" ht="12.75" hidden="false" customHeight="false" outlineLevel="0" collapsed="false">
      <c r="A3653" s="29"/>
      <c r="B3653" s="29"/>
    </row>
    <row r="3654" customFormat="false" ht="12.75" hidden="false" customHeight="false" outlineLevel="0" collapsed="false">
      <c r="A3654" s="29"/>
      <c r="B3654" s="29"/>
    </row>
    <row r="3655" customFormat="false" ht="12.75" hidden="false" customHeight="false" outlineLevel="0" collapsed="false">
      <c r="A3655" s="29"/>
      <c r="B3655" s="29"/>
    </row>
    <row r="3656" customFormat="false" ht="12.75" hidden="false" customHeight="false" outlineLevel="0" collapsed="false">
      <c r="A3656" s="29"/>
      <c r="B3656" s="29"/>
    </row>
    <row r="3657" customFormat="false" ht="12.75" hidden="false" customHeight="false" outlineLevel="0" collapsed="false">
      <c r="A3657" s="29"/>
      <c r="B3657" s="29"/>
    </row>
    <row r="3658" customFormat="false" ht="12.75" hidden="false" customHeight="false" outlineLevel="0" collapsed="false">
      <c r="A3658" s="29"/>
      <c r="B3658" s="29"/>
    </row>
    <row r="3659" customFormat="false" ht="12.75" hidden="false" customHeight="false" outlineLevel="0" collapsed="false">
      <c r="A3659" s="29"/>
      <c r="B3659" s="29"/>
    </row>
    <row r="3660" customFormat="false" ht="12.75" hidden="false" customHeight="false" outlineLevel="0" collapsed="false">
      <c r="A3660" s="29"/>
      <c r="B3660" s="29"/>
    </row>
    <row r="3661" customFormat="false" ht="12.75" hidden="false" customHeight="false" outlineLevel="0" collapsed="false">
      <c r="A3661" s="29"/>
      <c r="B3661" s="29"/>
    </row>
    <row r="3662" customFormat="false" ht="12.75" hidden="false" customHeight="false" outlineLevel="0" collapsed="false">
      <c r="A3662" s="29"/>
      <c r="B3662" s="29"/>
    </row>
    <row r="3663" customFormat="false" ht="12.75" hidden="false" customHeight="false" outlineLevel="0" collapsed="false">
      <c r="A3663" s="29"/>
      <c r="B3663" s="29"/>
    </row>
    <row r="3664" customFormat="false" ht="12.75" hidden="false" customHeight="false" outlineLevel="0" collapsed="false">
      <c r="A3664" s="29"/>
      <c r="B3664" s="29"/>
    </row>
    <row r="3665" customFormat="false" ht="12.75" hidden="false" customHeight="false" outlineLevel="0" collapsed="false">
      <c r="A3665" s="29"/>
      <c r="B3665" s="29"/>
    </row>
    <row r="3666" customFormat="false" ht="12.75" hidden="false" customHeight="false" outlineLevel="0" collapsed="false">
      <c r="A3666" s="29"/>
      <c r="B3666" s="29"/>
    </row>
    <row r="3667" customFormat="false" ht="12.75" hidden="false" customHeight="false" outlineLevel="0" collapsed="false">
      <c r="A3667" s="29"/>
      <c r="B3667" s="29"/>
    </row>
    <row r="3668" customFormat="false" ht="12.75" hidden="false" customHeight="false" outlineLevel="0" collapsed="false">
      <c r="A3668" s="29"/>
      <c r="B3668" s="29"/>
    </row>
    <row r="3669" customFormat="false" ht="12.75" hidden="false" customHeight="false" outlineLevel="0" collapsed="false">
      <c r="A3669" s="29"/>
      <c r="B3669" s="29"/>
    </row>
    <row r="3670" customFormat="false" ht="12.75" hidden="false" customHeight="false" outlineLevel="0" collapsed="false">
      <c r="A3670" s="29"/>
      <c r="B3670" s="29"/>
    </row>
    <row r="3671" customFormat="false" ht="12.75" hidden="false" customHeight="false" outlineLevel="0" collapsed="false">
      <c r="A3671" s="29"/>
      <c r="B3671" s="29"/>
    </row>
    <row r="3672" customFormat="false" ht="12.75" hidden="false" customHeight="false" outlineLevel="0" collapsed="false">
      <c r="A3672" s="29"/>
      <c r="B3672" s="29"/>
    </row>
    <row r="3673" customFormat="false" ht="12.75" hidden="false" customHeight="false" outlineLevel="0" collapsed="false">
      <c r="A3673" s="29"/>
      <c r="B3673" s="29"/>
    </row>
    <row r="3674" customFormat="false" ht="12.75" hidden="false" customHeight="false" outlineLevel="0" collapsed="false">
      <c r="A3674" s="29"/>
      <c r="B3674" s="29"/>
    </row>
    <row r="3675" customFormat="false" ht="12.75" hidden="false" customHeight="false" outlineLevel="0" collapsed="false">
      <c r="A3675" s="29"/>
      <c r="B3675" s="29"/>
    </row>
    <row r="3676" customFormat="false" ht="12.75" hidden="false" customHeight="false" outlineLevel="0" collapsed="false">
      <c r="A3676" s="29"/>
      <c r="B3676" s="29"/>
    </row>
    <row r="3677" customFormat="false" ht="12.75" hidden="false" customHeight="false" outlineLevel="0" collapsed="false">
      <c r="A3677" s="29"/>
      <c r="B3677" s="29"/>
    </row>
    <row r="3678" customFormat="false" ht="12.75" hidden="false" customHeight="false" outlineLevel="0" collapsed="false">
      <c r="A3678" s="29"/>
      <c r="B3678" s="29"/>
    </row>
    <row r="3679" customFormat="false" ht="12.75" hidden="false" customHeight="false" outlineLevel="0" collapsed="false">
      <c r="A3679" s="29"/>
      <c r="B3679" s="29"/>
    </row>
    <row r="3680" customFormat="false" ht="12.75" hidden="false" customHeight="false" outlineLevel="0" collapsed="false">
      <c r="A3680" s="29"/>
      <c r="B3680" s="29"/>
    </row>
    <row r="3681" customFormat="false" ht="12.75" hidden="false" customHeight="false" outlineLevel="0" collapsed="false">
      <c r="A3681" s="29"/>
      <c r="B3681" s="29"/>
    </row>
    <row r="3682" customFormat="false" ht="12.75" hidden="false" customHeight="false" outlineLevel="0" collapsed="false">
      <c r="A3682" s="29"/>
      <c r="B3682" s="29"/>
    </row>
    <row r="3683" customFormat="false" ht="12.75" hidden="false" customHeight="false" outlineLevel="0" collapsed="false">
      <c r="A3683" s="29"/>
      <c r="B3683" s="29"/>
    </row>
    <row r="3684" customFormat="false" ht="12.75" hidden="false" customHeight="false" outlineLevel="0" collapsed="false">
      <c r="A3684" s="29"/>
      <c r="B3684" s="29"/>
    </row>
    <row r="3685" customFormat="false" ht="12.75" hidden="false" customHeight="false" outlineLevel="0" collapsed="false">
      <c r="A3685" s="29"/>
      <c r="B3685" s="29"/>
    </row>
    <row r="3686" customFormat="false" ht="12.75" hidden="false" customHeight="false" outlineLevel="0" collapsed="false">
      <c r="A3686" s="29"/>
      <c r="B3686" s="29"/>
    </row>
    <row r="3687" customFormat="false" ht="12.75" hidden="false" customHeight="false" outlineLevel="0" collapsed="false">
      <c r="A3687" s="29"/>
      <c r="B3687" s="29"/>
    </row>
    <row r="3688" customFormat="false" ht="12.75" hidden="false" customHeight="false" outlineLevel="0" collapsed="false">
      <c r="A3688" s="29"/>
      <c r="B3688" s="29"/>
    </row>
    <row r="3689" customFormat="false" ht="12.75" hidden="false" customHeight="false" outlineLevel="0" collapsed="false">
      <c r="A3689" s="29"/>
      <c r="B3689" s="29"/>
    </row>
    <row r="3690" customFormat="false" ht="12.75" hidden="false" customHeight="false" outlineLevel="0" collapsed="false">
      <c r="A3690" s="29"/>
      <c r="B3690" s="29"/>
    </row>
    <row r="3691" customFormat="false" ht="12.75" hidden="false" customHeight="false" outlineLevel="0" collapsed="false">
      <c r="A3691" s="29"/>
      <c r="B3691" s="29"/>
    </row>
    <row r="3692" customFormat="false" ht="12.75" hidden="false" customHeight="false" outlineLevel="0" collapsed="false">
      <c r="A3692" s="29"/>
      <c r="B3692" s="29"/>
    </row>
    <row r="3693" customFormat="false" ht="12.75" hidden="false" customHeight="false" outlineLevel="0" collapsed="false">
      <c r="A3693" s="29"/>
      <c r="B3693" s="29"/>
    </row>
    <row r="3694" customFormat="false" ht="12.75" hidden="false" customHeight="false" outlineLevel="0" collapsed="false">
      <c r="A3694" s="29"/>
      <c r="B3694" s="29"/>
    </row>
    <row r="3695" customFormat="false" ht="12.75" hidden="false" customHeight="false" outlineLevel="0" collapsed="false">
      <c r="A3695" s="29"/>
      <c r="B3695" s="29"/>
    </row>
    <row r="3696" customFormat="false" ht="12.75" hidden="false" customHeight="false" outlineLevel="0" collapsed="false">
      <c r="A3696" s="29"/>
      <c r="B3696" s="29"/>
    </row>
    <row r="3697" customFormat="false" ht="12.75" hidden="false" customHeight="false" outlineLevel="0" collapsed="false">
      <c r="A3697" s="29"/>
      <c r="B3697" s="29"/>
    </row>
    <row r="3698" customFormat="false" ht="12.75" hidden="false" customHeight="false" outlineLevel="0" collapsed="false">
      <c r="A3698" s="29"/>
      <c r="B3698" s="29"/>
    </row>
    <row r="3699" customFormat="false" ht="12.75" hidden="false" customHeight="false" outlineLevel="0" collapsed="false">
      <c r="A3699" s="29"/>
      <c r="B3699" s="29"/>
    </row>
    <row r="3700" customFormat="false" ht="12.75" hidden="false" customHeight="false" outlineLevel="0" collapsed="false">
      <c r="A3700" s="29"/>
      <c r="B3700" s="29"/>
    </row>
    <row r="3701" customFormat="false" ht="12.75" hidden="false" customHeight="false" outlineLevel="0" collapsed="false">
      <c r="A3701" s="29"/>
      <c r="B3701" s="29"/>
    </row>
    <row r="3702" customFormat="false" ht="12.75" hidden="false" customHeight="false" outlineLevel="0" collapsed="false">
      <c r="A3702" s="29"/>
      <c r="B3702" s="29"/>
    </row>
    <row r="3703" customFormat="false" ht="12.75" hidden="false" customHeight="false" outlineLevel="0" collapsed="false">
      <c r="A3703" s="29"/>
      <c r="B3703" s="29"/>
    </row>
    <row r="3704" customFormat="false" ht="12.75" hidden="false" customHeight="false" outlineLevel="0" collapsed="false">
      <c r="A3704" s="29"/>
      <c r="B3704" s="29"/>
    </row>
    <row r="3705" customFormat="false" ht="12.75" hidden="false" customHeight="false" outlineLevel="0" collapsed="false">
      <c r="A3705" s="29"/>
      <c r="B3705" s="29"/>
    </row>
    <row r="3706" customFormat="false" ht="12.75" hidden="false" customHeight="false" outlineLevel="0" collapsed="false">
      <c r="A3706" s="29"/>
      <c r="B3706" s="29"/>
    </row>
    <row r="3707" customFormat="false" ht="12.75" hidden="false" customHeight="false" outlineLevel="0" collapsed="false">
      <c r="A3707" s="29"/>
      <c r="B3707" s="29"/>
    </row>
    <row r="3708" customFormat="false" ht="12.75" hidden="false" customHeight="false" outlineLevel="0" collapsed="false">
      <c r="A3708" s="29"/>
      <c r="B3708" s="29"/>
    </row>
    <row r="3709" customFormat="false" ht="12.75" hidden="false" customHeight="false" outlineLevel="0" collapsed="false">
      <c r="A3709" s="29"/>
      <c r="B3709" s="29"/>
    </row>
    <row r="3710" customFormat="false" ht="12.75" hidden="false" customHeight="false" outlineLevel="0" collapsed="false">
      <c r="A3710" s="29"/>
      <c r="B3710" s="29"/>
    </row>
    <row r="3711" customFormat="false" ht="12.75" hidden="false" customHeight="false" outlineLevel="0" collapsed="false">
      <c r="A3711" s="29"/>
      <c r="B3711" s="29"/>
    </row>
    <row r="3712" customFormat="false" ht="12.75" hidden="false" customHeight="false" outlineLevel="0" collapsed="false">
      <c r="A3712" s="29"/>
      <c r="B3712" s="29"/>
    </row>
    <row r="3713" customFormat="false" ht="12.75" hidden="false" customHeight="false" outlineLevel="0" collapsed="false">
      <c r="A3713" s="29"/>
      <c r="B3713" s="29"/>
    </row>
    <row r="3714" customFormat="false" ht="12.75" hidden="false" customHeight="false" outlineLevel="0" collapsed="false">
      <c r="A3714" s="29"/>
      <c r="B3714" s="29"/>
    </row>
    <row r="3715" customFormat="false" ht="12.75" hidden="false" customHeight="false" outlineLevel="0" collapsed="false">
      <c r="A3715" s="29"/>
      <c r="B3715" s="29"/>
    </row>
    <row r="3716" customFormat="false" ht="12.75" hidden="false" customHeight="false" outlineLevel="0" collapsed="false">
      <c r="A3716" s="29"/>
      <c r="B3716" s="29"/>
    </row>
    <row r="3717" customFormat="false" ht="12.75" hidden="false" customHeight="false" outlineLevel="0" collapsed="false">
      <c r="A3717" s="29"/>
      <c r="B3717" s="29"/>
    </row>
    <row r="3718" customFormat="false" ht="12.75" hidden="false" customHeight="false" outlineLevel="0" collapsed="false">
      <c r="A3718" s="29"/>
      <c r="B3718" s="29"/>
    </row>
    <row r="3719" customFormat="false" ht="12.75" hidden="false" customHeight="false" outlineLevel="0" collapsed="false">
      <c r="A3719" s="29"/>
      <c r="B3719" s="29"/>
    </row>
    <row r="3720" customFormat="false" ht="12.75" hidden="false" customHeight="false" outlineLevel="0" collapsed="false">
      <c r="A3720" s="29"/>
      <c r="B3720" s="29"/>
    </row>
    <row r="3721" customFormat="false" ht="12.75" hidden="false" customHeight="false" outlineLevel="0" collapsed="false">
      <c r="A3721" s="29"/>
      <c r="B3721" s="29"/>
    </row>
    <row r="3722" customFormat="false" ht="12.75" hidden="false" customHeight="false" outlineLevel="0" collapsed="false">
      <c r="A3722" s="29"/>
      <c r="B3722" s="29"/>
    </row>
    <row r="3723" customFormat="false" ht="12.75" hidden="false" customHeight="false" outlineLevel="0" collapsed="false">
      <c r="A3723" s="29"/>
      <c r="B3723" s="29"/>
    </row>
    <row r="3724" customFormat="false" ht="12.75" hidden="false" customHeight="false" outlineLevel="0" collapsed="false">
      <c r="A3724" s="29"/>
      <c r="B3724" s="29"/>
    </row>
    <row r="3725" customFormat="false" ht="12.75" hidden="false" customHeight="false" outlineLevel="0" collapsed="false">
      <c r="A3725" s="29"/>
      <c r="B3725" s="29"/>
    </row>
    <row r="3726" customFormat="false" ht="12.75" hidden="false" customHeight="false" outlineLevel="0" collapsed="false">
      <c r="A3726" s="29"/>
      <c r="B3726" s="29"/>
    </row>
    <row r="3727" customFormat="false" ht="12.75" hidden="false" customHeight="false" outlineLevel="0" collapsed="false">
      <c r="A3727" s="29"/>
      <c r="B3727" s="29"/>
    </row>
    <row r="3728" customFormat="false" ht="12.75" hidden="false" customHeight="false" outlineLevel="0" collapsed="false">
      <c r="A3728" s="29"/>
      <c r="B3728" s="29"/>
    </row>
    <row r="3729" customFormat="false" ht="12.75" hidden="false" customHeight="false" outlineLevel="0" collapsed="false">
      <c r="A3729" s="29"/>
      <c r="B3729" s="29"/>
    </row>
    <row r="3730" customFormat="false" ht="12.75" hidden="false" customHeight="false" outlineLevel="0" collapsed="false">
      <c r="A3730" s="29"/>
      <c r="B3730" s="29"/>
    </row>
    <row r="3731" customFormat="false" ht="12.75" hidden="false" customHeight="false" outlineLevel="0" collapsed="false">
      <c r="A3731" s="29"/>
      <c r="B3731" s="29"/>
    </row>
    <row r="3732" customFormat="false" ht="12.75" hidden="false" customHeight="false" outlineLevel="0" collapsed="false">
      <c r="A3732" s="29"/>
      <c r="B3732" s="29"/>
    </row>
    <row r="3733" customFormat="false" ht="12.75" hidden="false" customHeight="false" outlineLevel="0" collapsed="false">
      <c r="A3733" s="29"/>
      <c r="B3733" s="29"/>
    </row>
    <row r="3734" customFormat="false" ht="12.75" hidden="false" customHeight="false" outlineLevel="0" collapsed="false">
      <c r="A3734" s="29"/>
      <c r="B3734" s="29"/>
    </row>
    <row r="3735" customFormat="false" ht="12.75" hidden="false" customHeight="false" outlineLevel="0" collapsed="false">
      <c r="A3735" s="29"/>
      <c r="B3735" s="29"/>
    </row>
    <row r="3736" customFormat="false" ht="12.75" hidden="false" customHeight="false" outlineLevel="0" collapsed="false">
      <c r="A3736" s="29"/>
      <c r="B3736" s="29"/>
    </row>
    <row r="3737" customFormat="false" ht="12.75" hidden="false" customHeight="false" outlineLevel="0" collapsed="false">
      <c r="A3737" s="29"/>
      <c r="B3737" s="29"/>
    </row>
    <row r="3738" customFormat="false" ht="12.75" hidden="false" customHeight="false" outlineLevel="0" collapsed="false">
      <c r="A3738" s="29"/>
      <c r="B3738" s="29"/>
    </row>
    <row r="3739" customFormat="false" ht="12.75" hidden="false" customHeight="false" outlineLevel="0" collapsed="false">
      <c r="A3739" s="29"/>
      <c r="B3739" s="29"/>
    </row>
    <row r="3740" customFormat="false" ht="12.75" hidden="false" customHeight="false" outlineLevel="0" collapsed="false">
      <c r="A3740" s="29"/>
      <c r="B3740" s="29"/>
    </row>
    <row r="3741" customFormat="false" ht="12.75" hidden="false" customHeight="false" outlineLevel="0" collapsed="false">
      <c r="A3741" s="29"/>
      <c r="B3741" s="29"/>
    </row>
    <row r="3742" customFormat="false" ht="12.75" hidden="false" customHeight="false" outlineLevel="0" collapsed="false">
      <c r="A3742" s="29"/>
      <c r="B3742" s="29"/>
    </row>
    <row r="3743" customFormat="false" ht="12.75" hidden="false" customHeight="false" outlineLevel="0" collapsed="false">
      <c r="A3743" s="29"/>
      <c r="B3743" s="29"/>
    </row>
    <row r="3744" customFormat="false" ht="12.75" hidden="false" customHeight="false" outlineLevel="0" collapsed="false">
      <c r="A3744" s="29"/>
      <c r="B3744" s="29"/>
    </row>
    <row r="3745" customFormat="false" ht="12.75" hidden="false" customHeight="false" outlineLevel="0" collapsed="false">
      <c r="A3745" s="29"/>
      <c r="B3745" s="29"/>
    </row>
    <row r="3746" customFormat="false" ht="12.75" hidden="false" customHeight="false" outlineLevel="0" collapsed="false">
      <c r="A3746" s="29"/>
      <c r="B3746" s="29"/>
    </row>
    <row r="3747" customFormat="false" ht="12.75" hidden="false" customHeight="false" outlineLevel="0" collapsed="false">
      <c r="A3747" s="29"/>
      <c r="B3747" s="29"/>
    </row>
    <row r="3748" customFormat="false" ht="12.75" hidden="false" customHeight="false" outlineLevel="0" collapsed="false">
      <c r="A3748" s="29"/>
      <c r="B3748" s="29"/>
    </row>
    <row r="3749" customFormat="false" ht="12.75" hidden="false" customHeight="false" outlineLevel="0" collapsed="false">
      <c r="A3749" s="29"/>
      <c r="B3749" s="29"/>
    </row>
    <row r="3750" customFormat="false" ht="12.75" hidden="false" customHeight="false" outlineLevel="0" collapsed="false">
      <c r="A3750" s="29"/>
      <c r="B3750" s="29"/>
    </row>
    <row r="3751" customFormat="false" ht="12.75" hidden="false" customHeight="false" outlineLevel="0" collapsed="false">
      <c r="A3751" s="29"/>
      <c r="B3751" s="29"/>
    </row>
    <row r="3752" customFormat="false" ht="12.75" hidden="false" customHeight="false" outlineLevel="0" collapsed="false">
      <c r="A3752" s="29"/>
      <c r="B3752" s="29"/>
    </row>
    <row r="3753" customFormat="false" ht="12.75" hidden="false" customHeight="false" outlineLevel="0" collapsed="false">
      <c r="A3753" s="29"/>
      <c r="B3753" s="29"/>
    </row>
    <row r="3754" customFormat="false" ht="12.75" hidden="false" customHeight="false" outlineLevel="0" collapsed="false">
      <c r="A3754" s="29"/>
      <c r="B3754" s="29"/>
    </row>
    <row r="3755" customFormat="false" ht="12.75" hidden="false" customHeight="false" outlineLevel="0" collapsed="false">
      <c r="A3755" s="29"/>
      <c r="B3755" s="29"/>
    </row>
    <row r="3756" customFormat="false" ht="12.75" hidden="false" customHeight="false" outlineLevel="0" collapsed="false">
      <c r="A3756" s="29"/>
      <c r="B3756" s="29"/>
    </row>
    <row r="3757" customFormat="false" ht="12.75" hidden="false" customHeight="false" outlineLevel="0" collapsed="false">
      <c r="A3757" s="29"/>
      <c r="B3757" s="29"/>
    </row>
    <row r="3758" customFormat="false" ht="12.75" hidden="false" customHeight="false" outlineLevel="0" collapsed="false">
      <c r="A3758" s="29"/>
      <c r="B3758" s="29"/>
    </row>
    <row r="3759" customFormat="false" ht="12.75" hidden="false" customHeight="false" outlineLevel="0" collapsed="false">
      <c r="A3759" s="29"/>
      <c r="B3759" s="29"/>
    </row>
    <row r="3760" customFormat="false" ht="12.75" hidden="false" customHeight="false" outlineLevel="0" collapsed="false">
      <c r="A3760" s="29"/>
      <c r="B3760" s="29"/>
    </row>
    <row r="3761" customFormat="false" ht="12.75" hidden="false" customHeight="false" outlineLevel="0" collapsed="false">
      <c r="A3761" s="29"/>
      <c r="B3761" s="29"/>
    </row>
    <row r="3762" customFormat="false" ht="12.75" hidden="false" customHeight="false" outlineLevel="0" collapsed="false">
      <c r="A3762" s="29"/>
      <c r="B3762" s="29"/>
    </row>
    <row r="3763" customFormat="false" ht="12.75" hidden="false" customHeight="false" outlineLevel="0" collapsed="false">
      <c r="A3763" s="29"/>
      <c r="B3763" s="29"/>
    </row>
    <row r="3764" customFormat="false" ht="12.75" hidden="false" customHeight="false" outlineLevel="0" collapsed="false">
      <c r="A3764" s="29"/>
      <c r="B3764" s="29"/>
    </row>
    <row r="3765" customFormat="false" ht="12.75" hidden="false" customHeight="false" outlineLevel="0" collapsed="false">
      <c r="A3765" s="29"/>
      <c r="B3765" s="29"/>
    </row>
    <row r="3766" customFormat="false" ht="12.75" hidden="false" customHeight="false" outlineLevel="0" collapsed="false">
      <c r="A3766" s="29"/>
      <c r="B3766" s="29"/>
    </row>
    <row r="3767" customFormat="false" ht="12.75" hidden="false" customHeight="false" outlineLevel="0" collapsed="false">
      <c r="A3767" s="29"/>
      <c r="B3767" s="29"/>
    </row>
    <row r="3768" customFormat="false" ht="12.75" hidden="false" customHeight="false" outlineLevel="0" collapsed="false">
      <c r="A3768" s="29"/>
      <c r="B3768" s="29"/>
    </row>
    <row r="3769" customFormat="false" ht="12.75" hidden="false" customHeight="false" outlineLevel="0" collapsed="false">
      <c r="A3769" s="29"/>
      <c r="B3769" s="29"/>
    </row>
    <row r="3770" customFormat="false" ht="12.75" hidden="false" customHeight="false" outlineLevel="0" collapsed="false">
      <c r="A3770" s="29"/>
      <c r="B3770" s="29"/>
    </row>
    <row r="3771" customFormat="false" ht="12.75" hidden="false" customHeight="false" outlineLevel="0" collapsed="false">
      <c r="A3771" s="29"/>
      <c r="B3771" s="29"/>
    </row>
    <row r="3772" customFormat="false" ht="12.75" hidden="false" customHeight="false" outlineLevel="0" collapsed="false">
      <c r="A3772" s="29"/>
      <c r="B3772" s="29"/>
    </row>
    <row r="3773" customFormat="false" ht="12.75" hidden="false" customHeight="false" outlineLevel="0" collapsed="false">
      <c r="A3773" s="29"/>
      <c r="B3773" s="29"/>
    </row>
    <row r="3774" customFormat="false" ht="12.75" hidden="false" customHeight="false" outlineLevel="0" collapsed="false">
      <c r="A3774" s="29"/>
      <c r="B3774" s="29"/>
    </row>
    <row r="3775" customFormat="false" ht="12.75" hidden="false" customHeight="false" outlineLevel="0" collapsed="false">
      <c r="A3775" s="29"/>
      <c r="B3775" s="29"/>
    </row>
    <row r="3776" customFormat="false" ht="12.75" hidden="false" customHeight="false" outlineLevel="0" collapsed="false">
      <c r="A3776" s="29"/>
      <c r="B3776" s="29"/>
    </row>
    <row r="3777" customFormat="false" ht="12.75" hidden="false" customHeight="false" outlineLevel="0" collapsed="false">
      <c r="A3777" s="29"/>
      <c r="B3777" s="29"/>
    </row>
    <row r="3778" customFormat="false" ht="12.75" hidden="false" customHeight="false" outlineLevel="0" collapsed="false">
      <c r="A3778" s="29"/>
      <c r="B3778" s="29"/>
    </row>
    <row r="3779" customFormat="false" ht="12.75" hidden="false" customHeight="false" outlineLevel="0" collapsed="false">
      <c r="A3779" s="29"/>
      <c r="B3779" s="29"/>
    </row>
    <row r="3780" customFormat="false" ht="12.75" hidden="false" customHeight="false" outlineLevel="0" collapsed="false">
      <c r="A3780" s="29"/>
      <c r="B3780" s="29"/>
    </row>
    <row r="3781" customFormat="false" ht="12.75" hidden="false" customHeight="false" outlineLevel="0" collapsed="false">
      <c r="A3781" s="29"/>
      <c r="B3781" s="29"/>
    </row>
    <row r="3782" customFormat="false" ht="12.75" hidden="false" customHeight="false" outlineLevel="0" collapsed="false">
      <c r="A3782" s="29"/>
      <c r="B3782" s="29"/>
    </row>
    <row r="3783" customFormat="false" ht="12.75" hidden="false" customHeight="false" outlineLevel="0" collapsed="false">
      <c r="A3783" s="29"/>
      <c r="B3783" s="29"/>
    </row>
    <row r="3784" customFormat="false" ht="12.75" hidden="false" customHeight="false" outlineLevel="0" collapsed="false">
      <c r="A3784" s="29"/>
      <c r="B3784" s="29"/>
    </row>
    <row r="3785" customFormat="false" ht="12.75" hidden="false" customHeight="false" outlineLevel="0" collapsed="false">
      <c r="A3785" s="29"/>
      <c r="B3785" s="29"/>
    </row>
    <row r="3786" customFormat="false" ht="12.75" hidden="false" customHeight="false" outlineLevel="0" collapsed="false">
      <c r="A3786" s="29"/>
      <c r="B3786" s="29"/>
    </row>
    <row r="3787" customFormat="false" ht="12.75" hidden="false" customHeight="false" outlineLevel="0" collapsed="false">
      <c r="A3787" s="29"/>
      <c r="B3787" s="29"/>
    </row>
    <row r="3788" customFormat="false" ht="12.75" hidden="false" customHeight="false" outlineLevel="0" collapsed="false">
      <c r="A3788" s="29"/>
      <c r="B3788" s="29"/>
    </row>
    <row r="3789" customFormat="false" ht="12.75" hidden="false" customHeight="false" outlineLevel="0" collapsed="false">
      <c r="A3789" s="29"/>
      <c r="B3789" s="29"/>
    </row>
    <row r="3790" customFormat="false" ht="12.75" hidden="false" customHeight="false" outlineLevel="0" collapsed="false">
      <c r="A3790" s="29"/>
      <c r="B3790" s="29"/>
    </row>
    <row r="3791" customFormat="false" ht="12.75" hidden="false" customHeight="false" outlineLevel="0" collapsed="false">
      <c r="A3791" s="29"/>
      <c r="B3791" s="29"/>
    </row>
    <row r="3792" customFormat="false" ht="12.75" hidden="false" customHeight="false" outlineLevel="0" collapsed="false">
      <c r="A3792" s="29"/>
      <c r="B3792" s="29"/>
    </row>
    <row r="3793" customFormat="false" ht="12.75" hidden="false" customHeight="false" outlineLevel="0" collapsed="false">
      <c r="A3793" s="29"/>
      <c r="B3793" s="29"/>
    </row>
    <row r="3794" customFormat="false" ht="12.75" hidden="false" customHeight="false" outlineLevel="0" collapsed="false">
      <c r="A3794" s="29"/>
      <c r="B3794" s="29"/>
    </row>
    <row r="3795" customFormat="false" ht="12.75" hidden="false" customHeight="false" outlineLevel="0" collapsed="false">
      <c r="A3795" s="29"/>
      <c r="B3795" s="29"/>
    </row>
    <row r="3796" customFormat="false" ht="12.75" hidden="false" customHeight="false" outlineLevel="0" collapsed="false">
      <c r="A3796" s="29"/>
      <c r="B3796" s="29"/>
    </row>
    <row r="3797" customFormat="false" ht="12.75" hidden="false" customHeight="false" outlineLevel="0" collapsed="false">
      <c r="A3797" s="29"/>
      <c r="B3797" s="29"/>
    </row>
    <row r="3798" customFormat="false" ht="12.75" hidden="false" customHeight="false" outlineLevel="0" collapsed="false">
      <c r="A3798" s="29"/>
      <c r="B3798" s="29"/>
    </row>
    <row r="3799" customFormat="false" ht="12.75" hidden="false" customHeight="false" outlineLevel="0" collapsed="false">
      <c r="A3799" s="29"/>
      <c r="B3799" s="29"/>
    </row>
    <row r="3800" customFormat="false" ht="12.75" hidden="false" customHeight="false" outlineLevel="0" collapsed="false">
      <c r="A3800" s="29"/>
      <c r="B3800" s="29"/>
    </row>
    <row r="3801" customFormat="false" ht="12.75" hidden="false" customHeight="false" outlineLevel="0" collapsed="false">
      <c r="A3801" s="29"/>
      <c r="B3801" s="29"/>
    </row>
    <row r="3802" customFormat="false" ht="12.75" hidden="false" customHeight="false" outlineLevel="0" collapsed="false">
      <c r="A3802" s="29"/>
      <c r="B3802" s="29"/>
    </row>
    <row r="3803" customFormat="false" ht="12.75" hidden="false" customHeight="false" outlineLevel="0" collapsed="false">
      <c r="A3803" s="29"/>
      <c r="B3803" s="29"/>
    </row>
    <row r="3804" customFormat="false" ht="12.75" hidden="false" customHeight="false" outlineLevel="0" collapsed="false">
      <c r="A3804" s="29"/>
      <c r="B3804" s="29"/>
    </row>
    <row r="3805" customFormat="false" ht="12.75" hidden="false" customHeight="false" outlineLevel="0" collapsed="false">
      <c r="A3805" s="29"/>
      <c r="B3805" s="29"/>
    </row>
    <row r="3806" customFormat="false" ht="12.75" hidden="false" customHeight="false" outlineLevel="0" collapsed="false">
      <c r="A3806" s="29"/>
      <c r="B3806" s="29"/>
    </row>
    <row r="3807" customFormat="false" ht="12.75" hidden="false" customHeight="false" outlineLevel="0" collapsed="false">
      <c r="A3807" s="29"/>
      <c r="B3807" s="29"/>
    </row>
    <row r="3808" customFormat="false" ht="12.75" hidden="false" customHeight="false" outlineLevel="0" collapsed="false">
      <c r="A3808" s="29"/>
      <c r="B3808" s="29"/>
    </row>
    <row r="3809" customFormat="false" ht="12.75" hidden="false" customHeight="false" outlineLevel="0" collapsed="false">
      <c r="A3809" s="29"/>
      <c r="B3809" s="29"/>
    </row>
    <row r="3810" customFormat="false" ht="12.75" hidden="false" customHeight="false" outlineLevel="0" collapsed="false">
      <c r="A3810" s="29"/>
      <c r="B3810" s="29"/>
    </row>
    <row r="3811" customFormat="false" ht="12.75" hidden="false" customHeight="false" outlineLevel="0" collapsed="false">
      <c r="A3811" s="29"/>
      <c r="B3811" s="29"/>
    </row>
    <row r="3812" customFormat="false" ht="12.75" hidden="false" customHeight="false" outlineLevel="0" collapsed="false">
      <c r="A3812" s="29"/>
      <c r="B3812" s="29"/>
    </row>
    <row r="3813" customFormat="false" ht="12.75" hidden="false" customHeight="false" outlineLevel="0" collapsed="false">
      <c r="A3813" s="29"/>
      <c r="B3813" s="29"/>
    </row>
    <row r="3814" customFormat="false" ht="12.75" hidden="false" customHeight="false" outlineLevel="0" collapsed="false">
      <c r="A3814" s="29"/>
      <c r="B3814" s="29"/>
    </row>
    <row r="3815" customFormat="false" ht="12.75" hidden="false" customHeight="false" outlineLevel="0" collapsed="false">
      <c r="A3815" s="29"/>
      <c r="B3815" s="29"/>
    </row>
    <row r="3816" customFormat="false" ht="12.75" hidden="false" customHeight="false" outlineLevel="0" collapsed="false">
      <c r="A3816" s="29"/>
      <c r="B3816" s="29"/>
    </row>
    <row r="3817" customFormat="false" ht="12.75" hidden="false" customHeight="false" outlineLevel="0" collapsed="false">
      <c r="A3817" s="29"/>
      <c r="B3817" s="29"/>
    </row>
    <row r="3818" customFormat="false" ht="12.75" hidden="false" customHeight="false" outlineLevel="0" collapsed="false">
      <c r="A3818" s="29"/>
      <c r="B3818" s="29"/>
    </row>
    <row r="3819" customFormat="false" ht="12.75" hidden="false" customHeight="false" outlineLevel="0" collapsed="false">
      <c r="A3819" s="29"/>
      <c r="B3819" s="29"/>
    </row>
    <row r="3820" customFormat="false" ht="12.75" hidden="false" customHeight="false" outlineLevel="0" collapsed="false">
      <c r="A3820" s="29"/>
      <c r="B3820" s="29"/>
    </row>
    <row r="3821" customFormat="false" ht="12.75" hidden="false" customHeight="false" outlineLevel="0" collapsed="false">
      <c r="A3821" s="29"/>
      <c r="B3821" s="29"/>
    </row>
    <row r="3822" customFormat="false" ht="12.75" hidden="false" customHeight="false" outlineLevel="0" collapsed="false">
      <c r="A3822" s="29"/>
      <c r="B3822" s="29"/>
    </row>
    <row r="3823" customFormat="false" ht="12.75" hidden="false" customHeight="false" outlineLevel="0" collapsed="false">
      <c r="A3823" s="29"/>
      <c r="B3823" s="29"/>
    </row>
    <row r="3824" customFormat="false" ht="12.75" hidden="false" customHeight="false" outlineLevel="0" collapsed="false">
      <c r="A3824" s="29"/>
      <c r="B3824" s="29"/>
    </row>
    <row r="3825" customFormat="false" ht="12.75" hidden="false" customHeight="false" outlineLevel="0" collapsed="false">
      <c r="A3825" s="29"/>
      <c r="B3825" s="29"/>
    </row>
    <row r="3826" customFormat="false" ht="12.75" hidden="false" customHeight="false" outlineLevel="0" collapsed="false">
      <c r="A3826" s="29"/>
      <c r="B3826" s="29"/>
    </row>
    <row r="3827" customFormat="false" ht="12.75" hidden="false" customHeight="false" outlineLevel="0" collapsed="false">
      <c r="A3827" s="29"/>
      <c r="B3827" s="29"/>
    </row>
    <row r="3828" customFormat="false" ht="12.75" hidden="false" customHeight="false" outlineLevel="0" collapsed="false">
      <c r="A3828" s="29"/>
      <c r="B3828" s="29"/>
    </row>
    <row r="3829" customFormat="false" ht="12.75" hidden="false" customHeight="false" outlineLevel="0" collapsed="false">
      <c r="A3829" s="29"/>
      <c r="B3829" s="29"/>
    </row>
    <row r="3830" customFormat="false" ht="12.75" hidden="false" customHeight="false" outlineLevel="0" collapsed="false">
      <c r="A3830" s="29"/>
      <c r="B3830" s="29"/>
    </row>
    <row r="3831" customFormat="false" ht="12.75" hidden="false" customHeight="false" outlineLevel="0" collapsed="false">
      <c r="A3831" s="29"/>
      <c r="B3831" s="29"/>
    </row>
    <row r="3832" customFormat="false" ht="12.75" hidden="false" customHeight="false" outlineLevel="0" collapsed="false">
      <c r="A3832" s="29"/>
      <c r="B3832" s="29"/>
    </row>
    <row r="3833" customFormat="false" ht="12.75" hidden="false" customHeight="false" outlineLevel="0" collapsed="false">
      <c r="A3833" s="29"/>
      <c r="B3833" s="29"/>
    </row>
    <row r="3834" customFormat="false" ht="12.75" hidden="false" customHeight="false" outlineLevel="0" collapsed="false">
      <c r="A3834" s="29"/>
      <c r="B3834" s="29"/>
    </row>
    <row r="3835" customFormat="false" ht="12.75" hidden="false" customHeight="false" outlineLevel="0" collapsed="false">
      <c r="A3835" s="29"/>
      <c r="B3835" s="29"/>
    </row>
    <row r="3836" customFormat="false" ht="12.75" hidden="false" customHeight="false" outlineLevel="0" collapsed="false">
      <c r="A3836" s="29"/>
      <c r="B3836" s="29"/>
    </row>
    <row r="3837" customFormat="false" ht="12.75" hidden="false" customHeight="false" outlineLevel="0" collapsed="false">
      <c r="A3837" s="29"/>
      <c r="B3837" s="29"/>
    </row>
    <row r="3838" customFormat="false" ht="12.75" hidden="false" customHeight="false" outlineLevel="0" collapsed="false">
      <c r="A3838" s="29"/>
      <c r="B3838" s="29"/>
    </row>
    <row r="3839" customFormat="false" ht="12.75" hidden="false" customHeight="false" outlineLevel="0" collapsed="false">
      <c r="A3839" s="29"/>
      <c r="B3839" s="29"/>
    </row>
    <row r="3840" customFormat="false" ht="12.75" hidden="false" customHeight="false" outlineLevel="0" collapsed="false">
      <c r="A3840" s="29"/>
      <c r="B3840" s="29"/>
    </row>
    <row r="3841" customFormat="false" ht="12.75" hidden="false" customHeight="false" outlineLevel="0" collapsed="false">
      <c r="A3841" s="29"/>
      <c r="B3841" s="29"/>
    </row>
    <row r="3842" customFormat="false" ht="12.75" hidden="false" customHeight="false" outlineLevel="0" collapsed="false">
      <c r="A3842" s="29"/>
      <c r="B3842" s="29"/>
    </row>
    <row r="3843" customFormat="false" ht="12.75" hidden="false" customHeight="false" outlineLevel="0" collapsed="false">
      <c r="A3843" s="29"/>
      <c r="B3843" s="29"/>
    </row>
    <row r="3844" customFormat="false" ht="12.75" hidden="false" customHeight="false" outlineLevel="0" collapsed="false">
      <c r="A3844" s="29"/>
      <c r="B3844" s="29"/>
    </row>
    <row r="3845" customFormat="false" ht="12.75" hidden="false" customHeight="false" outlineLevel="0" collapsed="false">
      <c r="A3845" s="29"/>
      <c r="B3845" s="29"/>
    </row>
    <row r="3846" customFormat="false" ht="12.75" hidden="false" customHeight="false" outlineLevel="0" collapsed="false">
      <c r="A3846" s="29"/>
      <c r="B3846" s="29"/>
    </row>
    <row r="3847" customFormat="false" ht="12.75" hidden="false" customHeight="false" outlineLevel="0" collapsed="false">
      <c r="A3847" s="29"/>
      <c r="B3847" s="29"/>
    </row>
    <row r="3848" customFormat="false" ht="12.75" hidden="false" customHeight="false" outlineLevel="0" collapsed="false">
      <c r="A3848" s="29"/>
      <c r="B3848" s="29"/>
    </row>
    <row r="3849" customFormat="false" ht="12.75" hidden="false" customHeight="false" outlineLevel="0" collapsed="false">
      <c r="A3849" s="29"/>
      <c r="B3849" s="29"/>
    </row>
    <row r="3850" customFormat="false" ht="12.75" hidden="false" customHeight="false" outlineLevel="0" collapsed="false">
      <c r="A3850" s="29"/>
      <c r="B3850" s="29"/>
    </row>
    <row r="3851" customFormat="false" ht="12.75" hidden="false" customHeight="false" outlineLevel="0" collapsed="false">
      <c r="A3851" s="29"/>
      <c r="B3851" s="29"/>
    </row>
    <row r="3852" customFormat="false" ht="12.75" hidden="false" customHeight="false" outlineLevel="0" collapsed="false">
      <c r="A3852" s="29"/>
      <c r="B3852" s="29"/>
    </row>
    <row r="3853" customFormat="false" ht="12.75" hidden="false" customHeight="false" outlineLevel="0" collapsed="false">
      <c r="A3853" s="29"/>
      <c r="B3853" s="29"/>
    </row>
    <row r="3854" customFormat="false" ht="12.75" hidden="false" customHeight="false" outlineLevel="0" collapsed="false">
      <c r="A3854" s="29"/>
      <c r="B3854" s="29"/>
    </row>
    <row r="3855" customFormat="false" ht="12.75" hidden="false" customHeight="false" outlineLevel="0" collapsed="false">
      <c r="A3855" s="29"/>
      <c r="B3855" s="29"/>
    </row>
    <row r="3856" customFormat="false" ht="12.75" hidden="false" customHeight="false" outlineLevel="0" collapsed="false">
      <c r="A3856" s="29"/>
      <c r="B3856" s="29"/>
    </row>
    <row r="3857" customFormat="false" ht="12.75" hidden="false" customHeight="false" outlineLevel="0" collapsed="false">
      <c r="A3857" s="29"/>
      <c r="B3857" s="29"/>
    </row>
    <row r="3858" customFormat="false" ht="12.75" hidden="false" customHeight="false" outlineLevel="0" collapsed="false">
      <c r="A3858" s="29"/>
      <c r="B3858" s="29"/>
    </row>
    <row r="3859" customFormat="false" ht="12.75" hidden="false" customHeight="false" outlineLevel="0" collapsed="false">
      <c r="A3859" s="29"/>
      <c r="B3859" s="29"/>
    </row>
    <row r="3860" customFormat="false" ht="12.75" hidden="false" customHeight="false" outlineLevel="0" collapsed="false">
      <c r="A3860" s="29"/>
      <c r="B3860" s="29"/>
    </row>
    <row r="3861" customFormat="false" ht="12.75" hidden="false" customHeight="false" outlineLevel="0" collapsed="false">
      <c r="A3861" s="29"/>
      <c r="B3861" s="29"/>
    </row>
    <row r="3862" customFormat="false" ht="12.75" hidden="false" customHeight="false" outlineLevel="0" collapsed="false">
      <c r="A3862" s="29"/>
      <c r="B3862" s="29"/>
    </row>
    <row r="3863" customFormat="false" ht="12.75" hidden="false" customHeight="false" outlineLevel="0" collapsed="false">
      <c r="A3863" s="29"/>
      <c r="B3863" s="29"/>
    </row>
    <row r="3864" customFormat="false" ht="12.75" hidden="false" customHeight="false" outlineLevel="0" collapsed="false">
      <c r="A3864" s="29"/>
      <c r="B3864" s="29"/>
    </row>
    <row r="3865" customFormat="false" ht="12.75" hidden="false" customHeight="false" outlineLevel="0" collapsed="false">
      <c r="A3865" s="29"/>
      <c r="B3865" s="29"/>
    </row>
    <row r="3866" customFormat="false" ht="12.75" hidden="false" customHeight="false" outlineLevel="0" collapsed="false">
      <c r="A3866" s="29"/>
      <c r="B3866" s="29"/>
    </row>
    <row r="3867" customFormat="false" ht="12.75" hidden="false" customHeight="false" outlineLevel="0" collapsed="false">
      <c r="A3867" s="29"/>
      <c r="B3867" s="29"/>
    </row>
    <row r="3868" customFormat="false" ht="12.75" hidden="false" customHeight="false" outlineLevel="0" collapsed="false">
      <c r="A3868" s="29"/>
      <c r="B3868" s="29"/>
    </row>
    <row r="3869" customFormat="false" ht="12.75" hidden="false" customHeight="false" outlineLevel="0" collapsed="false">
      <c r="A3869" s="29"/>
      <c r="B3869" s="29"/>
    </row>
    <row r="3870" customFormat="false" ht="12.75" hidden="false" customHeight="false" outlineLevel="0" collapsed="false">
      <c r="A3870" s="29"/>
      <c r="B3870" s="29"/>
    </row>
    <row r="3871" customFormat="false" ht="12.75" hidden="false" customHeight="false" outlineLevel="0" collapsed="false">
      <c r="A3871" s="29"/>
      <c r="B3871" s="29"/>
    </row>
    <row r="3872" customFormat="false" ht="12.75" hidden="false" customHeight="false" outlineLevel="0" collapsed="false">
      <c r="A3872" s="29"/>
      <c r="B3872" s="29"/>
    </row>
    <row r="3873" customFormat="false" ht="12.75" hidden="false" customHeight="false" outlineLevel="0" collapsed="false">
      <c r="A3873" s="29"/>
      <c r="B3873" s="29"/>
    </row>
    <row r="3874" customFormat="false" ht="12.75" hidden="false" customHeight="false" outlineLevel="0" collapsed="false">
      <c r="A3874" s="29"/>
      <c r="B3874" s="29"/>
    </row>
    <row r="3875" customFormat="false" ht="12.75" hidden="false" customHeight="false" outlineLevel="0" collapsed="false">
      <c r="A3875" s="29"/>
      <c r="B3875" s="29"/>
    </row>
    <row r="3876" customFormat="false" ht="12.75" hidden="false" customHeight="false" outlineLevel="0" collapsed="false">
      <c r="A3876" s="29"/>
      <c r="B3876" s="29"/>
    </row>
    <row r="3877" customFormat="false" ht="12.75" hidden="false" customHeight="false" outlineLevel="0" collapsed="false">
      <c r="A3877" s="29"/>
      <c r="B3877" s="29"/>
    </row>
    <row r="3878" customFormat="false" ht="12.75" hidden="false" customHeight="false" outlineLevel="0" collapsed="false">
      <c r="A3878" s="29"/>
      <c r="B3878" s="29"/>
    </row>
    <row r="3879" customFormat="false" ht="12.75" hidden="false" customHeight="false" outlineLevel="0" collapsed="false">
      <c r="A3879" s="29"/>
      <c r="B3879" s="29"/>
    </row>
    <row r="3880" customFormat="false" ht="12.75" hidden="false" customHeight="false" outlineLevel="0" collapsed="false">
      <c r="A3880" s="29"/>
      <c r="B3880" s="29"/>
    </row>
    <row r="3881" customFormat="false" ht="12.75" hidden="false" customHeight="false" outlineLevel="0" collapsed="false">
      <c r="A3881" s="29"/>
      <c r="B3881" s="29"/>
    </row>
    <row r="3882" customFormat="false" ht="12.75" hidden="false" customHeight="false" outlineLevel="0" collapsed="false">
      <c r="A3882" s="29"/>
      <c r="B3882" s="29"/>
    </row>
    <row r="3883" customFormat="false" ht="12.75" hidden="false" customHeight="false" outlineLevel="0" collapsed="false">
      <c r="A3883" s="29"/>
      <c r="B3883" s="29"/>
    </row>
    <row r="3884" customFormat="false" ht="12.75" hidden="false" customHeight="false" outlineLevel="0" collapsed="false">
      <c r="A3884" s="29"/>
      <c r="B3884" s="29"/>
    </row>
    <row r="3885" customFormat="false" ht="12.75" hidden="false" customHeight="false" outlineLevel="0" collapsed="false">
      <c r="A3885" s="29"/>
      <c r="B3885" s="29"/>
    </row>
    <row r="3886" customFormat="false" ht="12.75" hidden="false" customHeight="false" outlineLevel="0" collapsed="false">
      <c r="A3886" s="29"/>
      <c r="B3886" s="29"/>
    </row>
    <row r="3887" customFormat="false" ht="12.75" hidden="false" customHeight="false" outlineLevel="0" collapsed="false">
      <c r="A3887" s="29"/>
      <c r="B3887" s="29"/>
    </row>
    <row r="3888" customFormat="false" ht="12.75" hidden="false" customHeight="false" outlineLevel="0" collapsed="false">
      <c r="A3888" s="29"/>
      <c r="B3888" s="29"/>
    </row>
    <row r="3889" customFormat="false" ht="12.75" hidden="false" customHeight="false" outlineLevel="0" collapsed="false">
      <c r="A3889" s="29"/>
      <c r="B3889" s="29"/>
    </row>
    <row r="3890" customFormat="false" ht="12.75" hidden="false" customHeight="false" outlineLevel="0" collapsed="false">
      <c r="A3890" s="29"/>
      <c r="B3890" s="29"/>
    </row>
    <row r="3891" customFormat="false" ht="12.75" hidden="false" customHeight="false" outlineLevel="0" collapsed="false">
      <c r="A3891" s="29"/>
      <c r="B3891" s="29"/>
    </row>
    <row r="3892" customFormat="false" ht="12.75" hidden="false" customHeight="false" outlineLevel="0" collapsed="false">
      <c r="A3892" s="29"/>
      <c r="B3892" s="29"/>
    </row>
    <row r="3893" customFormat="false" ht="12.75" hidden="false" customHeight="false" outlineLevel="0" collapsed="false">
      <c r="A3893" s="29"/>
      <c r="B3893" s="29"/>
    </row>
    <row r="3894" customFormat="false" ht="12.75" hidden="false" customHeight="false" outlineLevel="0" collapsed="false">
      <c r="A3894" s="29"/>
      <c r="B3894" s="29"/>
    </row>
    <row r="3895" customFormat="false" ht="12.75" hidden="false" customHeight="false" outlineLevel="0" collapsed="false">
      <c r="A3895" s="29"/>
      <c r="B3895" s="29"/>
    </row>
    <row r="3896" customFormat="false" ht="12.75" hidden="false" customHeight="false" outlineLevel="0" collapsed="false">
      <c r="A3896" s="29"/>
      <c r="B3896" s="29"/>
    </row>
    <row r="3897" customFormat="false" ht="12.75" hidden="false" customHeight="false" outlineLevel="0" collapsed="false">
      <c r="A3897" s="29"/>
      <c r="B3897" s="29"/>
    </row>
    <row r="3898" customFormat="false" ht="12.75" hidden="false" customHeight="false" outlineLevel="0" collapsed="false">
      <c r="A3898" s="29"/>
      <c r="B3898" s="29"/>
    </row>
    <row r="3899" customFormat="false" ht="12.75" hidden="false" customHeight="false" outlineLevel="0" collapsed="false">
      <c r="A3899" s="29"/>
      <c r="B3899" s="29"/>
    </row>
    <row r="3900" customFormat="false" ht="12.75" hidden="false" customHeight="false" outlineLevel="0" collapsed="false">
      <c r="A3900" s="29"/>
      <c r="B3900" s="29"/>
    </row>
    <row r="3901" customFormat="false" ht="12.75" hidden="false" customHeight="false" outlineLevel="0" collapsed="false">
      <c r="A3901" s="29"/>
      <c r="B3901" s="29"/>
    </row>
    <row r="3902" customFormat="false" ht="12.75" hidden="false" customHeight="false" outlineLevel="0" collapsed="false">
      <c r="A3902" s="29"/>
      <c r="B3902" s="29"/>
    </row>
    <row r="3903" customFormat="false" ht="12.75" hidden="false" customHeight="false" outlineLevel="0" collapsed="false">
      <c r="A3903" s="29"/>
      <c r="B3903" s="29"/>
    </row>
    <row r="3904" customFormat="false" ht="12.75" hidden="false" customHeight="false" outlineLevel="0" collapsed="false">
      <c r="A3904" s="29"/>
      <c r="B3904" s="29"/>
    </row>
    <row r="3905" customFormat="false" ht="12.75" hidden="false" customHeight="false" outlineLevel="0" collapsed="false">
      <c r="A3905" s="29"/>
      <c r="B3905" s="29"/>
    </row>
    <row r="3906" customFormat="false" ht="12.75" hidden="false" customHeight="false" outlineLevel="0" collapsed="false">
      <c r="A3906" s="29"/>
      <c r="B3906" s="29"/>
    </row>
    <row r="3907" customFormat="false" ht="12.75" hidden="false" customHeight="false" outlineLevel="0" collapsed="false">
      <c r="A3907" s="29"/>
      <c r="B3907" s="29"/>
    </row>
    <row r="3908" customFormat="false" ht="12.75" hidden="false" customHeight="false" outlineLevel="0" collapsed="false">
      <c r="A3908" s="29"/>
      <c r="B3908" s="29"/>
    </row>
    <row r="3909" customFormat="false" ht="12.75" hidden="false" customHeight="false" outlineLevel="0" collapsed="false">
      <c r="A3909" s="29"/>
      <c r="B3909" s="29"/>
    </row>
    <row r="3910" customFormat="false" ht="12.75" hidden="false" customHeight="false" outlineLevel="0" collapsed="false">
      <c r="A3910" s="29"/>
      <c r="B3910" s="29"/>
    </row>
    <row r="3911" customFormat="false" ht="12.75" hidden="false" customHeight="false" outlineLevel="0" collapsed="false">
      <c r="A3911" s="29"/>
      <c r="B3911" s="29"/>
    </row>
    <row r="3912" customFormat="false" ht="12.75" hidden="false" customHeight="false" outlineLevel="0" collapsed="false">
      <c r="A3912" s="29"/>
      <c r="B3912" s="29"/>
    </row>
    <row r="3913" customFormat="false" ht="12.75" hidden="false" customHeight="false" outlineLevel="0" collapsed="false">
      <c r="A3913" s="29"/>
      <c r="B3913" s="29"/>
    </row>
    <row r="3914" customFormat="false" ht="12.75" hidden="false" customHeight="false" outlineLevel="0" collapsed="false">
      <c r="A3914" s="29"/>
      <c r="B3914" s="29"/>
    </row>
    <row r="3915" customFormat="false" ht="12.75" hidden="false" customHeight="false" outlineLevel="0" collapsed="false">
      <c r="A3915" s="29"/>
      <c r="B3915" s="29"/>
    </row>
    <row r="3916" customFormat="false" ht="12.75" hidden="false" customHeight="false" outlineLevel="0" collapsed="false">
      <c r="A3916" s="29"/>
      <c r="B3916" s="29"/>
    </row>
    <row r="3917" customFormat="false" ht="12.75" hidden="false" customHeight="false" outlineLevel="0" collapsed="false">
      <c r="A3917" s="29"/>
      <c r="B3917" s="29"/>
    </row>
    <row r="3918" customFormat="false" ht="12.75" hidden="false" customHeight="false" outlineLevel="0" collapsed="false">
      <c r="A3918" s="29"/>
      <c r="B3918" s="29"/>
    </row>
    <row r="3919" customFormat="false" ht="12.75" hidden="false" customHeight="false" outlineLevel="0" collapsed="false">
      <c r="A3919" s="29"/>
      <c r="B3919" s="29"/>
    </row>
    <row r="3920" customFormat="false" ht="12.75" hidden="false" customHeight="false" outlineLevel="0" collapsed="false">
      <c r="A3920" s="29"/>
      <c r="B3920" s="29"/>
    </row>
    <row r="3921" customFormat="false" ht="12.75" hidden="false" customHeight="false" outlineLevel="0" collapsed="false">
      <c r="A3921" s="29"/>
      <c r="B3921" s="29"/>
    </row>
    <row r="3922" customFormat="false" ht="12.75" hidden="false" customHeight="false" outlineLevel="0" collapsed="false">
      <c r="A3922" s="29"/>
      <c r="B3922" s="29"/>
    </row>
    <row r="3923" customFormat="false" ht="12.75" hidden="false" customHeight="false" outlineLevel="0" collapsed="false">
      <c r="A3923" s="29"/>
      <c r="B3923" s="29"/>
    </row>
    <row r="3924" customFormat="false" ht="12.75" hidden="false" customHeight="false" outlineLevel="0" collapsed="false">
      <c r="A3924" s="29"/>
      <c r="B3924" s="29"/>
    </row>
    <row r="3925" customFormat="false" ht="12.75" hidden="false" customHeight="false" outlineLevel="0" collapsed="false">
      <c r="A3925" s="29"/>
      <c r="B3925" s="29"/>
    </row>
    <row r="3926" customFormat="false" ht="12.75" hidden="false" customHeight="false" outlineLevel="0" collapsed="false">
      <c r="A3926" s="29"/>
      <c r="B3926" s="29"/>
    </row>
    <row r="3927" customFormat="false" ht="12.75" hidden="false" customHeight="false" outlineLevel="0" collapsed="false">
      <c r="A3927" s="29"/>
      <c r="B3927" s="29"/>
    </row>
    <row r="3928" customFormat="false" ht="12.75" hidden="false" customHeight="false" outlineLevel="0" collapsed="false">
      <c r="A3928" s="29"/>
      <c r="B3928" s="29"/>
    </row>
    <row r="3929" customFormat="false" ht="12.75" hidden="false" customHeight="false" outlineLevel="0" collapsed="false">
      <c r="A3929" s="29"/>
      <c r="B3929" s="29"/>
    </row>
    <row r="3930" customFormat="false" ht="12.75" hidden="false" customHeight="false" outlineLevel="0" collapsed="false">
      <c r="A3930" s="29"/>
      <c r="B3930" s="29"/>
    </row>
    <row r="3931" customFormat="false" ht="12.75" hidden="false" customHeight="false" outlineLevel="0" collapsed="false">
      <c r="A3931" s="29"/>
      <c r="B3931" s="29"/>
    </row>
    <row r="3932" customFormat="false" ht="12.75" hidden="false" customHeight="false" outlineLevel="0" collapsed="false">
      <c r="A3932" s="29"/>
      <c r="B3932" s="29"/>
    </row>
    <row r="3933" customFormat="false" ht="12.75" hidden="false" customHeight="false" outlineLevel="0" collapsed="false">
      <c r="A3933" s="29"/>
      <c r="B3933" s="29"/>
    </row>
    <row r="3934" customFormat="false" ht="12.75" hidden="false" customHeight="false" outlineLevel="0" collapsed="false">
      <c r="A3934" s="29"/>
      <c r="B3934" s="29"/>
    </row>
    <row r="3935" customFormat="false" ht="12.75" hidden="false" customHeight="false" outlineLevel="0" collapsed="false">
      <c r="A3935" s="29"/>
      <c r="B3935" s="29"/>
    </row>
    <row r="3936" customFormat="false" ht="12.75" hidden="false" customHeight="false" outlineLevel="0" collapsed="false">
      <c r="A3936" s="29"/>
      <c r="B3936" s="29"/>
    </row>
    <row r="3937" customFormat="false" ht="12.75" hidden="false" customHeight="false" outlineLevel="0" collapsed="false">
      <c r="A3937" s="29"/>
      <c r="B3937" s="29"/>
    </row>
    <row r="3938" customFormat="false" ht="12.75" hidden="false" customHeight="false" outlineLevel="0" collapsed="false">
      <c r="A3938" s="29"/>
      <c r="B3938" s="29"/>
    </row>
    <row r="3939" customFormat="false" ht="12.75" hidden="false" customHeight="false" outlineLevel="0" collapsed="false">
      <c r="A3939" s="29"/>
      <c r="B3939" s="29"/>
    </row>
    <row r="3940" customFormat="false" ht="12.75" hidden="false" customHeight="false" outlineLevel="0" collapsed="false">
      <c r="A3940" s="29"/>
      <c r="B3940" s="29"/>
    </row>
    <row r="3941" customFormat="false" ht="12.75" hidden="false" customHeight="false" outlineLevel="0" collapsed="false">
      <c r="A3941" s="29"/>
      <c r="B3941" s="29"/>
    </row>
    <row r="3942" customFormat="false" ht="12.75" hidden="false" customHeight="false" outlineLevel="0" collapsed="false">
      <c r="A3942" s="29"/>
      <c r="B3942" s="29"/>
    </row>
    <row r="3943" customFormat="false" ht="12.75" hidden="false" customHeight="false" outlineLevel="0" collapsed="false">
      <c r="A3943" s="29"/>
      <c r="B3943" s="29"/>
    </row>
    <row r="3944" customFormat="false" ht="12.75" hidden="false" customHeight="false" outlineLevel="0" collapsed="false">
      <c r="A3944" s="29"/>
      <c r="B3944" s="29"/>
    </row>
    <row r="3945" customFormat="false" ht="12.75" hidden="false" customHeight="false" outlineLevel="0" collapsed="false">
      <c r="A3945" s="29"/>
      <c r="B3945" s="29"/>
    </row>
    <row r="3946" customFormat="false" ht="12.75" hidden="false" customHeight="false" outlineLevel="0" collapsed="false">
      <c r="A3946" s="29"/>
      <c r="B3946" s="29"/>
    </row>
    <row r="3947" customFormat="false" ht="12.75" hidden="false" customHeight="false" outlineLevel="0" collapsed="false">
      <c r="A3947" s="29"/>
      <c r="B3947" s="29"/>
    </row>
    <row r="3948" customFormat="false" ht="12.75" hidden="false" customHeight="false" outlineLevel="0" collapsed="false">
      <c r="A3948" s="29"/>
      <c r="B3948" s="29"/>
    </row>
    <row r="3949" customFormat="false" ht="12.75" hidden="false" customHeight="false" outlineLevel="0" collapsed="false">
      <c r="A3949" s="29"/>
      <c r="B3949" s="29"/>
    </row>
    <row r="3950" customFormat="false" ht="12.75" hidden="false" customHeight="false" outlineLevel="0" collapsed="false">
      <c r="A3950" s="29"/>
      <c r="B3950" s="29"/>
    </row>
    <row r="3951" customFormat="false" ht="12.75" hidden="false" customHeight="false" outlineLevel="0" collapsed="false">
      <c r="A3951" s="29"/>
      <c r="B3951" s="29"/>
    </row>
    <row r="3952" customFormat="false" ht="12.75" hidden="false" customHeight="false" outlineLevel="0" collapsed="false">
      <c r="A3952" s="29"/>
      <c r="B3952" s="29"/>
    </row>
    <row r="3953" customFormat="false" ht="12.75" hidden="false" customHeight="false" outlineLevel="0" collapsed="false">
      <c r="A3953" s="29"/>
      <c r="B3953" s="29"/>
    </row>
    <row r="3954" customFormat="false" ht="12.75" hidden="false" customHeight="false" outlineLevel="0" collapsed="false">
      <c r="A3954" s="29"/>
      <c r="B3954" s="29"/>
    </row>
    <row r="3955" customFormat="false" ht="12.75" hidden="false" customHeight="false" outlineLevel="0" collapsed="false">
      <c r="A3955" s="29"/>
      <c r="B3955" s="29"/>
    </row>
    <row r="3956" customFormat="false" ht="12.75" hidden="false" customHeight="false" outlineLevel="0" collapsed="false">
      <c r="A3956" s="29"/>
      <c r="B3956" s="29"/>
    </row>
    <row r="3957" customFormat="false" ht="12.75" hidden="false" customHeight="false" outlineLevel="0" collapsed="false">
      <c r="A3957" s="29"/>
      <c r="B3957" s="29"/>
    </row>
    <row r="3958" customFormat="false" ht="12.75" hidden="false" customHeight="false" outlineLevel="0" collapsed="false">
      <c r="A3958" s="29"/>
      <c r="B3958" s="29"/>
    </row>
    <row r="3959" customFormat="false" ht="12.75" hidden="false" customHeight="false" outlineLevel="0" collapsed="false">
      <c r="A3959" s="29"/>
      <c r="B3959" s="29"/>
    </row>
    <row r="3960" customFormat="false" ht="12.75" hidden="false" customHeight="false" outlineLevel="0" collapsed="false">
      <c r="A3960" s="29"/>
      <c r="B3960" s="29"/>
    </row>
    <row r="3961" customFormat="false" ht="12.75" hidden="false" customHeight="false" outlineLevel="0" collapsed="false">
      <c r="A3961" s="29"/>
      <c r="B3961" s="29"/>
    </row>
    <row r="3962" customFormat="false" ht="12.75" hidden="false" customHeight="false" outlineLevel="0" collapsed="false">
      <c r="A3962" s="29"/>
      <c r="B3962" s="29"/>
    </row>
    <row r="3963" customFormat="false" ht="12.75" hidden="false" customHeight="false" outlineLevel="0" collapsed="false">
      <c r="A3963" s="29"/>
      <c r="B3963" s="29"/>
    </row>
    <row r="3964" customFormat="false" ht="12.75" hidden="false" customHeight="false" outlineLevel="0" collapsed="false">
      <c r="A3964" s="29"/>
      <c r="B3964" s="29"/>
    </row>
    <row r="3965" customFormat="false" ht="12.75" hidden="false" customHeight="false" outlineLevel="0" collapsed="false">
      <c r="A3965" s="29"/>
      <c r="B3965" s="29"/>
    </row>
    <row r="3966" customFormat="false" ht="12.75" hidden="false" customHeight="false" outlineLevel="0" collapsed="false">
      <c r="A3966" s="29"/>
      <c r="B3966" s="29"/>
    </row>
    <row r="3967" customFormat="false" ht="12.75" hidden="false" customHeight="false" outlineLevel="0" collapsed="false">
      <c r="A3967" s="29"/>
      <c r="B3967" s="29"/>
    </row>
    <row r="3968" customFormat="false" ht="12.75" hidden="false" customHeight="false" outlineLevel="0" collapsed="false">
      <c r="A3968" s="29"/>
      <c r="B3968" s="29"/>
    </row>
    <row r="3969" customFormat="false" ht="12.75" hidden="false" customHeight="false" outlineLevel="0" collapsed="false">
      <c r="A3969" s="29"/>
      <c r="B3969" s="29"/>
    </row>
    <row r="3970" customFormat="false" ht="12.75" hidden="false" customHeight="false" outlineLevel="0" collapsed="false">
      <c r="A3970" s="29"/>
      <c r="B3970" s="29"/>
    </row>
    <row r="3971" customFormat="false" ht="12.75" hidden="false" customHeight="false" outlineLevel="0" collapsed="false">
      <c r="A3971" s="29"/>
      <c r="B3971" s="29"/>
    </row>
    <row r="3972" customFormat="false" ht="12.75" hidden="false" customHeight="false" outlineLevel="0" collapsed="false">
      <c r="A3972" s="29"/>
      <c r="B3972" s="29"/>
    </row>
    <row r="3973" customFormat="false" ht="12.75" hidden="false" customHeight="false" outlineLevel="0" collapsed="false">
      <c r="A3973" s="29"/>
      <c r="B3973" s="29"/>
    </row>
    <row r="3974" customFormat="false" ht="12.75" hidden="false" customHeight="false" outlineLevel="0" collapsed="false">
      <c r="A3974" s="29"/>
      <c r="B3974" s="29"/>
    </row>
    <row r="3975" customFormat="false" ht="12.75" hidden="false" customHeight="false" outlineLevel="0" collapsed="false">
      <c r="A3975" s="29"/>
      <c r="B3975" s="29"/>
    </row>
    <row r="3976" customFormat="false" ht="12.75" hidden="false" customHeight="false" outlineLevel="0" collapsed="false">
      <c r="A3976" s="29"/>
      <c r="B3976" s="29"/>
    </row>
    <row r="3977" customFormat="false" ht="12.75" hidden="false" customHeight="false" outlineLevel="0" collapsed="false">
      <c r="A3977" s="29"/>
      <c r="B3977" s="29"/>
    </row>
    <row r="3978" customFormat="false" ht="12.75" hidden="false" customHeight="false" outlineLevel="0" collapsed="false">
      <c r="A3978" s="29"/>
      <c r="B3978" s="29"/>
    </row>
    <row r="3979" customFormat="false" ht="12.75" hidden="false" customHeight="false" outlineLevel="0" collapsed="false">
      <c r="A3979" s="29"/>
      <c r="B3979" s="29"/>
    </row>
    <row r="3980" customFormat="false" ht="12.75" hidden="false" customHeight="false" outlineLevel="0" collapsed="false">
      <c r="A3980" s="29"/>
      <c r="B3980" s="29"/>
    </row>
    <row r="3981" customFormat="false" ht="12.75" hidden="false" customHeight="false" outlineLevel="0" collapsed="false">
      <c r="A3981" s="29"/>
      <c r="B3981" s="29"/>
    </row>
    <row r="3982" customFormat="false" ht="12.75" hidden="false" customHeight="false" outlineLevel="0" collapsed="false">
      <c r="A3982" s="29"/>
      <c r="B3982" s="29"/>
    </row>
    <row r="3983" customFormat="false" ht="12.75" hidden="false" customHeight="false" outlineLevel="0" collapsed="false">
      <c r="A3983" s="29"/>
      <c r="B3983" s="29"/>
    </row>
    <row r="3984" customFormat="false" ht="12.75" hidden="false" customHeight="false" outlineLevel="0" collapsed="false">
      <c r="A3984" s="29"/>
      <c r="B3984" s="29"/>
    </row>
    <row r="3985" customFormat="false" ht="12.75" hidden="false" customHeight="false" outlineLevel="0" collapsed="false">
      <c r="A3985" s="29"/>
      <c r="B3985" s="29"/>
    </row>
    <row r="3986" customFormat="false" ht="12.75" hidden="false" customHeight="false" outlineLevel="0" collapsed="false">
      <c r="A3986" s="29"/>
      <c r="B3986" s="29"/>
    </row>
    <row r="3987" customFormat="false" ht="12.75" hidden="false" customHeight="false" outlineLevel="0" collapsed="false">
      <c r="A3987" s="29"/>
      <c r="B3987" s="29"/>
    </row>
    <row r="3988" customFormat="false" ht="12.75" hidden="false" customHeight="false" outlineLevel="0" collapsed="false">
      <c r="A3988" s="29"/>
      <c r="B3988" s="29"/>
    </row>
    <row r="3989" customFormat="false" ht="12.75" hidden="false" customHeight="false" outlineLevel="0" collapsed="false">
      <c r="A3989" s="29"/>
      <c r="B3989" s="29"/>
    </row>
    <row r="3990" customFormat="false" ht="12.75" hidden="false" customHeight="false" outlineLevel="0" collapsed="false">
      <c r="A3990" s="29"/>
      <c r="B3990" s="29"/>
    </row>
    <row r="3991" customFormat="false" ht="12.75" hidden="false" customHeight="false" outlineLevel="0" collapsed="false">
      <c r="A3991" s="29"/>
      <c r="B3991" s="29"/>
    </row>
    <row r="3992" customFormat="false" ht="12.75" hidden="false" customHeight="false" outlineLevel="0" collapsed="false">
      <c r="A3992" s="29"/>
      <c r="B3992" s="29"/>
    </row>
    <row r="3993" customFormat="false" ht="12.75" hidden="false" customHeight="false" outlineLevel="0" collapsed="false">
      <c r="A3993" s="29"/>
      <c r="B3993" s="29"/>
    </row>
    <row r="3994" customFormat="false" ht="12.75" hidden="false" customHeight="false" outlineLevel="0" collapsed="false">
      <c r="A3994" s="29"/>
      <c r="B3994" s="29"/>
    </row>
    <row r="3995" customFormat="false" ht="12.75" hidden="false" customHeight="false" outlineLevel="0" collapsed="false">
      <c r="A3995" s="29"/>
      <c r="B3995" s="29"/>
    </row>
    <row r="3996" customFormat="false" ht="12.75" hidden="false" customHeight="false" outlineLevel="0" collapsed="false">
      <c r="A3996" s="29"/>
      <c r="B3996" s="29"/>
    </row>
    <row r="3997" customFormat="false" ht="12.75" hidden="false" customHeight="false" outlineLevel="0" collapsed="false">
      <c r="A3997" s="29"/>
      <c r="B3997" s="29"/>
    </row>
    <row r="3998" customFormat="false" ht="12.75" hidden="false" customHeight="false" outlineLevel="0" collapsed="false">
      <c r="A3998" s="29"/>
      <c r="B3998" s="29"/>
    </row>
    <row r="3999" customFormat="false" ht="12.75" hidden="false" customHeight="false" outlineLevel="0" collapsed="false">
      <c r="A3999" s="29"/>
      <c r="B3999" s="29"/>
    </row>
  </sheetData>
  <conditionalFormatting sqref="J2:J2999">
    <cfRule type="cellIs" priority="2" operator="lessThan" aboveAverage="0" equalAverage="0" bottom="0" percent="0" rank="0" text="" dxfId="3">
      <formula>0</formula>
    </cfRule>
    <cfRule type="cellIs" priority="3" operator="greaterThan" aboveAverage="0" equalAverage="0" bottom="0" percent="0" rank="0" text="" dxfId="4">
      <formula>0</formula>
    </cfRule>
  </conditionalFormatting>
  <conditionalFormatting sqref="A344:L2999">
    <cfRule type="expression" priority="4" aboveAverage="0" equalAverage="0" bottom="0" percent="0" rank="0" text="" dxfId="5">
      <formula>$A344&lt;&gt;""</formula>
    </cfRule>
  </conditionalFormatting>
  <conditionalFormatting sqref="A2:L343">
    <cfRule type="expression" priority="5" aboveAverage="0" equalAverage="0" bottom="0" percent="0" rank="0" text="" dxfId="6">
      <formula>$A2&lt;&gt;""</formula>
    </cfRule>
  </conditionalFormatting>
  <printOptions headings="false" gridLines="false" gridLinesSet="true" horizontalCentered="false" verticalCentered="false"/>
  <pageMargins left="0.7" right="0.7" top="1.14375" bottom="1.14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8:O32"/>
  <sheetViews>
    <sheetView showFormulas="false" showGridLines="true" showRowColHeaders="true" showZeros="true" rightToLeft="false" tabSelected="false" showOutlineSymbols="true" defaultGridColor="true" view="normal" topLeftCell="A1" colorId="64" zoomScale="98" zoomScaleNormal="98" zoomScalePageLayoutView="100" workbookViewId="0">
      <selection pane="topLeft" activeCell="D8" activeCellId="0" sqref="D8"/>
    </sheetView>
  </sheetViews>
  <sheetFormatPr defaultColWidth="10.2890625" defaultRowHeight="12.75" customHeight="false" zeroHeight="false" outlineLevelRow="0" outlineLevelCol="0"/>
  <cols>
    <col collapsed="false" customWidth="false" hidden="false" outlineLevel="0" max="1" min="1" style="12" width="10.29"/>
    <col collapsed="false" customWidth="true" hidden="false" outlineLevel="0" max="2" min="2" style="12" width="21.29"/>
    <col collapsed="false" customWidth="true" hidden="false" outlineLevel="0" max="3" min="3" style="12" width="15.29"/>
    <col collapsed="false" customWidth="true" hidden="false" outlineLevel="0" max="8" min="4" style="12" width="13.86"/>
    <col collapsed="false" customWidth="true" hidden="false" outlineLevel="0" max="9" min="9" style="12" width="15.42"/>
    <col collapsed="false" customWidth="true" hidden="false" outlineLevel="0" max="12" min="10" style="12" width="13.86"/>
    <col collapsed="false" customWidth="true" hidden="false" outlineLevel="0" max="13" min="13" style="12" width="14.86"/>
    <col collapsed="false" customWidth="false" hidden="false" outlineLevel="0" max="15" min="14" style="12" width="10.29"/>
  </cols>
  <sheetData>
    <row r="8" customFormat="false" ht="12.75" hidden="false" customHeight="false" outlineLevel="0" collapsed="false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</row>
    <row r="9" customFormat="false" ht="15" hidden="false" customHeight="false" outlineLevel="0" collapsed="false">
      <c r="A9" s="31"/>
      <c r="B9" s="32"/>
      <c r="C9" s="33"/>
      <c r="D9" s="33"/>
      <c r="E9" s="5"/>
      <c r="F9" s="34" t="s">
        <v>12</v>
      </c>
      <c r="G9" s="34"/>
      <c r="H9" s="34"/>
      <c r="I9" s="34"/>
      <c r="J9" s="34"/>
      <c r="K9" s="34"/>
      <c r="L9" s="30"/>
      <c r="M9" s="30"/>
      <c r="N9" s="35"/>
      <c r="O9" s="30"/>
    </row>
    <row r="10" customFormat="false" ht="15" hidden="false" customHeight="false" outlineLevel="0" collapsed="false">
      <c r="A10" s="30"/>
      <c r="B10" s="36" t="str">
        <f aca="false">"Cantd/Familias:  "&amp;SUM(D13:M13)</f>
        <v>Cantd/Familias:  0</v>
      </c>
      <c r="C10" s="33"/>
      <c r="D10" s="33"/>
      <c r="E10" s="5"/>
      <c r="F10" s="34"/>
      <c r="G10" s="34"/>
      <c r="H10" s="34"/>
      <c r="I10" s="34"/>
      <c r="J10" s="34"/>
      <c r="K10" s="34"/>
      <c r="L10" s="21"/>
      <c r="M10" s="30"/>
      <c r="N10" s="35"/>
      <c r="O10" s="30"/>
    </row>
    <row r="11" customFormat="false" ht="13.8" hidden="false" customHeight="false" outlineLevel="0" collapsed="false">
      <c r="A11" s="30"/>
      <c r="B11" s="37"/>
      <c r="C11" s="38"/>
      <c r="D11" s="38"/>
      <c r="E11" s="5"/>
      <c r="F11" s="30"/>
      <c r="G11" s="30"/>
      <c r="H11" s="39"/>
      <c r="I11" s="39"/>
      <c r="J11" s="30"/>
      <c r="K11" s="30"/>
      <c r="L11" s="30"/>
      <c r="M11" s="30"/>
      <c r="N11" s="30"/>
      <c r="O11" s="30"/>
    </row>
    <row r="12" customFormat="false" ht="13.8" hidden="false" customHeight="false" outlineLevel="0" collapsed="false">
      <c r="A12" s="30"/>
      <c r="B12" s="40"/>
      <c r="C12" s="41" t="s">
        <v>13</v>
      </c>
      <c r="D12" s="42" t="n">
        <f aca="false">IF(ISBLANK($D$13), " ",$D$13*1)</f>
        <v>0</v>
      </c>
      <c r="E12" s="42" t="n">
        <f aca="false">IF(ISBLANK($E$13), " ",$E$13*2)</f>
        <v>0</v>
      </c>
      <c r="F12" s="42" t="n">
        <f aca="false">IF(ISBLANK($F$13), " ", $F$13*3)</f>
        <v>0</v>
      </c>
      <c r="G12" s="42" t="n">
        <f aca="false">IF(ISBLANK($G$13), " ", $G$13*4)</f>
        <v>0</v>
      </c>
      <c r="H12" s="42" t="n">
        <f aca="false">IF(ISBLANK($H$13), " ", $H$13*5)</f>
        <v>0</v>
      </c>
      <c r="I12" s="42" t="n">
        <f aca="false">IF(ISBLANK($I$13), " ", $I$13*6)</f>
        <v>0</v>
      </c>
      <c r="J12" s="42" t="n">
        <f aca="false">IF(ISBLANK($J$13), " ", $J$13*7)</f>
        <v>0</v>
      </c>
      <c r="K12" s="42" t="n">
        <f aca="false">IF(ISBLANK($K$13), " ", $K$13*8)</f>
        <v>0</v>
      </c>
      <c r="L12" s="42" t="n">
        <f aca="false">IF(ISBLANK($L$13), " ", $L$13*9)</f>
        <v>0</v>
      </c>
      <c r="M12" s="42" t="n">
        <f aca="false">IF(ISBLANK($M$13), " ", $M$13*10)</f>
        <v>0</v>
      </c>
      <c r="N12" s="43" t="n">
        <f aca="false">SUM(D12:M12)</f>
        <v>0</v>
      </c>
      <c r="O12" s="30"/>
    </row>
    <row r="13" customFormat="false" ht="13.8" hidden="false" customHeight="false" outlineLevel="0" collapsed="false">
      <c r="A13" s="30"/>
      <c r="B13" s="44"/>
      <c r="C13" s="45" t="s">
        <v>14</v>
      </c>
      <c r="D13" s="46" t="n">
        <f aca="false">COUNTIF(Listado!K:K,1)</f>
        <v>0</v>
      </c>
      <c r="E13" s="47" t="n">
        <f aca="false">COUNTIF(Listado!K:K,2)</f>
        <v>0</v>
      </c>
      <c r="F13" s="47" t="n">
        <f aca="false">COUNTIF(Listado!K:K,3)</f>
        <v>0</v>
      </c>
      <c r="G13" s="47" t="n">
        <f aca="false">COUNTIF(Listado!K:K,4)</f>
        <v>0</v>
      </c>
      <c r="H13" s="47" t="n">
        <f aca="false">COUNTIF(Listado!K:K,5)</f>
        <v>0</v>
      </c>
      <c r="I13" s="47" t="n">
        <f aca="false">COUNTIF(Listado!K:K,6)</f>
        <v>0</v>
      </c>
      <c r="J13" s="47" t="n">
        <f aca="false">COUNTIF(Listado!K:K,7)</f>
        <v>0</v>
      </c>
      <c r="K13" s="47" t="n">
        <f aca="false">COUNTIF(Listado!K:K,8)</f>
        <v>0</v>
      </c>
      <c r="L13" s="47" t="n">
        <f aca="false">COUNTIF(Listado!K:K,9)</f>
        <v>0</v>
      </c>
      <c r="M13" s="47" t="n">
        <f aca="false">COUNTIF(Listado!K:K,10)</f>
        <v>0</v>
      </c>
      <c r="N13" s="48" t="n">
        <f aca="false">SUM(D13:M13)</f>
        <v>0</v>
      </c>
      <c r="O13" s="30"/>
    </row>
    <row r="14" customFormat="false" ht="23.85" hidden="false" customHeight="false" outlineLevel="0" collapsed="false">
      <c r="A14" s="30"/>
      <c r="B14" s="49" t="s">
        <v>15</v>
      </c>
      <c r="C14" s="50" t="s">
        <v>16</v>
      </c>
      <c r="D14" s="51" t="s">
        <v>17</v>
      </c>
      <c r="E14" s="52" t="s">
        <v>18</v>
      </c>
      <c r="F14" s="52" t="s">
        <v>19</v>
      </c>
      <c r="G14" s="52" t="s">
        <v>20</v>
      </c>
      <c r="H14" s="52" t="s">
        <v>21</v>
      </c>
      <c r="I14" s="52" t="s">
        <v>22</v>
      </c>
      <c r="J14" s="52" t="s">
        <v>23</v>
      </c>
      <c r="K14" s="52" t="s">
        <v>24</v>
      </c>
      <c r="L14" s="52" t="s">
        <v>25</v>
      </c>
      <c r="M14" s="53" t="s">
        <v>26</v>
      </c>
      <c r="N14" s="54" t="s">
        <v>27</v>
      </c>
      <c r="O14" s="30"/>
    </row>
    <row r="15" customFormat="false" ht="13.8" hidden="false" customHeight="false" outlineLevel="0" collapsed="false">
      <c r="A15" s="30"/>
      <c r="B15" s="55" t="s">
        <v>28</v>
      </c>
      <c r="C15" s="56"/>
      <c r="D15" s="57" t="str">
        <f aca="false">IFERROR(   IF(D$13=0,"",ROUND($N15,0)), " ")</f>
        <v/>
      </c>
      <c r="E15" s="58" t="str">
        <f aca="false">IFERROR(   IF(E$13=0,"",ROUND($N15*2,0))," ")</f>
        <v/>
      </c>
      <c r="F15" s="58" t="str">
        <f aca="false">IFERROR(   IF(F$13=0,"",ROUND($N15*3,0))," ")</f>
        <v/>
      </c>
      <c r="G15" s="58" t="str">
        <f aca="false">IFERROR(   IF(G$13=0,"",ROUND($N15*4,0))," ")</f>
        <v/>
      </c>
      <c r="H15" s="58" t="str">
        <f aca="false">IFERROR(   IF(H$13=0,"",ROUND($N15*5,0))," ")</f>
        <v/>
      </c>
      <c r="I15" s="58" t="str">
        <f aca="false">IFERROR(   IF(I$13=0,"",ROUND($N15*6,0))," ")</f>
        <v/>
      </c>
      <c r="J15" s="58" t="str">
        <f aca="false">IFERROR(   IF(J$13=0,"",ROUND($N15*7,0))," ")</f>
        <v/>
      </c>
      <c r="K15" s="58" t="str">
        <f aca="false">IFERROR(   IF(K$13=0,"",ROUND($N15*8,0))," ")</f>
        <v/>
      </c>
      <c r="L15" s="58" t="str">
        <f aca="false">IFERROR(   IF(L$13=0,"",ROUND($N15*9,0))," ")</f>
        <v/>
      </c>
      <c r="M15" s="59" t="str">
        <f aca="false">IFERROR(   IF(M$13=0,"",ROUND($N15*10,0))," ")</f>
        <v/>
      </c>
      <c r="N15" s="60" t="str">
        <f aca="false">IFERROR(Reparto!$C15/TotalBeneficiarios, " ")</f>
        <v> </v>
      </c>
      <c r="O15" s="30"/>
    </row>
    <row r="16" customFormat="false" ht="13.8" hidden="false" customHeight="false" outlineLevel="0" collapsed="false">
      <c r="A16" s="30"/>
      <c r="B16" s="61" t="s">
        <v>29</v>
      </c>
      <c r="C16" s="56"/>
      <c r="D16" s="62" t="str">
        <f aca="false">IFERROR(   IF(D$13=0,"",ROUND($N16,0)), " ")</f>
        <v/>
      </c>
      <c r="E16" s="63" t="str">
        <f aca="false">IFERROR(   IF(E$13=0,"",ROUND($N16*2,0))," ")</f>
        <v/>
      </c>
      <c r="F16" s="63" t="str">
        <f aca="false">IFERROR(   IF(F$13=0,"",ROUND($N16*3,0))," ")</f>
        <v/>
      </c>
      <c r="G16" s="63" t="str">
        <f aca="false">IFERROR(   IF(G$13=0,"",ROUND($N16*4,0))," ")</f>
        <v/>
      </c>
      <c r="H16" s="63" t="str">
        <f aca="false">IFERROR(   IF(H$13=0,"",ROUND($N16*5,0))," ")</f>
        <v/>
      </c>
      <c r="I16" s="63" t="str">
        <f aca="false">IFERROR(   IF(I$13=0,"",ROUND($N16*6,0))," ")</f>
        <v/>
      </c>
      <c r="J16" s="63" t="str">
        <f aca="false">IFERROR(   IF(J$13=0,"",ROUND($N16*7,0))," ")</f>
        <v/>
      </c>
      <c r="K16" s="63" t="str">
        <f aca="false">IFERROR(   IF(K$13=0,"",ROUND($N16*8,0))," ")</f>
        <v/>
      </c>
      <c r="L16" s="63" t="str">
        <f aca="false">IFERROR(   IF(L$13=0,"",ROUND($N16*9,0))," ")</f>
        <v/>
      </c>
      <c r="M16" s="64" t="str">
        <f aca="false">IFERROR(   IF(M$13=0,"",ROUND($N16*10,0))," ")</f>
        <v/>
      </c>
      <c r="N16" s="65" t="str">
        <f aca="false">IFERROR(Reparto!$C16/TotalBeneficiarios, " ")</f>
        <v> </v>
      </c>
      <c r="O16" s="30"/>
    </row>
    <row r="17" customFormat="false" ht="13.8" hidden="false" customHeight="false" outlineLevel="0" collapsed="false">
      <c r="A17" s="30"/>
      <c r="B17" s="61" t="s">
        <v>30</v>
      </c>
      <c r="C17" s="56"/>
      <c r="D17" s="62" t="str">
        <f aca="false">IFERROR(   IF(D$13=0,"",ROUND($N17,0)), " ")</f>
        <v/>
      </c>
      <c r="E17" s="63" t="str">
        <f aca="false">IFERROR(   IF(E$13=0,"",ROUND($N17*2,0))," ")</f>
        <v/>
      </c>
      <c r="F17" s="63" t="str">
        <f aca="false">IFERROR(   IF(F$13=0,"",ROUND($N17*3,0))," ")</f>
        <v/>
      </c>
      <c r="G17" s="63" t="str">
        <f aca="false">IFERROR(   IF(G$13=0,"",ROUND($N17*4,0))," ")</f>
        <v/>
      </c>
      <c r="H17" s="63" t="str">
        <f aca="false">IFERROR(   IF(H$13=0,"",ROUND($N17*5,0))," ")</f>
        <v/>
      </c>
      <c r="I17" s="63" t="str">
        <f aca="false">IFERROR(   IF(I$13=0,"",ROUND($N17*6,0))," ")</f>
        <v/>
      </c>
      <c r="J17" s="63" t="str">
        <f aca="false">IFERROR(   IF(J$13=0,"",ROUND($N17*7,0))," ")</f>
        <v/>
      </c>
      <c r="K17" s="63" t="str">
        <f aca="false">IFERROR(   IF(K$13=0,"",ROUND($N17*8,0))," ")</f>
        <v/>
      </c>
      <c r="L17" s="63" t="str">
        <f aca="false">IFERROR(   IF(L$13=0,"",ROUND($N17*9,0))," ")</f>
        <v/>
      </c>
      <c r="M17" s="64" t="str">
        <f aca="false">IFERROR(   IF(M$13=0,"",ROUND($N17*10,0))," ")</f>
        <v/>
      </c>
      <c r="N17" s="65" t="str">
        <f aca="false">IFERROR(Reparto!$C17/TotalBeneficiarios, " ")</f>
        <v> </v>
      </c>
      <c r="O17" s="30"/>
    </row>
    <row r="18" customFormat="false" ht="13.8" hidden="false" customHeight="false" outlineLevel="0" collapsed="false">
      <c r="A18" s="30"/>
      <c r="B18" s="61" t="s">
        <v>31</v>
      </c>
      <c r="C18" s="56"/>
      <c r="D18" s="62" t="str">
        <f aca="false">IFERROR(   IF(D$13=0,"",ROUND($N18,0)), " ")</f>
        <v/>
      </c>
      <c r="E18" s="63" t="str">
        <f aca="false">IFERROR(   IF(E$13=0,"",ROUND($N18*2,0))," ")</f>
        <v/>
      </c>
      <c r="F18" s="63" t="str">
        <f aca="false">IFERROR(   IF(F$13=0,"",ROUND($N18*3,0))," ")</f>
        <v/>
      </c>
      <c r="G18" s="63" t="str">
        <f aca="false">IFERROR(   IF(G$13=0,"",ROUND($N18*4,0))," ")</f>
        <v/>
      </c>
      <c r="H18" s="63" t="str">
        <f aca="false">IFERROR(   IF(H$13=0,"",ROUND($N18*5,0))," ")</f>
        <v/>
      </c>
      <c r="I18" s="63" t="str">
        <f aca="false">IFERROR(   IF(I$13=0,"",ROUND($N18*6,0))," ")</f>
        <v/>
      </c>
      <c r="J18" s="63" t="str">
        <f aca="false">IFERROR(   IF(J$13=0,"",ROUND($N18*7,0))," ")</f>
        <v/>
      </c>
      <c r="K18" s="63" t="str">
        <f aca="false">IFERROR(   IF(K$13=0,"",ROUND($N18*8,0))," ")</f>
        <v/>
      </c>
      <c r="L18" s="63" t="str">
        <f aca="false">IFERROR(   IF(L$13=0,"",ROUND($N18*9,0))," ")</f>
        <v/>
      </c>
      <c r="M18" s="64" t="str">
        <f aca="false">IFERROR(   IF(M$13=0,"",ROUND($N18*10,0))," ")</f>
        <v/>
      </c>
      <c r="N18" s="65" t="str">
        <f aca="false">IFERROR(Reparto!$C18/TotalBeneficiarios, " ")</f>
        <v> </v>
      </c>
      <c r="O18" s="30"/>
    </row>
    <row r="19" customFormat="false" ht="13.8" hidden="false" customHeight="false" outlineLevel="0" collapsed="false">
      <c r="A19" s="30"/>
      <c r="B19" s="61" t="s">
        <v>32</v>
      </c>
      <c r="C19" s="56"/>
      <c r="D19" s="62" t="str">
        <f aca="false">IFERROR(   IF(D$13=0,"",ROUND($N19,0)), " ")</f>
        <v/>
      </c>
      <c r="E19" s="63" t="str">
        <f aca="false">IFERROR(   IF(E$13=0,"",ROUND($N19*2,0))," ")</f>
        <v/>
      </c>
      <c r="F19" s="63" t="str">
        <f aca="false">IFERROR(   IF(F$13=0,"",ROUND($N19*3,0))," ")</f>
        <v/>
      </c>
      <c r="G19" s="63" t="str">
        <f aca="false">IFERROR(   IF(G$13=0,"",ROUND($N19*4,0))," ")</f>
        <v/>
      </c>
      <c r="H19" s="63" t="str">
        <f aca="false">IFERROR(   IF(H$13=0,"",ROUND($N19*5,0))," ")</f>
        <v/>
      </c>
      <c r="I19" s="63" t="str">
        <f aca="false">IFERROR(   IF(I$13=0,"",ROUND($N19*6,0))," ")</f>
        <v/>
      </c>
      <c r="J19" s="63" t="str">
        <f aca="false">IFERROR(   IF(J$13=0,"",ROUND($N19*7,0))," ")</f>
        <v/>
      </c>
      <c r="K19" s="63" t="str">
        <f aca="false">IFERROR(   IF(K$13=0,"",ROUND($N19*8,0))," ")</f>
        <v/>
      </c>
      <c r="L19" s="63" t="str">
        <f aca="false">IFERROR(   IF(L$13=0,"",ROUND($N19*9,0))," ")</f>
        <v/>
      </c>
      <c r="M19" s="64" t="str">
        <f aca="false">IFERROR(   IF(M$13=0,"",ROUND($N19*10,0))," ")</f>
        <v/>
      </c>
      <c r="N19" s="65" t="str">
        <f aca="false">IFERROR(Reparto!$C19/TotalBeneficiarios, " ")</f>
        <v> </v>
      </c>
      <c r="O19" s="30"/>
    </row>
    <row r="20" customFormat="false" ht="13.8" hidden="false" customHeight="false" outlineLevel="0" collapsed="false">
      <c r="A20" s="30"/>
      <c r="B20" s="61" t="s">
        <v>33</v>
      </c>
      <c r="C20" s="56"/>
      <c r="D20" s="62" t="str">
        <f aca="false">IFERROR(   IF(D$13=0,"",ROUND($N20,0)), " ")</f>
        <v/>
      </c>
      <c r="E20" s="63" t="str">
        <f aca="false">IFERROR(   IF(E$13=0,"",ROUND($N20*2,0))," ")</f>
        <v/>
      </c>
      <c r="F20" s="63" t="str">
        <f aca="false">IFERROR(   IF(F$13=0,"",ROUND($N20*3,0))," ")</f>
        <v/>
      </c>
      <c r="G20" s="63" t="str">
        <f aca="false">IFERROR(   IF(G$13=0,"",ROUND($N20*4,0))," ")</f>
        <v/>
      </c>
      <c r="H20" s="63" t="str">
        <f aca="false">IFERROR(   IF(H$13=0,"",ROUND($N20*5,0))," ")</f>
        <v/>
      </c>
      <c r="I20" s="63" t="str">
        <f aca="false">IFERROR(   IF(I$13=0,"",ROUND($N20*6,0))," ")</f>
        <v/>
      </c>
      <c r="J20" s="63" t="str">
        <f aca="false">IFERROR(   IF(J$13=0,"",ROUND($N20*7,0))," ")</f>
        <v/>
      </c>
      <c r="K20" s="63" t="str">
        <f aca="false">IFERROR(   IF(K$13=0,"",ROUND($N20*8,0))," ")</f>
        <v/>
      </c>
      <c r="L20" s="63" t="str">
        <f aca="false">IFERROR(   IF(L$13=0,"",ROUND($N20*9,0))," ")</f>
        <v/>
      </c>
      <c r="M20" s="64" t="str">
        <f aca="false">IFERROR(   IF(M$13=0,"",ROUND($N20*10,0))," ")</f>
        <v/>
      </c>
      <c r="N20" s="65" t="str">
        <f aca="false">IFERROR(Reparto!$C20/TotalBeneficiarios, " ")</f>
        <v> </v>
      </c>
      <c r="O20" s="30"/>
    </row>
    <row r="21" customFormat="false" ht="13.8" hidden="false" customHeight="false" outlineLevel="0" collapsed="false">
      <c r="A21" s="30"/>
      <c r="B21" s="61" t="s">
        <v>34</v>
      </c>
      <c r="C21" s="56"/>
      <c r="D21" s="62" t="str">
        <f aca="false">IFERROR(   IF(D$13=0,"",ROUND($N21,0)), " ")</f>
        <v/>
      </c>
      <c r="E21" s="63" t="str">
        <f aca="false">IFERROR(   IF(E$13=0,"",ROUND($N21*2,0))," ")</f>
        <v/>
      </c>
      <c r="F21" s="63" t="str">
        <f aca="false">IFERROR(   IF(F$13=0,"",ROUND($N21*3,0))," ")</f>
        <v/>
      </c>
      <c r="G21" s="63" t="str">
        <f aca="false">IFERROR(   IF(G$13=0,"",ROUND($N21*4,0))," ")</f>
        <v/>
      </c>
      <c r="H21" s="63" t="str">
        <f aca="false">IFERROR(   IF(H$13=0,"",ROUND($N21*5,0))," ")</f>
        <v/>
      </c>
      <c r="I21" s="63" t="str">
        <f aca="false">IFERROR(   IF(I$13=0,"",ROUND($N21*6,0))," ")</f>
        <v/>
      </c>
      <c r="J21" s="63" t="str">
        <f aca="false">IFERROR(   IF(J$13=0,"",ROUND($N21*7,0))," ")</f>
        <v/>
      </c>
      <c r="K21" s="63" t="str">
        <f aca="false">IFERROR(   IF(K$13=0,"",ROUND($N21*8,0))," ")</f>
        <v/>
      </c>
      <c r="L21" s="63" t="str">
        <f aca="false">IFERROR(   IF(L$13=0,"",ROUND($N21*9,0))," ")</f>
        <v/>
      </c>
      <c r="M21" s="64" t="str">
        <f aca="false">IFERROR(   IF(M$13=0,"",ROUND($N21*10,0))," ")</f>
        <v/>
      </c>
      <c r="N21" s="65" t="str">
        <f aca="false">IFERROR(Reparto!$C21/TotalBeneficiarios, " ")</f>
        <v> </v>
      </c>
      <c r="O21" s="30"/>
    </row>
    <row r="22" customFormat="false" ht="13.8" hidden="false" customHeight="false" outlineLevel="0" collapsed="false">
      <c r="A22" s="30"/>
      <c r="B22" s="61" t="s">
        <v>35</v>
      </c>
      <c r="C22" s="56"/>
      <c r="D22" s="62" t="str">
        <f aca="false">IFERROR(   IF(D$13=0,"",ROUND($N22,0)), " ")</f>
        <v/>
      </c>
      <c r="E22" s="63" t="str">
        <f aca="false">IFERROR(   IF(E$13=0,"",ROUND($N22*2,0))," ")</f>
        <v/>
      </c>
      <c r="F22" s="63" t="str">
        <f aca="false">IFERROR(   IF(F$13=0,"",ROUND($N22*3,0))," ")</f>
        <v/>
      </c>
      <c r="G22" s="63" t="str">
        <f aca="false">IFERROR(   IF(G$13=0,"",ROUND($N22*4,0))," ")</f>
        <v/>
      </c>
      <c r="H22" s="63" t="str">
        <f aca="false">IFERROR(   IF(H$13=0,"",ROUND($N22*5,0))," ")</f>
        <v/>
      </c>
      <c r="I22" s="63" t="str">
        <f aca="false">IFERROR(   IF(I$13=0,"",ROUND($N22*6,0))," ")</f>
        <v/>
      </c>
      <c r="J22" s="63" t="str">
        <f aca="false">IFERROR(   IF(J$13=0,"",ROUND($N22*7,0))," ")</f>
        <v/>
      </c>
      <c r="K22" s="63" t="str">
        <f aca="false">IFERROR(   IF(K$13=0,"",ROUND($N22*8,0))," ")</f>
        <v/>
      </c>
      <c r="L22" s="63" t="str">
        <f aca="false">IFERROR(   IF(L$13=0,"",ROUND($N22*9,0))," ")</f>
        <v/>
      </c>
      <c r="M22" s="64" t="str">
        <f aca="false">IFERROR(   IF(M$13=0,"",ROUND($N22*10,0))," ")</f>
        <v/>
      </c>
      <c r="N22" s="65" t="str">
        <f aca="false">IFERROR(Reparto!$C22/TotalBeneficiarios, " ")</f>
        <v> </v>
      </c>
      <c r="O22" s="30"/>
    </row>
    <row r="23" customFormat="false" ht="13.8" hidden="false" customHeight="false" outlineLevel="0" collapsed="false">
      <c r="A23" s="30"/>
      <c r="B23" s="61" t="s">
        <v>36</v>
      </c>
      <c r="C23" s="56"/>
      <c r="D23" s="62" t="str">
        <f aca="false">IFERROR(   IF(D$13=0,"",ROUND($N23,0)), " ")</f>
        <v/>
      </c>
      <c r="E23" s="63" t="str">
        <f aca="false">IFERROR(   IF(E$13=0,"",ROUND($N23*2,0))," ")</f>
        <v/>
      </c>
      <c r="F23" s="63" t="str">
        <f aca="false">IFERROR(   IF(F$13=0,"",ROUND($N23*3,0))," ")</f>
        <v/>
      </c>
      <c r="G23" s="63" t="str">
        <f aca="false">IFERROR(   IF(G$13=0,"",ROUND($N23*4,0))," ")</f>
        <v/>
      </c>
      <c r="H23" s="63" t="str">
        <f aca="false">IFERROR(   IF(H$13=0,"",ROUND($N23*5,0))," ")</f>
        <v/>
      </c>
      <c r="I23" s="63" t="str">
        <f aca="false">IFERROR(   IF(I$13=0,"",ROUND($N23*6,0))," ")</f>
        <v/>
      </c>
      <c r="J23" s="63" t="str">
        <f aca="false">IFERROR(   IF(J$13=0,"",ROUND($N23*7,0))," ")</f>
        <v/>
      </c>
      <c r="K23" s="63" t="str">
        <f aca="false">IFERROR(   IF(K$13=0,"",ROUND($N23*8,0))," ")</f>
        <v/>
      </c>
      <c r="L23" s="63" t="str">
        <f aca="false">IFERROR(   IF(L$13=0,"",ROUND($N23*9,0))," ")</f>
        <v/>
      </c>
      <c r="M23" s="64" t="str">
        <f aca="false">IFERROR(   IF(M$13=0,"",ROUND($N23*10,0))," ")</f>
        <v/>
      </c>
      <c r="N23" s="65" t="str">
        <f aca="false">IFERROR(Reparto!$C23/TotalBeneficiarios, " ")</f>
        <v> </v>
      </c>
      <c r="O23" s="30"/>
    </row>
    <row r="24" customFormat="false" ht="13.8" hidden="false" customHeight="false" outlineLevel="0" collapsed="false">
      <c r="A24" s="30"/>
      <c r="B24" s="66" t="s">
        <v>37</v>
      </c>
      <c r="C24" s="56"/>
      <c r="D24" s="62" t="str">
        <f aca="false">IFERROR(   IF(D$13=0,"",ROUND($N24,0)), " ")</f>
        <v/>
      </c>
      <c r="E24" s="63" t="str">
        <f aca="false">IFERROR(   IF(E$13=0,"",ROUND($N24*2,0))," ")</f>
        <v/>
      </c>
      <c r="F24" s="63" t="str">
        <f aca="false">IFERROR(   IF(F$13=0,"",ROUND($N24*3,0))," ")</f>
        <v/>
      </c>
      <c r="G24" s="63" t="str">
        <f aca="false">IFERROR(   IF(G$13=0,"",ROUND($N24*4,0))," ")</f>
        <v/>
      </c>
      <c r="H24" s="63" t="str">
        <f aca="false">IFERROR(   IF(H$13=0,"",ROUND($N24*5,0))," ")</f>
        <v/>
      </c>
      <c r="I24" s="63" t="str">
        <f aca="false">IFERROR(   IF(I$13=0,"",ROUND($N24*6,0))," ")</f>
        <v/>
      </c>
      <c r="J24" s="63" t="str">
        <f aca="false">IFERROR(   IF(J$13=0,"",ROUND($N24*7,0))," ")</f>
        <v/>
      </c>
      <c r="K24" s="63" t="str">
        <f aca="false">IFERROR(   IF(K$13=0,"",ROUND($N24*8,0))," ")</f>
        <v/>
      </c>
      <c r="L24" s="63" t="str">
        <f aca="false">IFERROR(   IF(L$13=0,"",ROUND($N24*9,0))," ")</f>
        <v/>
      </c>
      <c r="M24" s="64" t="str">
        <f aca="false">IFERROR(   IF(M$13=0,"",ROUND($N24*10,0))," ")</f>
        <v/>
      </c>
      <c r="N24" s="65" t="str">
        <f aca="false">IFERROR(Reparto!$C24/TotalBeneficiarios, " ")</f>
        <v> </v>
      </c>
      <c r="O24" s="30"/>
    </row>
    <row r="25" customFormat="false" ht="13.8" hidden="false" customHeight="false" outlineLevel="0" collapsed="false">
      <c r="A25" s="30"/>
      <c r="B25" s="66" t="s">
        <v>37</v>
      </c>
      <c r="C25" s="56"/>
      <c r="D25" s="62" t="str">
        <f aca="false">IFERROR(   IF(D$13=0,"",ROUND($N25,0)), " ")</f>
        <v/>
      </c>
      <c r="E25" s="63" t="str">
        <f aca="false">IFERROR(   IF(E$13=0,"",ROUND($N25*2,0))," ")</f>
        <v/>
      </c>
      <c r="F25" s="63" t="str">
        <f aca="false">IFERROR(   IF(F$13=0,"",ROUND($N25*3,0))," ")</f>
        <v/>
      </c>
      <c r="G25" s="63" t="str">
        <f aca="false">IFERROR(   IF(G$13=0,"",ROUND($N25*4,0))," ")</f>
        <v/>
      </c>
      <c r="H25" s="63" t="str">
        <f aca="false">IFERROR(   IF(H$13=0,"",ROUND($N25*5,0))," ")</f>
        <v/>
      </c>
      <c r="I25" s="63" t="str">
        <f aca="false">IFERROR(   IF(I$13=0,"",ROUND($N25*6,0))," ")</f>
        <v/>
      </c>
      <c r="J25" s="63" t="str">
        <f aca="false">IFERROR(   IF(J$13=0,"",ROUND($N25*7,0))," ")</f>
        <v/>
      </c>
      <c r="K25" s="63" t="str">
        <f aca="false">IFERROR(   IF(K$13=0,"",ROUND($N25*8,0))," ")</f>
        <v/>
      </c>
      <c r="L25" s="63" t="str">
        <f aca="false">IFERROR(   IF(L$13=0,"",ROUND($N25*9,0))," ")</f>
        <v/>
      </c>
      <c r="M25" s="64" t="str">
        <f aca="false">IFERROR(   IF(M$13=0,"",ROUND($N25*10,0))," ")</f>
        <v/>
      </c>
      <c r="N25" s="65" t="str">
        <f aca="false">IFERROR(Reparto!$C25/TotalBeneficiarios, " ")</f>
        <v> </v>
      </c>
      <c r="O25" s="30"/>
    </row>
    <row r="26" customFormat="false" ht="13.8" hidden="false" customHeight="false" outlineLevel="0" collapsed="false">
      <c r="A26" s="30"/>
      <c r="B26" s="66" t="s">
        <v>37</v>
      </c>
      <c r="C26" s="56"/>
      <c r="D26" s="62" t="str">
        <f aca="false">IFERROR(   IF(D$13=0,"",ROUND($N26,0)), " ")</f>
        <v/>
      </c>
      <c r="E26" s="63" t="str">
        <f aca="false">IFERROR(   IF(E$13=0,"",ROUND($N26*2,0))," ")</f>
        <v/>
      </c>
      <c r="F26" s="63" t="str">
        <f aca="false">IFERROR(   IF(F$13=0,"",ROUND($N26*3,0))," ")</f>
        <v/>
      </c>
      <c r="G26" s="63" t="str">
        <f aca="false">IFERROR(   IF(G$13=0,"",ROUND($N26*4,0))," ")</f>
        <v/>
      </c>
      <c r="H26" s="63" t="str">
        <f aca="false">IFERROR(   IF(H$13=0,"",ROUND($N26*5,0))," ")</f>
        <v/>
      </c>
      <c r="I26" s="63" t="str">
        <f aca="false">IFERROR(   IF(I$13=0,"",ROUND($N26*6,0))," ")</f>
        <v/>
      </c>
      <c r="J26" s="63" t="str">
        <f aca="false">IFERROR(   IF(J$13=0,"",ROUND($N26*7,0))," ")</f>
        <v/>
      </c>
      <c r="K26" s="63" t="str">
        <f aca="false">IFERROR(   IF(K$13=0,"",ROUND($N26*8,0))," ")</f>
        <v/>
      </c>
      <c r="L26" s="63" t="str">
        <f aca="false">IFERROR(   IF(L$13=0,"",ROUND($N26*9,0))," ")</f>
        <v/>
      </c>
      <c r="M26" s="64" t="str">
        <f aca="false">IFERROR(   IF(M$13=0,"",ROUND($N26*10,0))," ")</f>
        <v/>
      </c>
      <c r="N26" s="65" t="str">
        <f aca="false">IFERROR(Reparto!$C26/TotalBeneficiarios, " ")</f>
        <v> </v>
      </c>
      <c r="O26" s="30"/>
    </row>
    <row r="27" customFormat="false" ht="13.8" hidden="false" customHeight="false" outlineLevel="0" collapsed="false">
      <c r="A27" s="30"/>
      <c r="B27" s="66" t="s">
        <v>37</v>
      </c>
      <c r="C27" s="56"/>
      <c r="D27" s="62" t="str">
        <f aca="false">IFERROR(   IF(D$13=0,"",ROUND($N27,0)), " ")</f>
        <v/>
      </c>
      <c r="E27" s="63" t="str">
        <f aca="false">IFERROR(   IF(E$13=0,"",ROUND($N27*2,0))," ")</f>
        <v/>
      </c>
      <c r="F27" s="63" t="str">
        <f aca="false">IFERROR(   IF(F$13=0,"",ROUND($N27*3,0))," ")</f>
        <v/>
      </c>
      <c r="G27" s="63" t="str">
        <f aca="false">IFERROR(   IF(G$13=0,"",ROUND($N27*4,0))," ")</f>
        <v/>
      </c>
      <c r="H27" s="63" t="str">
        <f aca="false">IFERROR(   IF(H$13=0,"",ROUND($N27*5,0))," ")</f>
        <v/>
      </c>
      <c r="I27" s="63" t="str">
        <f aca="false">IFERROR(   IF(I$13=0,"",ROUND($N27*6,0))," ")</f>
        <v/>
      </c>
      <c r="J27" s="63" t="str">
        <f aca="false">IFERROR(   IF(J$13=0,"",ROUND($N27*7,0))," ")</f>
        <v/>
      </c>
      <c r="K27" s="63" t="str">
        <f aca="false">IFERROR(   IF(K$13=0,"",ROUND($N27*8,0))," ")</f>
        <v/>
      </c>
      <c r="L27" s="63" t="str">
        <f aca="false">IFERROR(   IF(L$13=0,"",ROUND($N27*9,0))," ")</f>
        <v/>
      </c>
      <c r="M27" s="64" t="str">
        <f aca="false">IFERROR(   IF(M$13=0,"",ROUND($N27*10,0))," ")</f>
        <v/>
      </c>
      <c r="N27" s="65" t="str">
        <f aca="false">IFERROR(Reparto!$C27/TotalBeneficiarios, " ")</f>
        <v> </v>
      </c>
      <c r="O27" s="30"/>
    </row>
    <row r="28" customFormat="false" ht="13.8" hidden="false" customHeight="false" outlineLevel="0" collapsed="false">
      <c r="A28" s="30"/>
      <c r="B28" s="66" t="s">
        <v>37</v>
      </c>
      <c r="C28" s="56"/>
      <c r="D28" s="62" t="str">
        <f aca="false">IFERROR(   IF(D$13=0,"",ROUND($N28,0)), " ")</f>
        <v/>
      </c>
      <c r="E28" s="63" t="str">
        <f aca="false">IFERROR(   IF(E$13=0,"",ROUND($N28*2,0))," ")</f>
        <v/>
      </c>
      <c r="F28" s="63" t="str">
        <f aca="false">IFERROR(   IF(F$13=0,"",ROUND($N28*3,0))," ")</f>
        <v/>
      </c>
      <c r="G28" s="63" t="str">
        <f aca="false">IFERROR(   IF(G$13=0,"",ROUND($N28*4,0))," ")</f>
        <v/>
      </c>
      <c r="H28" s="63" t="str">
        <f aca="false">IFERROR(   IF(H$13=0,"",ROUND($N28*5,0))," ")</f>
        <v/>
      </c>
      <c r="I28" s="63" t="str">
        <f aca="false">IFERROR(   IF(I$13=0,"",ROUND($N28*6,0))," ")</f>
        <v/>
      </c>
      <c r="J28" s="63" t="str">
        <f aca="false">IFERROR(   IF(J$13=0,"",ROUND($N28*7,0))," ")</f>
        <v/>
      </c>
      <c r="K28" s="63" t="str">
        <f aca="false">IFERROR(   IF(K$13=0,"",ROUND($N28*8,0))," ")</f>
        <v/>
      </c>
      <c r="L28" s="63" t="str">
        <f aca="false">IFERROR(   IF(L$13=0,"",ROUND($N28*9,0))," ")</f>
        <v/>
      </c>
      <c r="M28" s="64" t="str">
        <f aca="false">IFERROR(   IF(M$13=0,"",ROUND($N28*10,0))," ")</f>
        <v/>
      </c>
      <c r="N28" s="65" t="str">
        <f aca="false">IFERROR(Reparto!$C28/TotalBeneficiarios, " ")</f>
        <v> </v>
      </c>
      <c r="O28" s="30"/>
    </row>
    <row r="29" customFormat="false" ht="13.8" hidden="false" customHeight="false" outlineLevel="0" collapsed="false">
      <c r="A29" s="30"/>
      <c r="B29" s="66" t="s">
        <v>37</v>
      </c>
      <c r="C29" s="56"/>
      <c r="D29" s="62" t="str">
        <f aca="false">IFERROR(   IF(D$13=0,"",ROUND($N29,0)), " ")</f>
        <v/>
      </c>
      <c r="E29" s="63" t="str">
        <f aca="false">IFERROR(   IF(E$13=0,"",ROUND($N29*2,0))," ")</f>
        <v/>
      </c>
      <c r="F29" s="63" t="str">
        <f aca="false">IFERROR(   IF(F$13=0,"",ROUND($N29*3,0))," ")</f>
        <v/>
      </c>
      <c r="G29" s="63" t="str">
        <f aca="false">IFERROR(   IF(G$13=0,"",ROUND($N29*4,0))," ")</f>
        <v/>
      </c>
      <c r="H29" s="63" t="str">
        <f aca="false">IFERROR(   IF(H$13=0,"",ROUND($N29*5,0))," ")</f>
        <v/>
      </c>
      <c r="I29" s="63" t="str">
        <f aca="false">IFERROR(   IF(I$13=0,"",ROUND($N29*6,0))," ")</f>
        <v/>
      </c>
      <c r="J29" s="63" t="str">
        <f aca="false">IFERROR(   IF(J$13=0,"",ROUND($N29*7,0))," ")</f>
        <v/>
      </c>
      <c r="K29" s="63" t="str">
        <f aca="false">IFERROR(   IF(K$13=0,"",ROUND($N29*8,0))," ")</f>
        <v/>
      </c>
      <c r="L29" s="63" t="str">
        <f aca="false">IFERROR(   IF(L$13=0,"",ROUND($N29*9,0))," ")</f>
        <v/>
      </c>
      <c r="M29" s="64" t="str">
        <f aca="false">IFERROR(   IF(M$13=0,"",ROUND($N29*10,0))," ")</f>
        <v/>
      </c>
      <c r="N29" s="65" t="str">
        <f aca="false">IFERROR(Reparto!$C29/TotalBeneficiarios, " ")</f>
        <v> </v>
      </c>
      <c r="O29" s="30"/>
    </row>
    <row r="30" customFormat="false" ht="13.8" hidden="false" customHeight="false" outlineLevel="0" collapsed="false">
      <c r="A30" s="30"/>
      <c r="B30" s="67" t="s">
        <v>37</v>
      </c>
      <c r="C30" s="56"/>
      <c r="D30" s="68" t="str">
        <f aca="false">IFERROR(   IF(D$13=0,"",ROUND($N30,0)), " ")</f>
        <v/>
      </c>
      <c r="E30" s="69" t="str">
        <f aca="false">IFERROR(   IF(E$13=0,"",ROUND($N30*2,0))," ")</f>
        <v/>
      </c>
      <c r="F30" s="69" t="str">
        <f aca="false">IFERROR(   IF(F$13=0,"",ROUND($N30*3,0))," ")</f>
        <v/>
      </c>
      <c r="G30" s="69" t="str">
        <f aca="false">IFERROR(   IF(G$13=0,"",ROUND($N30*4,0))," ")</f>
        <v/>
      </c>
      <c r="H30" s="69" t="str">
        <f aca="false">IFERROR(   IF(H$13=0,"",ROUND($N30*5,0))," ")</f>
        <v/>
      </c>
      <c r="I30" s="69" t="str">
        <f aca="false">IFERROR(   IF(I$13=0,"",ROUND($N30*6,0))," ")</f>
        <v/>
      </c>
      <c r="J30" s="69" t="str">
        <f aca="false">IFERROR(   IF(J$13=0,"",ROUND($N30*7,0))," ")</f>
        <v/>
      </c>
      <c r="K30" s="69" t="str">
        <f aca="false">IFERROR(   IF(K$13=0,"",ROUND($N30*8,0))," ")</f>
        <v/>
      </c>
      <c r="L30" s="69" t="str">
        <f aca="false">IFERROR(   IF(L$13=0,"",ROUND($N30*9,0))," ")</f>
        <v/>
      </c>
      <c r="M30" s="70" t="str">
        <f aca="false">IFERROR(   IF(M$13=0,"",ROUND($N30*10,0))," ")</f>
        <v/>
      </c>
      <c r="N30" s="71" t="str">
        <f aca="false">IFERROR(Reparto!$C30/TotalBeneficiarios, " ")</f>
        <v> </v>
      </c>
      <c r="O30" s="30"/>
    </row>
    <row r="31" customFormat="false" ht="12.75" hidden="false" customHeight="false" outlineLevel="0" collapsed="false">
      <c r="A31" s="30"/>
      <c r="B31" s="72"/>
      <c r="C31" s="73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</row>
    <row r="32" customFormat="false" ht="12.75" hidden="false" customHeight="false" outlineLevel="0" collapsed="false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</row>
  </sheetData>
  <mergeCells count="1">
    <mergeCell ref="F9:K10"/>
  </mergeCells>
  <printOptions headings="false" gridLines="false" gridLinesSet="true" horizontalCentered="false" verticalCentered="false"/>
  <pageMargins left="0.7" right="0.7" top="1.14375" bottom="1.14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21" activeCellId="0" sqref="C21"/>
    </sheetView>
  </sheetViews>
  <sheetFormatPr defaultColWidth="10.2890625" defaultRowHeight="12.75" customHeight="false" zeroHeight="false" outlineLevelRow="0" outlineLevelCol="0"/>
  <cols>
    <col collapsed="false" customWidth="true" hidden="false" outlineLevel="0" max="2" min="1" style="12" width="21.57"/>
    <col collapsed="false" customWidth="true" hidden="false" outlineLevel="0" max="3" min="3" style="12" width="28.71"/>
    <col collapsed="false" customWidth="true" hidden="false" outlineLevel="0" max="4" min="4" style="12" width="27"/>
    <col collapsed="false" customWidth="true" hidden="false" outlineLevel="0" max="5" min="5" style="12" width="22.42"/>
    <col collapsed="false" customWidth="true" hidden="false" outlineLevel="0" max="6" min="6" style="12" width="21.43"/>
    <col collapsed="false" customWidth="true" hidden="false" outlineLevel="0" max="7" min="7" style="12" width="28.71"/>
    <col collapsed="false" customWidth="true" hidden="false" outlineLevel="0" max="8" min="8" style="12" width="14.42"/>
    <col collapsed="false" customWidth="false" hidden="false" outlineLevel="0" max="16384" min="9" style="12" width="10.29"/>
  </cols>
  <sheetData>
    <row r="1" customFormat="false" ht="12.75" hidden="false" customHeight="true" outlineLevel="0" collapsed="false"/>
    <row r="2" customFormat="false" ht="22.5" hidden="false" customHeight="true" outlineLevel="0" collapsed="false">
      <c r="B2" s="74" t="s">
        <v>38</v>
      </c>
      <c r="C2" s="74"/>
      <c r="D2" s="74"/>
      <c r="E2" s="74"/>
      <c r="F2" s="74"/>
      <c r="G2" s="74"/>
    </row>
    <row r="3" customFormat="false" ht="17.35" hidden="false" customHeight="false" outlineLevel="0" collapsed="false">
      <c r="B3" s="75" t="s">
        <v>39</v>
      </c>
      <c r="C3" s="75"/>
      <c r="D3" s="75" t="s">
        <v>40</v>
      </c>
      <c r="E3" s="75"/>
      <c r="F3" s="75" t="s">
        <v>41</v>
      </c>
      <c r="G3" s="75" t="s">
        <v>42</v>
      </c>
      <c r="H3" s="76"/>
    </row>
    <row r="4" customFormat="false" ht="17.35" hidden="false" customHeight="false" outlineLevel="0" collapsed="false">
      <c r="B4" s="77" t="n">
        <v>1</v>
      </c>
      <c r="C4" s="78" t="n">
        <f aca="false">COUNTIF(Listado!K:K,B4)</f>
        <v>0</v>
      </c>
      <c r="D4" s="75" t="s">
        <v>43</v>
      </c>
      <c r="E4" s="78" t="n">
        <f aca="true">COUNTIFS(Listado!F2:F999, "&gt;=" &amp; DATE(YEAR(TODAY())-3, MONTH(TODAY()), DAY(TODAY())), Listado!F2:F999, "&lt;" &amp; DATE(YEAR(TODAY())-0, MONTH(TODAY()), DAY(TODAY())))</f>
        <v>0</v>
      </c>
      <c r="F4" s="79" t="n">
        <f aca="false">COUNTA(Listado!A2:A999)</f>
        <v>0</v>
      </c>
      <c r="G4" s="79" t="n">
        <f aca="false">COUNTA(Listado!B2:B999)</f>
        <v>0</v>
      </c>
      <c r="H4" s="76"/>
    </row>
    <row r="5" customFormat="false" ht="17.35" hidden="false" customHeight="false" outlineLevel="0" collapsed="false">
      <c r="B5" s="77" t="n">
        <v>2</v>
      </c>
      <c r="C5" s="78" t="n">
        <f aca="false">COUNTIF(Listado!K:K,B5)</f>
        <v>0</v>
      </c>
      <c r="D5" s="80" t="s">
        <v>44</v>
      </c>
      <c r="E5" s="78" t="n">
        <f aca="true">COUNTIFS(Listado!F2:F999, "&gt;=" &amp; DATE(YEAR(TODAY())-18, MONTH(TODAY()), DAY(TODAY())), Listado!F2:F999, "&lt;" &amp; DATE(YEAR(TODAY())-3, MONTH(TODAY()), DAY(TODAY())))</f>
        <v>0</v>
      </c>
      <c r="F5" s="81"/>
      <c r="G5" s="82"/>
    </row>
    <row r="6" customFormat="false" ht="17.35" hidden="false" customHeight="false" outlineLevel="0" collapsed="false">
      <c r="B6" s="77" t="n">
        <v>3</v>
      </c>
      <c r="C6" s="78" t="n">
        <f aca="false">COUNTIF(Listado!K:K,B6)</f>
        <v>0</v>
      </c>
      <c r="D6" s="75" t="s">
        <v>45</v>
      </c>
      <c r="E6" s="78" t="n">
        <f aca="true">COUNTIFS(Listado!F2:F999, "&gt;=" &amp; DATE(YEAR(TODAY())-100, MONTH(TODAY()), DAY(TODAY())), Listado!F2:F999, "&lt;" &amp; DATE(YEAR(TODAY())-18, MONTH(TODAY()), DAY(TODAY())))</f>
        <v>0</v>
      </c>
      <c r="F6" s="76"/>
    </row>
    <row r="7" customFormat="false" ht="17.35" hidden="false" customHeight="false" outlineLevel="0" collapsed="false">
      <c r="B7" s="77" t="n">
        <v>4</v>
      </c>
      <c r="C7" s="78" t="n">
        <f aca="false">COUNTIF(Listado!K:K,B7)</f>
        <v>0</v>
      </c>
      <c r="D7" s="76"/>
      <c r="F7" s="30"/>
      <c r="G7" s="30"/>
    </row>
    <row r="8" customFormat="false" ht="17.35" hidden="false" customHeight="false" outlineLevel="0" collapsed="false">
      <c r="B8" s="77" t="n">
        <v>5</v>
      </c>
      <c r="C8" s="78" t="n">
        <f aca="false">COUNTIF(Listado!K:K,B8)</f>
        <v>0</v>
      </c>
      <c r="D8" s="76"/>
      <c r="F8" s="30"/>
      <c r="G8" s="30"/>
    </row>
    <row r="9" customFormat="false" ht="17.35" hidden="false" customHeight="false" outlineLevel="0" collapsed="false">
      <c r="B9" s="77" t="n">
        <v>6</v>
      </c>
      <c r="C9" s="78" t="n">
        <f aca="false">COUNTIF(Listado!K:K,B9)</f>
        <v>0</v>
      </c>
      <c r="D9" s="76"/>
      <c r="F9" s="30"/>
      <c r="G9" s="30"/>
    </row>
    <row r="10" customFormat="false" ht="17.35" hidden="false" customHeight="false" outlineLevel="0" collapsed="false">
      <c r="B10" s="77" t="n">
        <v>7</v>
      </c>
      <c r="C10" s="78" t="n">
        <f aca="false">COUNTIF(Listado!K:K,B10)</f>
        <v>0</v>
      </c>
      <c r="D10" s="76"/>
      <c r="F10" s="30"/>
      <c r="G10" s="30"/>
    </row>
    <row r="11" customFormat="false" ht="17.35" hidden="false" customHeight="false" outlineLevel="0" collapsed="false">
      <c r="B11" s="77" t="n">
        <v>8</v>
      </c>
      <c r="C11" s="78" t="n">
        <f aca="false">COUNTIF(Listado!K:K,B11)</f>
        <v>0</v>
      </c>
      <c r="D11" s="76"/>
      <c r="F11" s="30"/>
      <c r="G11" s="30"/>
    </row>
    <row r="12" customFormat="false" ht="17.35" hidden="false" customHeight="false" outlineLevel="0" collapsed="false">
      <c r="B12" s="77" t="n">
        <v>9</v>
      </c>
      <c r="C12" s="78" t="n">
        <f aca="false">COUNTIF(Listado!K:K,B12)</f>
        <v>0</v>
      </c>
      <c r="D12" s="76"/>
      <c r="F12" s="30"/>
      <c r="G12" s="30"/>
    </row>
    <row r="13" customFormat="false" ht="17.35" hidden="false" customHeight="false" outlineLevel="0" collapsed="false">
      <c r="B13" s="77" t="n">
        <v>10</v>
      </c>
      <c r="C13" s="78" t="n">
        <f aca="false">COUNTIF(Listado!K:K,B13)</f>
        <v>0</v>
      </c>
      <c r="D13" s="76"/>
      <c r="F13" s="30"/>
      <c r="G13" s="30"/>
    </row>
    <row r="14" customFormat="false" ht="12.75" hidden="false" customHeight="false" outlineLevel="0" collapsed="false">
      <c r="B14" s="10"/>
      <c r="C14" s="10"/>
      <c r="D14" s="10"/>
      <c r="E14" s="10"/>
      <c r="F14" s="10"/>
      <c r="G14" s="10"/>
    </row>
  </sheetData>
  <mergeCells count="3">
    <mergeCell ref="B2:G2"/>
    <mergeCell ref="B3:C3"/>
    <mergeCell ref="D3:E3"/>
  </mergeCells>
  <printOptions headings="false" gridLines="false" gridLinesSet="true" horizontalCentered="false" verticalCentered="false"/>
  <pageMargins left="0.7" right="0.7" top="1.14375" bottom="1.14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214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2025-03-12T08:51:22Z</dcterms:created>
  <dc:creator>Banco de Alimentos Tenerife</dc:creator>
  <dc:description/>
  <dc:language>es-ES</dc:language>
  <cp:lastModifiedBy/>
  <dcterms:modified xsi:type="dcterms:W3CDTF">2026-10-13T13:10:42Z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